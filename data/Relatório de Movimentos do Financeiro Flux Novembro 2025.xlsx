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a9793a6b2457fc0/dash_dre_flux/data/"/>
    </mc:Choice>
  </mc:AlternateContent>
  <xr:revisionPtr revIDLastSave="6" documentId="13_ncr:1_{FCE1ABBA-8152-44CE-9347-71158AAC8C81}" xr6:coauthVersionLast="47" xr6:coauthVersionMax="47" xr10:uidLastSave="{B88E3910-051B-458D-AE0D-0BAD7BE1B528}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_xlnm._FilterDatabase" localSheetId="0" hidden="1">Planilha1!$A$1:$U$1204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05" i="1" l="1"/>
  <c r="R1204" i="1"/>
  <c r="Q1204" i="1"/>
  <c r="N1204" i="1"/>
  <c r="J1204" i="1"/>
  <c r="I1204" i="1"/>
  <c r="H1204" i="1"/>
  <c r="G1204" i="1"/>
  <c r="F1204" i="1"/>
  <c r="E1204" i="1"/>
  <c r="D1204" i="1"/>
  <c r="C1204" i="1"/>
  <c r="B1204" i="1"/>
  <c r="A1204" i="1"/>
  <c r="R1203" i="1"/>
  <c r="N1203" i="1"/>
  <c r="J1203" i="1"/>
  <c r="I1203" i="1"/>
  <c r="H1203" i="1"/>
  <c r="G1203" i="1"/>
  <c r="F1203" i="1"/>
  <c r="E1203" i="1"/>
  <c r="D1203" i="1"/>
  <c r="C1203" i="1"/>
  <c r="B1203" i="1"/>
  <c r="A1203" i="1"/>
  <c r="R1202" i="1"/>
  <c r="N1202" i="1"/>
  <c r="J1202" i="1"/>
  <c r="I1202" i="1"/>
  <c r="H1202" i="1"/>
  <c r="G1202" i="1"/>
  <c r="F1202" i="1"/>
  <c r="E1202" i="1"/>
  <c r="D1202" i="1"/>
  <c r="C1202" i="1"/>
  <c r="B1202" i="1"/>
  <c r="A1202" i="1"/>
  <c r="R1201" i="1"/>
  <c r="N1201" i="1"/>
  <c r="J1201" i="1"/>
  <c r="I1201" i="1"/>
  <c r="H1201" i="1"/>
  <c r="G1201" i="1"/>
  <c r="F1201" i="1"/>
  <c r="E1201" i="1"/>
  <c r="D1201" i="1"/>
  <c r="C1201" i="1"/>
  <c r="B1201" i="1"/>
  <c r="A1201" i="1"/>
  <c r="R1200" i="1"/>
  <c r="Q1200" i="1"/>
  <c r="N1200" i="1"/>
  <c r="J1200" i="1"/>
  <c r="I1200" i="1"/>
  <c r="H1200" i="1"/>
  <c r="G1200" i="1"/>
  <c r="F1200" i="1"/>
  <c r="E1200" i="1"/>
  <c r="D1200" i="1"/>
  <c r="C1200" i="1"/>
  <c r="B1200" i="1"/>
  <c r="A1200" i="1"/>
  <c r="R1199" i="1"/>
  <c r="N1199" i="1"/>
  <c r="J1199" i="1"/>
  <c r="I1199" i="1"/>
  <c r="H1199" i="1"/>
  <c r="G1199" i="1"/>
  <c r="F1199" i="1"/>
  <c r="E1199" i="1"/>
  <c r="D1199" i="1"/>
  <c r="C1199" i="1"/>
  <c r="B1199" i="1"/>
  <c r="A1199" i="1"/>
  <c r="R1198" i="1"/>
  <c r="Q1198" i="1"/>
  <c r="N1198" i="1"/>
  <c r="J1198" i="1"/>
  <c r="I1198" i="1"/>
  <c r="H1198" i="1"/>
  <c r="G1198" i="1"/>
  <c r="F1198" i="1"/>
  <c r="E1198" i="1"/>
  <c r="D1198" i="1"/>
  <c r="C1198" i="1"/>
  <c r="B1198" i="1"/>
  <c r="A1198" i="1"/>
  <c r="R1197" i="1"/>
  <c r="N1197" i="1"/>
  <c r="J1197" i="1"/>
  <c r="I1197" i="1"/>
  <c r="H1197" i="1"/>
  <c r="G1197" i="1"/>
  <c r="F1197" i="1"/>
  <c r="E1197" i="1"/>
  <c r="D1197" i="1"/>
  <c r="C1197" i="1"/>
  <c r="B1197" i="1"/>
  <c r="A1197" i="1"/>
  <c r="R1196" i="1"/>
  <c r="Q1196" i="1"/>
  <c r="N1196" i="1"/>
  <c r="J1196" i="1"/>
  <c r="I1196" i="1"/>
  <c r="H1196" i="1"/>
  <c r="G1196" i="1"/>
  <c r="F1196" i="1"/>
  <c r="E1196" i="1"/>
  <c r="D1196" i="1"/>
  <c r="C1196" i="1"/>
  <c r="B1196" i="1"/>
  <c r="A1196" i="1"/>
  <c r="R1195" i="1"/>
  <c r="N1195" i="1"/>
  <c r="J1195" i="1"/>
  <c r="I1195" i="1"/>
  <c r="H1195" i="1"/>
  <c r="G1195" i="1"/>
  <c r="F1195" i="1"/>
  <c r="E1195" i="1"/>
  <c r="D1195" i="1"/>
  <c r="C1195" i="1"/>
  <c r="B1195" i="1"/>
  <c r="A1195" i="1"/>
  <c r="R1194" i="1"/>
  <c r="Q1194" i="1"/>
  <c r="N1194" i="1"/>
  <c r="J1194" i="1"/>
  <c r="I1194" i="1"/>
  <c r="H1194" i="1"/>
  <c r="G1194" i="1"/>
  <c r="F1194" i="1"/>
  <c r="E1194" i="1"/>
  <c r="D1194" i="1"/>
  <c r="C1194" i="1"/>
  <c r="B1194" i="1"/>
  <c r="A1194" i="1"/>
  <c r="R1193" i="1"/>
  <c r="N1193" i="1"/>
  <c r="J1193" i="1"/>
  <c r="I1193" i="1"/>
  <c r="H1193" i="1"/>
  <c r="G1193" i="1"/>
  <c r="F1193" i="1"/>
  <c r="E1193" i="1"/>
  <c r="D1193" i="1"/>
  <c r="C1193" i="1"/>
  <c r="B1193" i="1"/>
  <c r="A1193" i="1"/>
  <c r="R1192" i="1"/>
  <c r="N1192" i="1"/>
  <c r="J1192" i="1"/>
  <c r="I1192" i="1"/>
  <c r="H1192" i="1"/>
  <c r="G1192" i="1"/>
  <c r="F1192" i="1"/>
  <c r="E1192" i="1"/>
  <c r="D1192" i="1"/>
  <c r="C1192" i="1"/>
  <c r="B1192" i="1"/>
  <c r="A1192" i="1"/>
  <c r="R1191" i="1"/>
  <c r="N1191" i="1"/>
  <c r="J1191" i="1"/>
  <c r="I1191" i="1"/>
  <c r="H1191" i="1"/>
  <c r="G1191" i="1"/>
  <c r="F1191" i="1"/>
  <c r="E1191" i="1"/>
  <c r="D1191" i="1"/>
  <c r="C1191" i="1"/>
  <c r="B1191" i="1"/>
  <c r="A1191" i="1"/>
  <c r="R1190" i="1"/>
  <c r="Q1190" i="1"/>
  <c r="N1190" i="1"/>
  <c r="J1190" i="1"/>
  <c r="I1190" i="1"/>
  <c r="H1190" i="1"/>
  <c r="G1190" i="1"/>
  <c r="F1190" i="1"/>
  <c r="E1190" i="1"/>
  <c r="D1190" i="1"/>
  <c r="C1190" i="1"/>
  <c r="B1190" i="1"/>
  <c r="A1190" i="1"/>
  <c r="R1189" i="1"/>
  <c r="N1189" i="1"/>
  <c r="J1189" i="1"/>
  <c r="I1189" i="1"/>
  <c r="H1189" i="1"/>
  <c r="G1189" i="1"/>
  <c r="F1189" i="1"/>
  <c r="E1189" i="1"/>
  <c r="D1189" i="1"/>
  <c r="C1189" i="1"/>
  <c r="B1189" i="1"/>
  <c r="A1189" i="1"/>
  <c r="R1188" i="1"/>
  <c r="Q1188" i="1"/>
  <c r="N1188" i="1"/>
  <c r="J1188" i="1"/>
  <c r="I1188" i="1"/>
  <c r="H1188" i="1"/>
  <c r="G1188" i="1"/>
  <c r="F1188" i="1"/>
  <c r="E1188" i="1"/>
  <c r="D1188" i="1"/>
  <c r="C1188" i="1"/>
  <c r="B1188" i="1"/>
  <c r="A1188" i="1"/>
  <c r="R1187" i="1"/>
  <c r="Q1187" i="1"/>
  <c r="N1187" i="1"/>
  <c r="J1187" i="1"/>
  <c r="I1187" i="1"/>
  <c r="H1187" i="1"/>
  <c r="G1187" i="1"/>
  <c r="F1187" i="1"/>
  <c r="E1187" i="1"/>
  <c r="D1187" i="1"/>
  <c r="C1187" i="1"/>
  <c r="B1187" i="1"/>
  <c r="A1187" i="1"/>
  <c r="R1186" i="1"/>
  <c r="Q1186" i="1"/>
  <c r="N1186" i="1"/>
  <c r="J1186" i="1"/>
  <c r="I1186" i="1"/>
  <c r="H1186" i="1"/>
  <c r="G1186" i="1"/>
  <c r="F1186" i="1"/>
  <c r="E1186" i="1"/>
  <c r="D1186" i="1"/>
  <c r="C1186" i="1"/>
  <c r="B1186" i="1"/>
  <c r="A1186" i="1"/>
  <c r="R1185" i="1"/>
  <c r="N1185" i="1"/>
  <c r="J1185" i="1"/>
  <c r="I1185" i="1"/>
  <c r="H1185" i="1"/>
  <c r="G1185" i="1"/>
  <c r="F1185" i="1"/>
  <c r="E1185" i="1"/>
  <c r="D1185" i="1"/>
  <c r="C1185" i="1"/>
  <c r="B1185" i="1"/>
  <c r="A1185" i="1"/>
  <c r="R1184" i="1"/>
  <c r="Q1184" i="1"/>
  <c r="N1184" i="1"/>
  <c r="J1184" i="1"/>
  <c r="I1184" i="1"/>
  <c r="H1184" i="1"/>
  <c r="G1184" i="1"/>
  <c r="F1184" i="1"/>
  <c r="E1184" i="1"/>
  <c r="D1184" i="1"/>
  <c r="C1184" i="1"/>
  <c r="B1184" i="1"/>
  <c r="A1184" i="1"/>
  <c r="R1183" i="1"/>
  <c r="N1183" i="1"/>
  <c r="J1183" i="1"/>
  <c r="I1183" i="1"/>
  <c r="H1183" i="1"/>
  <c r="G1183" i="1"/>
  <c r="F1183" i="1"/>
  <c r="E1183" i="1"/>
  <c r="D1183" i="1"/>
  <c r="C1183" i="1"/>
  <c r="B1183" i="1"/>
  <c r="A1183" i="1"/>
  <c r="R1182" i="1"/>
  <c r="N1182" i="1"/>
  <c r="J1182" i="1"/>
  <c r="I1182" i="1"/>
  <c r="H1182" i="1"/>
  <c r="G1182" i="1"/>
  <c r="F1182" i="1"/>
  <c r="E1182" i="1"/>
  <c r="D1182" i="1"/>
  <c r="C1182" i="1"/>
  <c r="B1182" i="1"/>
  <c r="A1182" i="1"/>
  <c r="R1181" i="1"/>
  <c r="Q1181" i="1"/>
  <c r="N1181" i="1"/>
  <c r="J1181" i="1"/>
  <c r="I1181" i="1"/>
  <c r="H1181" i="1"/>
  <c r="G1181" i="1"/>
  <c r="F1181" i="1"/>
  <c r="E1181" i="1"/>
  <c r="D1181" i="1"/>
  <c r="C1181" i="1"/>
  <c r="B1181" i="1"/>
  <c r="A1181" i="1"/>
  <c r="R1180" i="1"/>
  <c r="N1180" i="1"/>
  <c r="J1180" i="1"/>
  <c r="I1180" i="1"/>
  <c r="H1180" i="1"/>
  <c r="G1180" i="1"/>
  <c r="F1180" i="1"/>
  <c r="E1180" i="1"/>
  <c r="D1180" i="1"/>
  <c r="C1180" i="1"/>
  <c r="B1180" i="1"/>
  <c r="A1180" i="1"/>
  <c r="R1179" i="1"/>
  <c r="Q1179" i="1"/>
  <c r="N1179" i="1"/>
  <c r="J1179" i="1"/>
  <c r="I1179" i="1"/>
  <c r="H1179" i="1"/>
  <c r="G1179" i="1"/>
  <c r="F1179" i="1"/>
  <c r="E1179" i="1"/>
  <c r="D1179" i="1"/>
  <c r="C1179" i="1"/>
  <c r="B1179" i="1"/>
  <c r="A1179" i="1"/>
  <c r="R1178" i="1"/>
  <c r="N1178" i="1"/>
  <c r="J1178" i="1"/>
  <c r="I1178" i="1"/>
  <c r="H1178" i="1"/>
  <c r="G1178" i="1"/>
  <c r="F1178" i="1"/>
  <c r="E1178" i="1"/>
  <c r="D1178" i="1"/>
  <c r="C1178" i="1"/>
  <c r="B1178" i="1"/>
  <c r="A1178" i="1"/>
  <c r="R1177" i="1"/>
  <c r="Q1177" i="1"/>
  <c r="N1177" i="1"/>
  <c r="J1177" i="1"/>
  <c r="I1177" i="1"/>
  <c r="H1177" i="1"/>
  <c r="G1177" i="1"/>
  <c r="F1177" i="1"/>
  <c r="E1177" i="1"/>
  <c r="D1177" i="1"/>
  <c r="C1177" i="1"/>
  <c r="B1177" i="1"/>
  <c r="A1177" i="1"/>
  <c r="R1176" i="1"/>
  <c r="N1176" i="1"/>
  <c r="J1176" i="1"/>
  <c r="I1176" i="1"/>
  <c r="H1176" i="1"/>
  <c r="G1176" i="1"/>
  <c r="F1176" i="1"/>
  <c r="E1176" i="1"/>
  <c r="D1176" i="1"/>
  <c r="C1176" i="1"/>
  <c r="B1176" i="1"/>
  <c r="A1176" i="1"/>
  <c r="R1175" i="1"/>
  <c r="Q1175" i="1"/>
  <c r="N1175" i="1"/>
  <c r="J1175" i="1"/>
  <c r="I1175" i="1"/>
  <c r="H1175" i="1"/>
  <c r="G1175" i="1"/>
  <c r="F1175" i="1"/>
  <c r="E1175" i="1"/>
  <c r="D1175" i="1"/>
  <c r="C1175" i="1"/>
  <c r="B1175" i="1"/>
  <c r="A1175" i="1"/>
  <c r="R1174" i="1"/>
  <c r="N1174" i="1"/>
  <c r="J1174" i="1"/>
  <c r="I1174" i="1"/>
  <c r="H1174" i="1"/>
  <c r="G1174" i="1"/>
  <c r="F1174" i="1"/>
  <c r="E1174" i="1"/>
  <c r="D1174" i="1"/>
  <c r="C1174" i="1"/>
  <c r="B1174" i="1"/>
  <c r="A1174" i="1"/>
  <c r="R1173" i="1"/>
  <c r="Q1173" i="1"/>
  <c r="N1173" i="1"/>
  <c r="J1173" i="1"/>
  <c r="I1173" i="1"/>
  <c r="H1173" i="1"/>
  <c r="G1173" i="1"/>
  <c r="F1173" i="1"/>
  <c r="E1173" i="1"/>
  <c r="D1173" i="1"/>
  <c r="C1173" i="1"/>
  <c r="B1173" i="1"/>
  <c r="A1173" i="1"/>
  <c r="R1172" i="1"/>
  <c r="N1172" i="1"/>
  <c r="J1172" i="1"/>
  <c r="I1172" i="1"/>
  <c r="H1172" i="1"/>
  <c r="G1172" i="1"/>
  <c r="F1172" i="1"/>
  <c r="E1172" i="1"/>
  <c r="D1172" i="1"/>
  <c r="C1172" i="1"/>
  <c r="B1172" i="1"/>
  <c r="A1172" i="1"/>
  <c r="R1171" i="1"/>
  <c r="Q1171" i="1"/>
  <c r="N1171" i="1"/>
  <c r="J1171" i="1"/>
  <c r="I1171" i="1"/>
  <c r="H1171" i="1"/>
  <c r="G1171" i="1"/>
  <c r="F1171" i="1"/>
  <c r="E1171" i="1"/>
  <c r="D1171" i="1"/>
  <c r="C1171" i="1"/>
  <c r="B1171" i="1"/>
  <c r="A1171" i="1"/>
  <c r="R1170" i="1"/>
  <c r="N1170" i="1"/>
  <c r="J1170" i="1"/>
  <c r="I1170" i="1"/>
  <c r="H1170" i="1"/>
  <c r="G1170" i="1"/>
  <c r="F1170" i="1"/>
  <c r="E1170" i="1"/>
  <c r="D1170" i="1"/>
  <c r="C1170" i="1"/>
  <c r="B1170" i="1"/>
  <c r="A1170" i="1"/>
  <c r="R1169" i="1"/>
  <c r="Q1169" i="1"/>
  <c r="N1169" i="1"/>
  <c r="J1169" i="1"/>
  <c r="I1169" i="1"/>
  <c r="H1169" i="1"/>
  <c r="G1169" i="1"/>
  <c r="F1169" i="1"/>
  <c r="E1169" i="1"/>
  <c r="D1169" i="1"/>
  <c r="C1169" i="1"/>
  <c r="B1169" i="1"/>
  <c r="A1169" i="1"/>
  <c r="R1168" i="1"/>
  <c r="N1168" i="1"/>
  <c r="J1168" i="1"/>
  <c r="I1168" i="1"/>
  <c r="H1168" i="1"/>
  <c r="G1168" i="1"/>
  <c r="F1168" i="1"/>
  <c r="E1168" i="1"/>
  <c r="D1168" i="1"/>
  <c r="C1168" i="1"/>
  <c r="B1168" i="1"/>
  <c r="A1168" i="1"/>
  <c r="R1167" i="1"/>
  <c r="Q1167" i="1"/>
  <c r="N1167" i="1"/>
  <c r="J1167" i="1"/>
  <c r="I1167" i="1"/>
  <c r="H1167" i="1"/>
  <c r="G1167" i="1"/>
  <c r="F1167" i="1"/>
  <c r="E1167" i="1"/>
  <c r="D1167" i="1"/>
  <c r="C1167" i="1"/>
  <c r="B1167" i="1"/>
  <c r="A1167" i="1"/>
  <c r="R1166" i="1"/>
  <c r="N1166" i="1"/>
  <c r="J1166" i="1"/>
  <c r="I1166" i="1"/>
  <c r="H1166" i="1"/>
  <c r="G1166" i="1"/>
  <c r="F1166" i="1"/>
  <c r="E1166" i="1"/>
  <c r="D1166" i="1"/>
  <c r="C1166" i="1"/>
  <c r="B1166" i="1"/>
  <c r="A1166" i="1"/>
  <c r="R1165" i="1"/>
  <c r="Q1165" i="1"/>
  <c r="N1165" i="1"/>
  <c r="J1165" i="1"/>
  <c r="I1165" i="1"/>
  <c r="H1165" i="1"/>
  <c r="G1165" i="1"/>
  <c r="F1165" i="1"/>
  <c r="E1165" i="1"/>
  <c r="D1165" i="1"/>
  <c r="C1165" i="1"/>
  <c r="B1165" i="1"/>
  <c r="A1165" i="1"/>
  <c r="R1164" i="1"/>
  <c r="N1164" i="1"/>
  <c r="J1164" i="1"/>
  <c r="I1164" i="1"/>
  <c r="H1164" i="1"/>
  <c r="G1164" i="1"/>
  <c r="F1164" i="1"/>
  <c r="E1164" i="1"/>
  <c r="D1164" i="1"/>
  <c r="C1164" i="1"/>
  <c r="B1164" i="1"/>
  <c r="A1164" i="1"/>
  <c r="R1163" i="1"/>
  <c r="Q1163" i="1"/>
  <c r="N1163" i="1"/>
  <c r="J1163" i="1"/>
  <c r="I1163" i="1"/>
  <c r="H1163" i="1"/>
  <c r="G1163" i="1"/>
  <c r="F1163" i="1"/>
  <c r="E1163" i="1"/>
  <c r="D1163" i="1"/>
  <c r="C1163" i="1"/>
  <c r="B1163" i="1"/>
  <c r="A1163" i="1"/>
  <c r="R1162" i="1"/>
  <c r="N1162" i="1"/>
  <c r="J1162" i="1"/>
  <c r="I1162" i="1"/>
  <c r="H1162" i="1"/>
  <c r="G1162" i="1"/>
  <c r="F1162" i="1"/>
  <c r="E1162" i="1"/>
  <c r="D1162" i="1"/>
  <c r="C1162" i="1"/>
  <c r="B1162" i="1"/>
  <c r="A1162" i="1"/>
  <c r="R1161" i="1"/>
  <c r="Q1161" i="1"/>
  <c r="N1161" i="1"/>
  <c r="J1161" i="1"/>
  <c r="I1161" i="1"/>
  <c r="H1161" i="1"/>
  <c r="G1161" i="1"/>
  <c r="F1161" i="1"/>
  <c r="E1161" i="1"/>
  <c r="D1161" i="1"/>
  <c r="C1161" i="1"/>
  <c r="B1161" i="1"/>
  <c r="A1161" i="1"/>
  <c r="R1160" i="1"/>
  <c r="N1160" i="1"/>
  <c r="J1160" i="1"/>
  <c r="I1160" i="1"/>
  <c r="H1160" i="1"/>
  <c r="G1160" i="1"/>
  <c r="F1160" i="1"/>
  <c r="E1160" i="1"/>
  <c r="D1160" i="1"/>
  <c r="C1160" i="1"/>
  <c r="B1160" i="1"/>
  <c r="A1160" i="1"/>
  <c r="R1159" i="1"/>
  <c r="Q1159" i="1"/>
  <c r="N1159" i="1"/>
  <c r="J1159" i="1"/>
  <c r="I1159" i="1"/>
  <c r="H1159" i="1"/>
  <c r="G1159" i="1"/>
  <c r="F1159" i="1"/>
  <c r="E1159" i="1"/>
  <c r="D1159" i="1"/>
  <c r="C1159" i="1"/>
  <c r="B1159" i="1"/>
  <c r="A1159" i="1"/>
  <c r="R1158" i="1"/>
  <c r="N1158" i="1"/>
  <c r="J1158" i="1"/>
  <c r="I1158" i="1"/>
  <c r="H1158" i="1"/>
  <c r="G1158" i="1"/>
  <c r="F1158" i="1"/>
  <c r="E1158" i="1"/>
  <c r="D1158" i="1"/>
  <c r="C1158" i="1"/>
  <c r="B1158" i="1"/>
  <c r="A1158" i="1"/>
  <c r="R1157" i="1"/>
  <c r="Q1157" i="1"/>
  <c r="N1157" i="1"/>
  <c r="J1157" i="1"/>
  <c r="I1157" i="1"/>
  <c r="H1157" i="1"/>
  <c r="G1157" i="1"/>
  <c r="F1157" i="1"/>
  <c r="E1157" i="1"/>
  <c r="D1157" i="1"/>
  <c r="C1157" i="1"/>
  <c r="B1157" i="1"/>
  <c r="A1157" i="1"/>
  <c r="R1156" i="1"/>
  <c r="N1156" i="1"/>
  <c r="J1156" i="1"/>
  <c r="I1156" i="1"/>
  <c r="H1156" i="1"/>
  <c r="G1156" i="1"/>
  <c r="F1156" i="1"/>
  <c r="E1156" i="1"/>
  <c r="D1156" i="1"/>
  <c r="C1156" i="1"/>
  <c r="B1156" i="1"/>
  <c r="A1156" i="1"/>
  <c r="R1155" i="1"/>
  <c r="Q1155" i="1"/>
  <c r="N1155" i="1"/>
  <c r="J1155" i="1"/>
  <c r="I1155" i="1"/>
  <c r="H1155" i="1"/>
  <c r="G1155" i="1"/>
  <c r="F1155" i="1"/>
  <c r="E1155" i="1"/>
  <c r="D1155" i="1"/>
  <c r="C1155" i="1"/>
  <c r="B1155" i="1"/>
  <c r="A1155" i="1"/>
  <c r="R1154" i="1"/>
  <c r="N1154" i="1"/>
  <c r="J1154" i="1"/>
  <c r="I1154" i="1"/>
  <c r="H1154" i="1"/>
  <c r="G1154" i="1"/>
  <c r="F1154" i="1"/>
  <c r="E1154" i="1"/>
  <c r="D1154" i="1"/>
  <c r="C1154" i="1"/>
  <c r="B1154" i="1"/>
  <c r="A1154" i="1"/>
  <c r="R1153" i="1"/>
  <c r="Q1153" i="1"/>
  <c r="N1153" i="1"/>
  <c r="J1153" i="1"/>
  <c r="I1153" i="1"/>
  <c r="H1153" i="1"/>
  <c r="G1153" i="1"/>
  <c r="F1153" i="1"/>
  <c r="E1153" i="1"/>
  <c r="D1153" i="1"/>
  <c r="C1153" i="1"/>
  <c r="B1153" i="1"/>
  <c r="A1153" i="1"/>
  <c r="R1152" i="1"/>
  <c r="N1152" i="1"/>
  <c r="J1152" i="1"/>
  <c r="I1152" i="1"/>
  <c r="H1152" i="1"/>
  <c r="G1152" i="1"/>
  <c r="F1152" i="1"/>
  <c r="E1152" i="1"/>
  <c r="D1152" i="1"/>
  <c r="C1152" i="1"/>
  <c r="B1152" i="1"/>
  <c r="A1152" i="1"/>
  <c r="R1151" i="1"/>
  <c r="Q1151" i="1"/>
  <c r="N1151" i="1"/>
  <c r="J1151" i="1"/>
  <c r="I1151" i="1"/>
  <c r="H1151" i="1"/>
  <c r="G1151" i="1"/>
  <c r="F1151" i="1"/>
  <c r="E1151" i="1"/>
  <c r="D1151" i="1"/>
  <c r="C1151" i="1"/>
  <c r="B1151" i="1"/>
  <c r="A1151" i="1"/>
  <c r="R1150" i="1"/>
  <c r="N1150" i="1"/>
  <c r="J1150" i="1"/>
  <c r="I1150" i="1"/>
  <c r="H1150" i="1"/>
  <c r="G1150" i="1"/>
  <c r="F1150" i="1"/>
  <c r="E1150" i="1"/>
  <c r="D1150" i="1"/>
  <c r="C1150" i="1"/>
  <c r="B1150" i="1"/>
  <c r="A1150" i="1"/>
  <c r="R1149" i="1"/>
  <c r="Q1149" i="1"/>
  <c r="N1149" i="1"/>
  <c r="J1149" i="1"/>
  <c r="I1149" i="1"/>
  <c r="H1149" i="1"/>
  <c r="G1149" i="1"/>
  <c r="F1149" i="1"/>
  <c r="E1149" i="1"/>
  <c r="D1149" i="1"/>
  <c r="C1149" i="1"/>
  <c r="B1149" i="1"/>
  <c r="A1149" i="1"/>
  <c r="R1148" i="1"/>
  <c r="N1148" i="1"/>
  <c r="J1148" i="1"/>
  <c r="I1148" i="1"/>
  <c r="H1148" i="1"/>
  <c r="G1148" i="1"/>
  <c r="F1148" i="1"/>
  <c r="E1148" i="1"/>
  <c r="D1148" i="1"/>
  <c r="C1148" i="1"/>
  <c r="B1148" i="1"/>
  <c r="A1148" i="1"/>
  <c r="R1147" i="1"/>
  <c r="Q1147" i="1"/>
  <c r="N1147" i="1"/>
  <c r="J1147" i="1"/>
  <c r="I1147" i="1"/>
  <c r="H1147" i="1"/>
  <c r="G1147" i="1"/>
  <c r="F1147" i="1"/>
  <c r="E1147" i="1"/>
  <c r="D1147" i="1"/>
  <c r="C1147" i="1"/>
  <c r="B1147" i="1"/>
  <c r="A1147" i="1"/>
  <c r="R1146" i="1"/>
  <c r="N1146" i="1"/>
  <c r="J1146" i="1"/>
  <c r="I1146" i="1"/>
  <c r="H1146" i="1"/>
  <c r="G1146" i="1"/>
  <c r="F1146" i="1"/>
  <c r="E1146" i="1"/>
  <c r="D1146" i="1"/>
  <c r="C1146" i="1"/>
  <c r="B1146" i="1"/>
  <c r="A1146" i="1"/>
  <c r="R1145" i="1"/>
  <c r="Q1145" i="1"/>
  <c r="N1145" i="1"/>
  <c r="J1145" i="1"/>
  <c r="I1145" i="1"/>
  <c r="H1145" i="1"/>
  <c r="G1145" i="1"/>
  <c r="F1145" i="1"/>
  <c r="E1145" i="1"/>
  <c r="D1145" i="1"/>
  <c r="C1145" i="1"/>
  <c r="B1145" i="1"/>
  <c r="A1145" i="1"/>
  <c r="R1144" i="1"/>
  <c r="N1144" i="1"/>
  <c r="J1144" i="1"/>
  <c r="I1144" i="1"/>
  <c r="H1144" i="1"/>
  <c r="G1144" i="1"/>
  <c r="F1144" i="1"/>
  <c r="E1144" i="1"/>
  <c r="D1144" i="1"/>
  <c r="C1144" i="1"/>
  <c r="B1144" i="1"/>
  <c r="A1144" i="1"/>
  <c r="R1143" i="1"/>
  <c r="Q1143" i="1"/>
  <c r="N1143" i="1"/>
  <c r="J1143" i="1"/>
  <c r="I1143" i="1"/>
  <c r="H1143" i="1"/>
  <c r="G1143" i="1"/>
  <c r="F1143" i="1"/>
  <c r="E1143" i="1"/>
  <c r="D1143" i="1"/>
  <c r="C1143" i="1"/>
  <c r="B1143" i="1"/>
  <c r="A1143" i="1"/>
  <c r="R1142" i="1"/>
  <c r="N1142" i="1"/>
  <c r="J1142" i="1"/>
  <c r="I1142" i="1"/>
  <c r="H1142" i="1"/>
  <c r="G1142" i="1"/>
  <c r="F1142" i="1"/>
  <c r="E1142" i="1"/>
  <c r="D1142" i="1"/>
  <c r="C1142" i="1"/>
  <c r="B1142" i="1"/>
  <c r="A1142" i="1"/>
  <c r="R1141" i="1"/>
  <c r="Q1141" i="1"/>
  <c r="N1141" i="1"/>
  <c r="J1141" i="1"/>
  <c r="I1141" i="1"/>
  <c r="H1141" i="1"/>
  <c r="G1141" i="1"/>
  <c r="F1141" i="1"/>
  <c r="E1141" i="1"/>
  <c r="D1141" i="1"/>
  <c r="C1141" i="1"/>
  <c r="B1141" i="1"/>
  <c r="A1141" i="1"/>
  <c r="R1140" i="1"/>
  <c r="N1140" i="1"/>
  <c r="J1140" i="1"/>
  <c r="I1140" i="1"/>
  <c r="H1140" i="1"/>
  <c r="G1140" i="1"/>
  <c r="F1140" i="1"/>
  <c r="E1140" i="1"/>
  <c r="D1140" i="1"/>
  <c r="C1140" i="1"/>
  <c r="B1140" i="1"/>
  <c r="A1140" i="1"/>
  <c r="R1139" i="1"/>
  <c r="Q1139" i="1"/>
  <c r="N1139" i="1"/>
  <c r="J1139" i="1"/>
  <c r="I1139" i="1"/>
  <c r="H1139" i="1"/>
  <c r="G1139" i="1"/>
  <c r="F1139" i="1"/>
  <c r="E1139" i="1"/>
  <c r="D1139" i="1"/>
  <c r="C1139" i="1"/>
  <c r="B1139" i="1"/>
  <c r="A1139" i="1"/>
  <c r="R1138" i="1"/>
  <c r="N1138" i="1"/>
  <c r="J1138" i="1"/>
  <c r="I1138" i="1"/>
  <c r="H1138" i="1"/>
  <c r="G1138" i="1"/>
  <c r="F1138" i="1"/>
  <c r="E1138" i="1"/>
  <c r="D1138" i="1"/>
  <c r="C1138" i="1"/>
  <c r="B1138" i="1"/>
  <c r="A1138" i="1"/>
  <c r="R1137" i="1"/>
  <c r="Q1137" i="1"/>
  <c r="N1137" i="1"/>
  <c r="J1137" i="1"/>
  <c r="I1137" i="1"/>
  <c r="H1137" i="1"/>
  <c r="G1137" i="1"/>
  <c r="F1137" i="1"/>
  <c r="E1137" i="1"/>
  <c r="D1137" i="1"/>
  <c r="C1137" i="1"/>
  <c r="B1137" i="1"/>
  <c r="A1137" i="1"/>
  <c r="R1136" i="1"/>
  <c r="N1136" i="1"/>
  <c r="J1136" i="1"/>
  <c r="I1136" i="1"/>
  <c r="H1136" i="1"/>
  <c r="G1136" i="1"/>
  <c r="F1136" i="1"/>
  <c r="E1136" i="1"/>
  <c r="D1136" i="1"/>
  <c r="C1136" i="1"/>
  <c r="B1136" i="1"/>
  <c r="A1136" i="1"/>
  <c r="R1135" i="1"/>
  <c r="Q1135" i="1"/>
  <c r="N1135" i="1"/>
  <c r="J1135" i="1"/>
  <c r="I1135" i="1"/>
  <c r="H1135" i="1"/>
  <c r="G1135" i="1"/>
  <c r="F1135" i="1"/>
  <c r="E1135" i="1"/>
  <c r="D1135" i="1"/>
  <c r="C1135" i="1"/>
  <c r="B1135" i="1"/>
  <c r="A1135" i="1"/>
  <c r="R1134" i="1"/>
  <c r="N1134" i="1"/>
  <c r="J1134" i="1"/>
  <c r="I1134" i="1"/>
  <c r="H1134" i="1"/>
  <c r="G1134" i="1"/>
  <c r="F1134" i="1"/>
  <c r="E1134" i="1"/>
  <c r="D1134" i="1"/>
  <c r="C1134" i="1"/>
  <c r="B1134" i="1"/>
  <c r="A1134" i="1"/>
  <c r="R1133" i="1"/>
  <c r="Q1133" i="1"/>
  <c r="N1133" i="1"/>
  <c r="J1133" i="1"/>
  <c r="I1133" i="1"/>
  <c r="H1133" i="1"/>
  <c r="G1133" i="1"/>
  <c r="F1133" i="1"/>
  <c r="E1133" i="1"/>
  <c r="D1133" i="1"/>
  <c r="C1133" i="1"/>
  <c r="B1133" i="1"/>
  <c r="A1133" i="1"/>
  <c r="R1132" i="1"/>
  <c r="N1132" i="1"/>
  <c r="J1132" i="1"/>
  <c r="I1132" i="1"/>
  <c r="H1132" i="1"/>
  <c r="G1132" i="1"/>
  <c r="F1132" i="1"/>
  <c r="E1132" i="1"/>
  <c r="D1132" i="1"/>
  <c r="C1132" i="1"/>
  <c r="B1132" i="1"/>
  <c r="A1132" i="1"/>
  <c r="R1131" i="1"/>
  <c r="Q1131" i="1"/>
  <c r="N1131" i="1"/>
  <c r="J1131" i="1"/>
  <c r="I1131" i="1"/>
  <c r="H1131" i="1"/>
  <c r="G1131" i="1"/>
  <c r="F1131" i="1"/>
  <c r="E1131" i="1"/>
  <c r="D1131" i="1"/>
  <c r="C1131" i="1"/>
  <c r="B1131" i="1"/>
  <c r="A1131" i="1"/>
  <c r="R1130" i="1"/>
  <c r="N1130" i="1"/>
  <c r="J1130" i="1"/>
  <c r="I1130" i="1"/>
  <c r="H1130" i="1"/>
  <c r="G1130" i="1"/>
  <c r="F1130" i="1"/>
  <c r="E1130" i="1"/>
  <c r="D1130" i="1"/>
  <c r="C1130" i="1"/>
  <c r="B1130" i="1"/>
  <c r="A1130" i="1"/>
  <c r="R1129" i="1"/>
  <c r="Q1129" i="1"/>
  <c r="N1129" i="1"/>
  <c r="J1129" i="1"/>
  <c r="I1129" i="1"/>
  <c r="H1129" i="1"/>
  <c r="G1129" i="1"/>
  <c r="F1129" i="1"/>
  <c r="E1129" i="1"/>
  <c r="D1129" i="1"/>
  <c r="C1129" i="1"/>
  <c r="B1129" i="1"/>
  <c r="A1129" i="1"/>
  <c r="R1128" i="1"/>
  <c r="N1128" i="1"/>
  <c r="J1128" i="1"/>
  <c r="I1128" i="1"/>
  <c r="H1128" i="1"/>
  <c r="G1128" i="1"/>
  <c r="F1128" i="1"/>
  <c r="E1128" i="1"/>
  <c r="D1128" i="1"/>
  <c r="C1128" i="1"/>
  <c r="B1128" i="1"/>
  <c r="A1128" i="1"/>
  <c r="R1127" i="1"/>
  <c r="Q1127" i="1"/>
  <c r="N1127" i="1"/>
  <c r="J1127" i="1"/>
  <c r="I1127" i="1"/>
  <c r="H1127" i="1"/>
  <c r="G1127" i="1"/>
  <c r="F1127" i="1"/>
  <c r="E1127" i="1"/>
  <c r="D1127" i="1"/>
  <c r="C1127" i="1"/>
  <c r="B1127" i="1"/>
  <c r="A1127" i="1"/>
  <c r="R1126" i="1"/>
  <c r="N1126" i="1"/>
  <c r="J1126" i="1"/>
  <c r="I1126" i="1"/>
  <c r="H1126" i="1"/>
  <c r="G1126" i="1"/>
  <c r="F1126" i="1"/>
  <c r="E1126" i="1"/>
  <c r="D1126" i="1"/>
  <c r="C1126" i="1"/>
  <c r="B1126" i="1"/>
  <c r="A1126" i="1"/>
  <c r="R1125" i="1"/>
  <c r="N1125" i="1"/>
  <c r="J1125" i="1"/>
  <c r="I1125" i="1"/>
  <c r="H1125" i="1"/>
  <c r="G1125" i="1"/>
  <c r="F1125" i="1"/>
  <c r="E1125" i="1"/>
  <c r="D1125" i="1"/>
  <c r="C1125" i="1"/>
  <c r="B1125" i="1"/>
  <c r="A1125" i="1"/>
  <c r="R1124" i="1"/>
  <c r="N1124" i="1"/>
  <c r="J1124" i="1"/>
  <c r="I1124" i="1"/>
  <c r="H1124" i="1"/>
  <c r="G1124" i="1"/>
  <c r="F1124" i="1"/>
  <c r="E1124" i="1"/>
  <c r="D1124" i="1"/>
  <c r="C1124" i="1"/>
  <c r="B1124" i="1"/>
  <c r="A1124" i="1"/>
  <c r="R1123" i="1"/>
  <c r="Q1123" i="1"/>
  <c r="N1123" i="1"/>
  <c r="J1123" i="1"/>
  <c r="I1123" i="1"/>
  <c r="H1123" i="1"/>
  <c r="G1123" i="1"/>
  <c r="F1123" i="1"/>
  <c r="E1123" i="1"/>
  <c r="D1123" i="1"/>
  <c r="C1123" i="1"/>
  <c r="B1123" i="1"/>
  <c r="A1123" i="1"/>
  <c r="R1122" i="1"/>
  <c r="N1122" i="1"/>
  <c r="J1122" i="1"/>
  <c r="I1122" i="1"/>
  <c r="H1122" i="1"/>
  <c r="G1122" i="1"/>
  <c r="F1122" i="1"/>
  <c r="E1122" i="1"/>
  <c r="D1122" i="1"/>
  <c r="C1122" i="1"/>
  <c r="B1122" i="1"/>
  <c r="A1122" i="1"/>
  <c r="R1121" i="1"/>
  <c r="Q1121" i="1"/>
  <c r="N1121" i="1"/>
  <c r="J1121" i="1"/>
  <c r="I1121" i="1"/>
  <c r="H1121" i="1"/>
  <c r="G1121" i="1"/>
  <c r="F1121" i="1"/>
  <c r="E1121" i="1"/>
  <c r="D1121" i="1"/>
  <c r="C1121" i="1"/>
  <c r="B1121" i="1"/>
  <c r="A1121" i="1"/>
  <c r="R1120" i="1"/>
  <c r="Q1120" i="1"/>
  <c r="N1120" i="1"/>
  <c r="J1120" i="1"/>
  <c r="I1120" i="1"/>
  <c r="H1120" i="1"/>
  <c r="G1120" i="1"/>
  <c r="F1120" i="1"/>
  <c r="E1120" i="1"/>
  <c r="D1120" i="1"/>
  <c r="C1120" i="1"/>
  <c r="B1120" i="1"/>
  <c r="A1120" i="1"/>
  <c r="R1119" i="1"/>
  <c r="N1119" i="1"/>
  <c r="J1119" i="1"/>
  <c r="I1119" i="1"/>
  <c r="H1119" i="1"/>
  <c r="G1119" i="1"/>
  <c r="F1119" i="1"/>
  <c r="E1119" i="1"/>
  <c r="D1119" i="1"/>
  <c r="C1119" i="1"/>
  <c r="B1119" i="1"/>
  <c r="A1119" i="1"/>
  <c r="R1118" i="1"/>
  <c r="Q1118" i="1"/>
  <c r="N1118" i="1"/>
  <c r="J1118" i="1"/>
  <c r="I1118" i="1"/>
  <c r="H1118" i="1"/>
  <c r="G1118" i="1"/>
  <c r="F1118" i="1"/>
  <c r="E1118" i="1"/>
  <c r="D1118" i="1"/>
  <c r="C1118" i="1"/>
  <c r="B1118" i="1"/>
  <c r="A1118" i="1"/>
  <c r="R1117" i="1"/>
  <c r="Q1117" i="1"/>
  <c r="N1117" i="1"/>
  <c r="J1117" i="1"/>
  <c r="I1117" i="1"/>
  <c r="H1117" i="1"/>
  <c r="G1117" i="1"/>
  <c r="F1117" i="1"/>
  <c r="E1117" i="1"/>
  <c r="D1117" i="1"/>
  <c r="C1117" i="1"/>
  <c r="B1117" i="1"/>
  <c r="A1117" i="1"/>
  <c r="R1116" i="1"/>
  <c r="Q1116" i="1"/>
  <c r="N1116" i="1"/>
  <c r="J1116" i="1"/>
  <c r="I1116" i="1"/>
  <c r="H1116" i="1"/>
  <c r="G1116" i="1"/>
  <c r="F1116" i="1"/>
  <c r="E1116" i="1"/>
  <c r="D1116" i="1"/>
  <c r="C1116" i="1"/>
  <c r="B1116" i="1"/>
  <c r="A1116" i="1"/>
  <c r="R1115" i="1"/>
  <c r="Q1115" i="1"/>
  <c r="N1115" i="1"/>
  <c r="J1115" i="1"/>
  <c r="I1115" i="1"/>
  <c r="H1115" i="1"/>
  <c r="G1115" i="1"/>
  <c r="F1115" i="1"/>
  <c r="E1115" i="1"/>
  <c r="D1115" i="1"/>
  <c r="C1115" i="1"/>
  <c r="B1115" i="1"/>
  <c r="A1115" i="1"/>
  <c r="R1114" i="1"/>
  <c r="Q1114" i="1"/>
  <c r="N1114" i="1"/>
  <c r="J1114" i="1"/>
  <c r="I1114" i="1"/>
  <c r="H1114" i="1"/>
  <c r="G1114" i="1"/>
  <c r="F1114" i="1"/>
  <c r="E1114" i="1"/>
  <c r="D1114" i="1"/>
  <c r="C1114" i="1"/>
  <c r="B1114" i="1"/>
  <c r="A1114" i="1"/>
  <c r="R1113" i="1"/>
  <c r="N1113" i="1"/>
  <c r="J1113" i="1"/>
  <c r="I1113" i="1"/>
  <c r="H1113" i="1"/>
  <c r="G1113" i="1"/>
  <c r="F1113" i="1"/>
  <c r="E1113" i="1"/>
  <c r="D1113" i="1"/>
  <c r="C1113" i="1"/>
  <c r="B1113" i="1"/>
  <c r="A1113" i="1"/>
  <c r="R1112" i="1"/>
  <c r="Q1112" i="1"/>
  <c r="N1112" i="1"/>
  <c r="J1112" i="1"/>
  <c r="I1112" i="1"/>
  <c r="H1112" i="1"/>
  <c r="G1112" i="1"/>
  <c r="F1112" i="1"/>
  <c r="E1112" i="1"/>
  <c r="D1112" i="1"/>
  <c r="C1112" i="1"/>
  <c r="B1112" i="1"/>
  <c r="A1112" i="1"/>
  <c r="R1111" i="1"/>
  <c r="N1111" i="1"/>
  <c r="J1111" i="1"/>
  <c r="I1111" i="1"/>
  <c r="H1111" i="1"/>
  <c r="G1111" i="1"/>
  <c r="F1111" i="1"/>
  <c r="E1111" i="1"/>
  <c r="D1111" i="1"/>
  <c r="C1111" i="1"/>
  <c r="B1111" i="1"/>
  <c r="A1111" i="1"/>
  <c r="R1110" i="1"/>
  <c r="Q1110" i="1"/>
  <c r="N1110" i="1"/>
  <c r="J1110" i="1"/>
  <c r="I1110" i="1"/>
  <c r="H1110" i="1"/>
  <c r="G1110" i="1"/>
  <c r="F1110" i="1"/>
  <c r="E1110" i="1"/>
  <c r="D1110" i="1"/>
  <c r="C1110" i="1"/>
  <c r="B1110" i="1"/>
  <c r="A1110" i="1"/>
  <c r="R1109" i="1"/>
  <c r="Q1109" i="1"/>
  <c r="N1109" i="1"/>
  <c r="J1109" i="1"/>
  <c r="I1109" i="1"/>
  <c r="H1109" i="1"/>
  <c r="G1109" i="1"/>
  <c r="F1109" i="1"/>
  <c r="E1109" i="1"/>
  <c r="D1109" i="1"/>
  <c r="C1109" i="1"/>
  <c r="B1109" i="1"/>
  <c r="A1109" i="1"/>
  <c r="R1108" i="1"/>
  <c r="N1108" i="1"/>
  <c r="J1108" i="1"/>
  <c r="I1108" i="1"/>
  <c r="H1108" i="1"/>
  <c r="G1108" i="1"/>
  <c r="F1108" i="1"/>
  <c r="E1108" i="1"/>
  <c r="D1108" i="1"/>
  <c r="C1108" i="1"/>
  <c r="B1108" i="1"/>
  <c r="A1108" i="1"/>
  <c r="R1107" i="1"/>
  <c r="Q1107" i="1"/>
  <c r="N1107" i="1"/>
  <c r="J1107" i="1"/>
  <c r="I1107" i="1"/>
  <c r="H1107" i="1"/>
  <c r="G1107" i="1"/>
  <c r="F1107" i="1"/>
  <c r="E1107" i="1"/>
  <c r="D1107" i="1"/>
  <c r="C1107" i="1"/>
  <c r="B1107" i="1"/>
  <c r="A1107" i="1"/>
  <c r="R1106" i="1"/>
  <c r="N1106" i="1"/>
  <c r="J1106" i="1"/>
  <c r="I1106" i="1"/>
  <c r="H1106" i="1"/>
  <c r="G1106" i="1"/>
  <c r="F1106" i="1"/>
  <c r="E1106" i="1"/>
  <c r="D1106" i="1"/>
  <c r="C1106" i="1"/>
  <c r="B1106" i="1"/>
  <c r="A1106" i="1"/>
  <c r="R1105" i="1"/>
  <c r="Q1105" i="1"/>
  <c r="N1105" i="1"/>
  <c r="J1105" i="1"/>
  <c r="I1105" i="1"/>
  <c r="H1105" i="1"/>
  <c r="G1105" i="1"/>
  <c r="F1105" i="1"/>
  <c r="E1105" i="1"/>
  <c r="D1105" i="1"/>
  <c r="C1105" i="1"/>
  <c r="B1105" i="1"/>
  <c r="A1105" i="1"/>
  <c r="R1104" i="1"/>
  <c r="N1104" i="1"/>
  <c r="J1104" i="1"/>
  <c r="I1104" i="1"/>
  <c r="H1104" i="1"/>
  <c r="G1104" i="1"/>
  <c r="F1104" i="1"/>
  <c r="E1104" i="1"/>
  <c r="D1104" i="1"/>
  <c r="C1104" i="1"/>
  <c r="B1104" i="1"/>
  <c r="A1104" i="1"/>
  <c r="R1103" i="1"/>
  <c r="Q1103" i="1"/>
  <c r="N1103" i="1"/>
  <c r="J1103" i="1"/>
  <c r="I1103" i="1"/>
  <c r="H1103" i="1"/>
  <c r="G1103" i="1"/>
  <c r="F1103" i="1"/>
  <c r="E1103" i="1"/>
  <c r="D1103" i="1"/>
  <c r="C1103" i="1"/>
  <c r="B1103" i="1"/>
  <c r="A1103" i="1"/>
  <c r="R1102" i="1"/>
  <c r="N1102" i="1"/>
  <c r="J1102" i="1"/>
  <c r="I1102" i="1"/>
  <c r="H1102" i="1"/>
  <c r="G1102" i="1"/>
  <c r="F1102" i="1"/>
  <c r="E1102" i="1"/>
  <c r="D1102" i="1"/>
  <c r="C1102" i="1"/>
  <c r="B1102" i="1"/>
  <c r="A1102" i="1"/>
  <c r="R1101" i="1"/>
  <c r="Q1101" i="1"/>
  <c r="N1101" i="1"/>
  <c r="J1101" i="1"/>
  <c r="I1101" i="1"/>
  <c r="H1101" i="1"/>
  <c r="G1101" i="1"/>
  <c r="F1101" i="1"/>
  <c r="E1101" i="1"/>
  <c r="D1101" i="1"/>
  <c r="C1101" i="1"/>
  <c r="B1101" i="1"/>
  <c r="A1101" i="1"/>
  <c r="R1100" i="1"/>
  <c r="N1100" i="1"/>
  <c r="J1100" i="1"/>
  <c r="I1100" i="1"/>
  <c r="H1100" i="1"/>
  <c r="G1100" i="1"/>
  <c r="F1100" i="1"/>
  <c r="E1100" i="1"/>
  <c r="D1100" i="1"/>
  <c r="C1100" i="1"/>
  <c r="B1100" i="1"/>
  <c r="A1100" i="1"/>
  <c r="R1099" i="1"/>
  <c r="Q1099" i="1"/>
  <c r="N1099" i="1"/>
  <c r="J1099" i="1"/>
  <c r="I1099" i="1"/>
  <c r="H1099" i="1"/>
  <c r="G1099" i="1"/>
  <c r="F1099" i="1"/>
  <c r="E1099" i="1"/>
  <c r="D1099" i="1"/>
  <c r="C1099" i="1"/>
  <c r="B1099" i="1"/>
  <c r="A1099" i="1"/>
  <c r="R1098" i="1"/>
  <c r="N1098" i="1"/>
  <c r="J1098" i="1"/>
  <c r="I1098" i="1"/>
  <c r="H1098" i="1"/>
  <c r="G1098" i="1"/>
  <c r="F1098" i="1"/>
  <c r="E1098" i="1"/>
  <c r="D1098" i="1"/>
  <c r="C1098" i="1"/>
  <c r="B1098" i="1"/>
  <c r="A1098" i="1"/>
  <c r="R1097" i="1"/>
  <c r="Q1097" i="1"/>
  <c r="N1097" i="1"/>
  <c r="J1097" i="1"/>
  <c r="I1097" i="1"/>
  <c r="H1097" i="1"/>
  <c r="G1097" i="1"/>
  <c r="F1097" i="1"/>
  <c r="E1097" i="1"/>
  <c r="D1097" i="1"/>
  <c r="C1097" i="1"/>
  <c r="B1097" i="1"/>
  <c r="A1097" i="1"/>
  <c r="R1096" i="1"/>
  <c r="N1096" i="1"/>
  <c r="J1096" i="1"/>
  <c r="I1096" i="1"/>
  <c r="H1096" i="1"/>
  <c r="G1096" i="1"/>
  <c r="F1096" i="1"/>
  <c r="E1096" i="1"/>
  <c r="D1096" i="1"/>
  <c r="C1096" i="1"/>
  <c r="B1096" i="1"/>
  <c r="A1096" i="1"/>
  <c r="R1095" i="1"/>
  <c r="Q1095" i="1"/>
  <c r="N1095" i="1"/>
  <c r="J1095" i="1"/>
  <c r="I1095" i="1"/>
  <c r="H1095" i="1"/>
  <c r="G1095" i="1"/>
  <c r="F1095" i="1"/>
  <c r="E1095" i="1"/>
  <c r="D1095" i="1"/>
  <c r="C1095" i="1"/>
  <c r="B1095" i="1"/>
  <c r="A1095" i="1"/>
  <c r="R1094" i="1"/>
  <c r="Q1094" i="1"/>
  <c r="N1094" i="1"/>
  <c r="J1094" i="1"/>
  <c r="I1094" i="1"/>
  <c r="H1094" i="1"/>
  <c r="G1094" i="1"/>
  <c r="F1094" i="1"/>
  <c r="E1094" i="1"/>
  <c r="D1094" i="1"/>
  <c r="C1094" i="1"/>
  <c r="B1094" i="1"/>
  <c r="A1094" i="1"/>
  <c r="R1093" i="1"/>
  <c r="Q1093" i="1"/>
  <c r="N1093" i="1"/>
  <c r="J1093" i="1"/>
  <c r="I1093" i="1"/>
  <c r="H1093" i="1"/>
  <c r="G1093" i="1"/>
  <c r="F1093" i="1"/>
  <c r="E1093" i="1"/>
  <c r="D1093" i="1"/>
  <c r="C1093" i="1"/>
  <c r="B1093" i="1"/>
  <c r="A1093" i="1"/>
  <c r="R1092" i="1"/>
  <c r="Q1092" i="1"/>
  <c r="N1092" i="1"/>
  <c r="J1092" i="1"/>
  <c r="I1092" i="1"/>
  <c r="H1092" i="1"/>
  <c r="G1092" i="1"/>
  <c r="F1092" i="1"/>
  <c r="E1092" i="1"/>
  <c r="D1092" i="1"/>
  <c r="C1092" i="1"/>
  <c r="B1092" i="1"/>
  <c r="A1092" i="1"/>
  <c r="R1091" i="1"/>
  <c r="N1091" i="1"/>
  <c r="J1091" i="1"/>
  <c r="I1091" i="1"/>
  <c r="H1091" i="1"/>
  <c r="G1091" i="1"/>
  <c r="F1091" i="1"/>
  <c r="E1091" i="1"/>
  <c r="D1091" i="1"/>
  <c r="C1091" i="1"/>
  <c r="B1091" i="1"/>
  <c r="A1091" i="1"/>
  <c r="R1090" i="1"/>
  <c r="Q1090" i="1"/>
  <c r="N1090" i="1"/>
  <c r="J1090" i="1"/>
  <c r="I1090" i="1"/>
  <c r="H1090" i="1"/>
  <c r="G1090" i="1"/>
  <c r="F1090" i="1"/>
  <c r="E1090" i="1"/>
  <c r="D1090" i="1"/>
  <c r="C1090" i="1"/>
  <c r="B1090" i="1"/>
  <c r="A1090" i="1"/>
  <c r="R1089" i="1"/>
  <c r="Q1089" i="1"/>
  <c r="N1089" i="1"/>
  <c r="J1089" i="1"/>
  <c r="I1089" i="1"/>
  <c r="H1089" i="1"/>
  <c r="G1089" i="1"/>
  <c r="F1089" i="1"/>
  <c r="E1089" i="1"/>
  <c r="D1089" i="1"/>
  <c r="C1089" i="1"/>
  <c r="B1089" i="1"/>
  <c r="A1089" i="1"/>
  <c r="R1088" i="1"/>
  <c r="Q1088" i="1"/>
  <c r="N1088" i="1"/>
  <c r="J1088" i="1"/>
  <c r="I1088" i="1"/>
  <c r="H1088" i="1"/>
  <c r="G1088" i="1"/>
  <c r="F1088" i="1"/>
  <c r="E1088" i="1"/>
  <c r="D1088" i="1"/>
  <c r="C1088" i="1"/>
  <c r="B1088" i="1"/>
  <c r="A1088" i="1"/>
  <c r="R1087" i="1"/>
  <c r="N1087" i="1"/>
  <c r="J1087" i="1"/>
  <c r="I1087" i="1"/>
  <c r="H1087" i="1"/>
  <c r="G1087" i="1"/>
  <c r="F1087" i="1"/>
  <c r="E1087" i="1"/>
  <c r="D1087" i="1"/>
  <c r="C1087" i="1"/>
  <c r="B1087" i="1"/>
  <c r="A1087" i="1"/>
  <c r="R1086" i="1"/>
  <c r="Q1086" i="1"/>
  <c r="N1086" i="1"/>
  <c r="J1086" i="1"/>
  <c r="I1086" i="1"/>
  <c r="H1086" i="1"/>
  <c r="G1086" i="1"/>
  <c r="F1086" i="1"/>
  <c r="E1086" i="1"/>
  <c r="D1086" i="1"/>
  <c r="C1086" i="1"/>
  <c r="B1086" i="1"/>
  <c r="A1086" i="1"/>
  <c r="R1085" i="1"/>
  <c r="Q1085" i="1"/>
  <c r="N1085" i="1"/>
  <c r="J1085" i="1"/>
  <c r="I1085" i="1"/>
  <c r="H1085" i="1"/>
  <c r="G1085" i="1"/>
  <c r="F1085" i="1"/>
  <c r="E1085" i="1"/>
  <c r="D1085" i="1"/>
  <c r="C1085" i="1"/>
  <c r="B1085" i="1"/>
  <c r="A1085" i="1"/>
  <c r="R1084" i="1"/>
  <c r="Q1084" i="1"/>
  <c r="N1084" i="1"/>
  <c r="J1084" i="1"/>
  <c r="I1084" i="1"/>
  <c r="H1084" i="1"/>
  <c r="G1084" i="1"/>
  <c r="F1084" i="1"/>
  <c r="E1084" i="1"/>
  <c r="D1084" i="1"/>
  <c r="C1084" i="1"/>
  <c r="B1084" i="1"/>
  <c r="A1084" i="1"/>
  <c r="R1083" i="1"/>
  <c r="Q1083" i="1"/>
  <c r="N1083" i="1"/>
  <c r="J1083" i="1"/>
  <c r="I1083" i="1"/>
  <c r="H1083" i="1"/>
  <c r="G1083" i="1"/>
  <c r="F1083" i="1"/>
  <c r="E1083" i="1"/>
  <c r="D1083" i="1"/>
  <c r="C1083" i="1"/>
  <c r="B1083" i="1"/>
  <c r="A1083" i="1"/>
  <c r="R1082" i="1"/>
  <c r="Q1082" i="1"/>
  <c r="N1082" i="1"/>
  <c r="J1082" i="1"/>
  <c r="I1082" i="1"/>
  <c r="H1082" i="1"/>
  <c r="G1082" i="1"/>
  <c r="F1082" i="1"/>
  <c r="E1082" i="1"/>
  <c r="D1082" i="1"/>
  <c r="C1082" i="1"/>
  <c r="B1082" i="1"/>
  <c r="A1082" i="1"/>
  <c r="R1081" i="1"/>
  <c r="Q1081" i="1"/>
  <c r="N1081" i="1"/>
  <c r="J1081" i="1"/>
  <c r="I1081" i="1"/>
  <c r="H1081" i="1"/>
  <c r="G1081" i="1"/>
  <c r="F1081" i="1"/>
  <c r="E1081" i="1"/>
  <c r="D1081" i="1"/>
  <c r="C1081" i="1"/>
  <c r="B1081" i="1"/>
  <c r="A1081" i="1"/>
  <c r="R1080" i="1"/>
  <c r="N1080" i="1"/>
  <c r="J1080" i="1"/>
  <c r="I1080" i="1"/>
  <c r="H1080" i="1"/>
  <c r="G1080" i="1"/>
  <c r="F1080" i="1"/>
  <c r="E1080" i="1"/>
  <c r="D1080" i="1"/>
  <c r="C1080" i="1"/>
  <c r="B1080" i="1"/>
  <c r="A1080" i="1"/>
  <c r="R1079" i="1"/>
  <c r="Q1079" i="1"/>
  <c r="N1079" i="1"/>
  <c r="J1079" i="1"/>
  <c r="I1079" i="1"/>
  <c r="H1079" i="1"/>
  <c r="G1079" i="1"/>
  <c r="F1079" i="1"/>
  <c r="E1079" i="1"/>
  <c r="D1079" i="1"/>
  <c r="C1079" i="1"/>
  <c r="B1079" i="1"/>
  <c r="A1079" i="1"/>
  <c r="R1078" i="1"/>
  <c r="N1078" i="1"/>
  <c r="J1078" i="1"/>
  <c r="I1078" i="1"/>
  <c r="H1078" i="1"/>
  <c r="G1078" i="1"/>
  <c r="F1078" i="1"/>
  <c r="E1078" i="1"/>
  <c r="D1078" i="1"/>
  <c r="C1078" i="1"/>
  <c r="B1078" i="1"/>
  <c r="A1078" i="1"/>
  <c r="R1077" i="1"/>
  <c r="Q1077" i="1"/>
  <c r="N1077" i="1"/>
  <c r="J1077" i="1"/>
  <c r="I1077" i="1"/>
  <c r="H1077" i="1"/>
  <c r="G1077" i="1"/>
  <c r="F1077" i="1"/>
  <c r="E1077" i="1"/>
  <c r="D1077" i="1"/>
  <c r="C1077" i="1"/>
  <c r="B1077" i="1"/>
  <c r="A1077" i="1"/>
  <c r="R1076" i="1"/>
  <c r="N1076" i="1"/>
  <c r="J1076" i="1"/>
  <c r="I1076" i="1"/>
  <c r="H1076" i="1"/>
  <c r="G1076" i="1"/>
  <c r="F1076" i="1"/>
  <c r="E1076" i="1"/>
  <c r="D1076" i="1"/>
  <c r="C1076" i="1"/>
  <c r="B1076" i="1"/>
  <c r="A1076" i="1"/>
  <c r="R1075" i="1"/>
  <c r="Q1075" i="1"/>
  <c r="N1075" i="1"/>
  <c r="J1075" i="1"/>
  <c r="I1075" i="1"/>
  <c r="H1075" i="1"/>
  <c r="G1075" i="1"/>
  <c r="F1075" i="1"/>
  <c r="E1075" i="1"/>
  <c r="D1075" i="1"/>
  <c r="C1075" i="1"/>
  <c r="B1075" i="1"/>
  <c r="A1075" i="1"/>
  <c r="R1074" i="1"/>
  <c r="N1074" i="1"/>
  <c r="J1074" i="1"/>
  <c r="I1074" i="1"/>
  <c r="H1074" i="1"/>
  <c r="G1074" i="1"/>
  <c r="F1074" i="1"/>
  <c r="E1074" i="1"/>
  <c r="D1074" i="1"/>
  <c r="C1074" i="1"/>
  <c r="B1074" i="1"/>
  <c r="A1074" i="1"/>
  <c r="R1073" i="1"/>
  <c r="Q1073" i="1"/>
  <c r="N1073" i="1"/>
  <c r="J1073" i="1"/>
  <c r="I1073" i="1"/>
  <c r="H1073" i="1"/>
  <c r="G1073" i="1"/>
  <c r="F1073" i="1"/>
  <c r="E1073" i="1"/>
  <c r="D1073" i="1"/>
  <c r="C1073" i="1"/>
  <c r="B1073" i="1"/>
  <c r="A1073" i="1"/>
  <c r="R1072" i="1"/>
  <c r="Q1072" i="1"/>
  <c r="N1072" i="1"/>
  <c r="J1072" i="1"/>
  <c r="I1072" i="1"/>
  <c r="H1072" i="1"/>
  <c r="G1072" i="1"/>
  <c r="F1072" i="1"/>
  <c r="E1072" i="1"/>
  <c r="D1072" i="1"/>
  <c r="C1072" i="1"/>
  <c r="B1072" i="1"/>
  <c r="A1072" i="1"/>
  <c r="R1071" i="1"/>
  <c r="Q1071" i="1"/>
  <c r="N1071" i="1"/>
  <c r="J1071" i="1"/>
  <c r="I1071" i="1"/>
  <c r="H1071" i="1"/>
  <c r="G1071" i="1"/>
  <c r="F1071" i="1"/>
  <c r="E1071" i="1"/>
  <c r="D1071" i="1"/>
  <c r="C1071" i="1"/>
  <c r="B1071" i="1"/>
  <c r="A1071" i="1"/>
  <c r="R1070" i="1"/>
  <c r="Q1070" i="1"/>
  <c r="N1070" i="1"/>
  <c r="J1070" i="1"/>
  <c r="I1070" i="1"/>
  <c r="H1070" i="1"/>
  <c r="G1070" i="1"/>
  <c r="F1070" i="1"/>
  <c r="E1070" i="1"/>
  <c r="D1070" i="1"/>
  <c r="C1070" i="1"/>
  <c r="B1070" i="1"/>
  <c r="A1070" i="1"/>
  <c r="R1069" i="1"/>
  <c r="N1069" i="1"/>
  <c r="J1069" i="1"/>
  <c r="I1069" i="1"/>
  <c r="H1069" i="1"/>
  <c r="G1069" i="1"/>
  <c r="F1069" i="1"/>
  <c r="E1069" i="1"/>
  <c r="D1069" i="1"/>
  <c r="C1069" i="1"/>
  <c r="B1069" i="1"/>
  <c r="A1069" i="1"/>
  <c r="R1068" i="1"/>
  <c r="Q1068" i="1"/>
  <c r="N1068" i="1"/>
  <c r="J1068" i="1"/>
  <c r="I1068" i="1"/>
  <c r="H1068" i="1"/>
  <c r="G1068" i="1"/>
  <c r="F1068" i="1"/>
  <c r="E1068" i="1"/>
  <c r="D1068" i="1"/>
  <c r="C1068" i="1"/>
  <c r="B1068" i="1"/>
  <c r="A1068" i="1"/>
  <c r="R1067" i="1"/>
  <c r="N1067" i="1"/>
  <c r="J1067" i="1"/>
  <c r="I1067" i="1"/>
  <c r="H1067" i="1"/>
  <c r="G1067" i="1"/>
  <c r="F1067" i="1"/>
  <c r="E1067" i="1"/>
  <c r="D1067" i="1"/>
  <c r="C1067" i="1"/>
  <c r="B1067" i="1"/>
  <c r="A1067" i="1"/>
  <c r="R1066" i="1"/>
  <c r="Q1066" i="1"/>
  <c r="N1066" i="1"/>
  <c r="J1066" i="1"/>
  <c r="I1066" i="1"/>
  <c r="H1066" i="1"/>
  <c r="G1066" i="1"/>
  <c r="F1066" i="1"/>
  <c r="E1066" i="1"/>
  <c r="D1066" i="1"/>
  <c r="C1066" i="1"/>
  <c r="B1066" i="1"/>
  <c r="A1066" i="1"/>
  <c r="R1065" i="1"/>
  <c r="Q1065" i="1"/>
  <c r="N1065" i="1"/>
  <c r="J1065" i="1"/>
  <c r="I1065" i="1"/>
  <c r="H1065" i="1"/>
  <c r="G1065" i="1"/>
  <c r="F1065" i="1"/>
  <c r="E1065" i="1"/>
  <c r="D1065" i="1"/>
  <c r="C1065" i="1"/>
  <c r="B1065" i="1"/>
  <c r="A1065" i="1"/>
  <c r="R1064" i="1"/>
  <c r="N1064" i="1"/>
  <c r="J1064" i="1"/>
  <c r="I1064" i="1"/>
  <c r="H1064" i="1"/>
  <c r="G1064" i="1"/>
  <c r="F1064" i="1"/>
  <c r="E1064" i="1"/>
  <c r="D1064" i="1"/>
  <c r="C1064" i="1"/>
  <c r="B1064" i="1"/>
  <c r="A1064" i="1"/>
  <c r="R1063" i="1"/>
  <c r="Q1063" i="1"/>
  <c r="N1063" i="1"/>
  <c r="J1063" i="1"/>
  <c r="I1063" i="1"/>
  <c r="H1063" i="1"/>
  <c r="G1063" i="1"/>
  <c r="F1063" i="1"/>
  <c r="E1063" i="1"/>
  <c r="D1063" i="1"/>
  <c r="C1063" i="1"/>
  <c r="B1063" i="1"/>
  <c r="A1063" i="1"/>
  <c r="R1062" i="1"/>
  <c r="Q1062" i="1"/>
  <c r="N1062" i="1"/>
  <c r="J1062" i="1"/>
  <c r="I1062" i="1"/>
  <c r="H1062" i="1"/>
  <c r="G1062" i="1"/>
  <c r="F1062" i="1"/>
  <c r="E1062" i="1"/>
  <c r="D1062" i="1"/>
  <c r="C1062" i="1"/>
  <c r="B1062" i="1"/>
  <c r="A1062" i="1"/>
  <c r="R1061" i="1"/>
  <c r="Q1061" i="1"/>
  <c r="N1061" i="1"/>
  <c r="J1061" i="1"/>
  <c r="I1061" i="1"/>
  <c r="H1061" i="1"/>
  <c r="G1061" i="1"/>
  <c r="F1061" i="1"/>
  <c r="E1061" i="1"/>
  <c r="D1061" i="1"/>
  <c r="C1061" i="1"/>
  <c r="B1061" i="1"/>
  <c r="A1061" i="1"/>
  <c r="R1060" i="1"/>
  <c r="N1060" i="1"/>
  <c r="J1060" i="1"/>
  <c r="I1060" i="1"/>
  <c r="H1060" i="1"/>
  <c r="G1060" i="1"/>
  <c r="F1060" i="1"/>
  <c r="E1060" i="1"/>
  <c r="D1060" i="1"/>
  <c r="C1060" i="1"/>
  <c r="B1060" i="1"/>
  <c r="A1060" i="1"/>
  <c r="R1059" i="1"/>
  <c r="Q1059" i="1"/>
  <c r="N1059" i="1"/>
  <c r="J1059" i="1"/>
  <c r="I1059" i="1"/>
  <c r="H1059" i="1"/>
  <c r="G1059" i="1"/>
  <c r="F1059" i="1"/>
  <c r="E1059" i="1"/>
  <c r="D1059" i="1"/>
  <c r="C1059" i="1"/>
  <c r="B1059" i="1"/>
  <c r="A1059" i="1"/>
  <c r="R1058" i="1"/>
  <c r="N1058" i="1"/>
  <c r="J1058" i="1"/>
  <c r="I1058" i="1"/>
  <c r="H1058" i="1"/>
  <c r="G1058" i="1"/>
  <c r="F1058" i="1"/>
  <c r="E1058" i="1"/>
  <c r="D1058" i="1"/>
  <c r="C1058" i="1"/>
  <c r="B1058" i="1"/>
  <c r="A1058" i="1"/>
  <c r="R1057" i="1"/>
  <c r="Q1057" i="1"/>
  <c r="N1057" i="1"/>
  <c r="J1057" i="1"/>
  <c r="I1057" i="1"/>
  <c r="H1057" i="1"/>
  <c r="G1057" i="1"/>
  <c r="F1057" i="1"/>
  <c r="E1057" i="1"/>
  <c r="D1057" i="1"/>
  <c r="C1057" i="1"/>
  <c r="B1057" i="1"/>
  <c r="A1057" i="1"/>
  <c r="R1056" i="1"/>
  <c r="N1056" i="1"/>
  <c r="J1056" i="1"/>
  <c r="I1056" i="1"/>
  <c r="H1056" i="1"/>
  <c r="G1056" i="1"/>
  <c r="F1056" i="1"/>
  <c r="E1056" i="1"/>
  <c r="D1056" i="1"/>
  <c r="C1056" i="1"/>
  <c r="B1056" i="1"/>
  <c r="A1056" i="1"/>
  <c r="R1055" i="1"/>
  <c r="Q1055" i="1"/>
  <c r="N1055" i="1"/>
  <c r="J1055" i="1"/>
  <c r="I1055" i="1"/>
  <c r="H1055" i="1"/>
  <c r="G1055" i="1"/>
  <c r="F1055" i="1"/>
  <c r="E1055" i="1"/>
  <c r="D1055" i="1"/>
  <c r="C1055" i="1"/>
  <c r="B1055" i="1"/>
  <c r="A1055" i="1"/>
  <c r="R1054" i="1"/>
  <c r="N1054" i="1"/>
  <c r="J1054" i="1"/>
  <c r="I1054" i="1"/>
  <c r="H1054" i="1"/>
  <c r="G1054" i="1"/>
  <c r="F1054" i="1"/>
  <c r="E1054" i="1"/>
  <c r="D1054" i="1"/>
  <c r="C1054" i="1"/>
  <c r="B1054" i="1"/>
  <c r="A1054" i="1"/>
  <c r="R1053" i="1"/>
  <c r="Q1053" i="1"/>
  <c r="N1053" i="1"/>
  <c r="J1053" i="1"/>
  <c r="I1053" i="1"/>
  <c r="H1053" i="1"/>
  <c r="G1053" i="1"/>
  <c r="F1053" i="1"/>
  <c r="E1053" i="1"/>
  <c r="D1053" i="1"/>
  <c r="C1053" i="1"/>
  <c r="B1053" i="1"/>
  <c r="A1053" i="1"/>
  <c r="R1052" i="1"/>
  <c r="N1052" i="1"/>
  <c r="J1052" i="1"/>
  <c r="I1052" i="1"/>
  <c r="H1052" i="1"/>
  <c r="G1052" i="1"/>
  <c r="F1052" i="1"/>
  <c r="E1052" i="1"/>
  <c r="D1052" i="1"/>
  <c r="C1052" i="1"/>
  <c r="B1052" i="1"/>
  <c r="A1052" i="1"/>
  <c r="R1051" i="1"/>
  <c r="N1051" i="1"/>
  <c r="J1051" i="1"/>
  <c r="I1051" i="1"/>
  <c r="H1051" i="1"/>
  <c r="G1051" i="1"/>
  <c r="F1051" i="1"/>
  <c r="E1051" i="1"/>
  <c r="D1051" i="1"/>
  <c r="C1051" i="1"/>
  <c r="B1051" i="1"/>
  <c r="A1051" i="1"/>
  <c r="R1050" i="1"/>
  <c r="N1050" i="1"/>
  <c r="J1050" i="1"/>
  <c r="I1050" i="1"/>
  <c r="H1050" i="1"/>
  <c r="G1050" i="1"/>
  <c r="F1050" i="1"/>
  <c r="E1050" i="1"/>
  <c r="D1050" i="1"/>
  <c r="C1050" i="1"/>
  <c r="B1050" i="1"/>
  <c r="A1050" i="1"/>
  <c r="R1049" i="1"/>
  <c r="N1049" i="1"/>
  <c r="J1049" i="1"/>
  <c r="I1049" i="1"/>
  <c r="H1049" i="1"/>
  <c r="G1049" i="1"/>
  <c r="F1049" i="1"/>
  <c r="E1049" i="1"/>
  <c r="D1049" i="1"/>
  <c r="C1049" i="1"/>
  <c r="B1049" i="1"/>
  <c r="A1049" i="1"/>
  <c r="R1048" i="1"/>
  <c r="N1048" i="1"/>
  <c r="J1048" i="1"/>
  <c r="I1048" i="1"/>
  <c r="H1048" i="1"/>
  <c r="G1048" i="1"/>
  <c r="F1048" i="1"/>
  <c r="E1048" i="1"/>
  <c r="D1048" i="1"/>
  <c r="C1048" i="1"/>
  <c r="B1048" i="1"/>
  <c r="A1048" i="1"/>
  <c r="R1047" i="1"/>
  <c r="Q1047" i="1"/>
  <c r="N1047" i="1"/>
  <c r="J1047" i="1"/>
  <c r="I1047" i="1"/>
  <c r="H1047" i="1"/>
  <c r="G1047" i="1"/>
  <c r="F1047" i="1"/>
  <c r="E1047" i="1"/>
  <c r="D1047" i="1"/>
  <c r="C1047" i="1"/>
  <c r="B1047" i="1"/>
  <c r="A1047" i="1"/>
  <c r="R1046" i="1"/>
  <c r="N1046" i="1"/>
  <c r="J1046" i="1"/>
  <c r="I1046" i="1"/>
  <c r="H1046" i="1"/>
  <c r="G1046" i="1"/>
  <c r="F1046" i="1"/>
  <c r="E1046" i="1"/>
  <c r="D1046" i="1"/>
  <c r="C1046" i="1"/>
  <c r="B1046" i="1"/>
  <c r="A1046" i="1"/>
  <c r="R1045" i="1"/>
  <c r="Q1045" i="1"/>
  <c r="N1045" i="1"/>
  <c r="J1045" i="1"/>
  <c r="I1045" i="1"/>
  <c r="H1045" i="1"/>
  <c r="G1045" i="1"/>
  <c r="F1045" i="1"/>
  <c r="E1045" i="1"/>
  <c r="D1045" i="1"/>
  <c r="C1045" i="1"/>
  <c r="B1045" i="1"/>
  <c r="A1045" i="1"/>
  <c r="R1044" i="1"/>
  <c r="N1044" i="1"/>
  <c r="J1044" i="1"/>
  <c r="I1044" i="1"/>
  <c r="H1044" i="1"/>
  <c r="G1044" i="1"/>
  <c r="F1044" i="1"/>
  <c r="E1044" i="1"/>
  <c r="D1044" i="1"/>
  <c r="C1044" i="1"/>
  <c r="B1044" i="1"/>
  <c r="A1044" i="1"/>
  <c r="R1043" i="1"/>
  <c r="Q1043" i="1"/>
  <c r="N1043" i="1"/>
  <c r="J1043" i="1"/>
  <c r="I1043" i="1"/>
  <c r="H1043" i="1"/>
  <c r="G1043" i="1"/>
  <c r="F1043" i="1"/>
  <c r="E1043" i="1"/>
  <c r="D1043" i="1"/>
  <c r="C1043" i="1"/>
  <c r="B1043" i="1"/>
  <c r="A1043" i="1"/>
  <c r="R1042" i="1"/>
  <c r="N1042" i="1"/>
  <c r="J1042" i="1"/>
  <c r="I1042" i="1"/>
  <c r="H1042" i="1"/>
  <c r="G1042" i="1"/>
  <c r="F1042" i="1"/>
  <c r="E1042" i="1"/>
  <c r="D1042" i="1"/>
  <c r="C1042" i="1"/>
  <c r="B1042" i="1"/>
  <c r="A1042" i="1"/>
  <c r="R1041" i="1"/>
  <c r="Q1041" i="1"/>
  <c r="N1041" i="1"/>
  <c r="J1041" i="1"/>
  <c r="I1041" i="1"/>
  <c r="H1041" i="1"/>
  <c r="G1041" i="1"/>
  <c r="F1041" i="1"/>
  <c r="E1041" i="1"/>
  <c r="D1041" i="1"/>
  <c r="C1041" i="1"/>
  <c r="B1041" i="1"/>
  <c r="A1041" i="1"/>
  <c r="R1040" i="1"/>
  <c r="N1040" i="1"/>
  <c r="J1040" i="1"/>
  <c r="I1040" i="1"/>
  <c r="H1040" i="1"/>
  <c r="G1040" i="1"/>
  <c r="F1040" i="1"/>
  <c r="E1040" i="1"/>
  <c r="D1040" i="1"/>
  <c r="C1040" i="1"/>
  <c r="B1040" i="1"/>
  <c r="A1040" i="1"/>
  <c r="R1039" i="1"/>
  <c r="Q1039" i="1"/>
  <c r="N1039" i="1"/>
  <c r="J1039" i="1"/>
  <c r="I1039" i="1"/>
  <c r="H1039" i="1"/>
  <c r="G1039" i="1"/>
  <c r="F1039" i="1"/>
  <c r="E1039" i="1"/>
  <c r="D1039" i="1"/>
  <c r="C1039" i="1"/>
  <c r="B1039" i="1"/>
  <c r="A1039" i="1"/>
  <c r="R1038" i="1"/>
  <c r="N1038" i="1"/>
  <c r="J1038" i="1"/>
  <c r="I1038" i="1"/>
  <c r="H1038" i="1"/>
  <c r="G1038" i="1"/>
  <c r="F1038" i="1"/>
  <c r="E1038" i="1"/>
  <c r="D1038" i="1"/>
  <c r="C1038" i="1"/>
  <c r="B1038" i="1"/>
  <c r="A1038" i="1"/>
  <c r="R1037" i="1"/>
  <c r="Q1037" i="1"/>
  <c r="N1037" i="1"/>
  <c r="J1037" i="1"/>
  <c r="I1037" i="1"/>
  <c r="H1037" i="1"/>
  <c r="G1037" i="1"/>
  <c r="F1037" i="1"/>
  <c r="E1037" i="1"/>
  <c r="D1037" i="1"/>
  <c r="C1037" i="1"/>
  <c r="B1037" i="1"/>
  <c r="A1037" i="1"/>
  <c r="R1036" i="1"/>
  <c r="N1036" i="1"/>
  <c r="J1036" i="1"/>
  <c r="I1036" i="1"/>
  <c r="H1036" i="1"/>
  <c r="G1036" i="1"/>
  <c r="F1036" i="1"/>
  <c r="E1036" i="1"/>
  <c r="D1036" i="1"/>
  <c r="C1036" i="1"/>
  <c r="B1036" i="1"/>
  <c r="A1036" i="1"/>
  <c r="R1035" i="1"/>
  <c r="Q1035" i="1"/>
  <c r="N1035" i="1"/>
  <c r="J1035" i="1"/>
  <c r="I1035" i="1"/>
  <c r="H1035" i="1"/>
  <c r="G1035" i="1"/>
  <c r="F1035" i="1"/>
  <c r="E1035" i="1"/>
  <c r="D1035" i="1"/>
  <c r="C1035" i="1"/>
  <c r="B1035" i="1"/>
  <c r="A1035" i="1"/>
  <c r="R1034" i="1"/>
  <c r="N1034" i="1"/>
  <c r="J1034" i="1"/>
  <c r="I1034" i="1"/>
  <c r="H1034" i="1"/>
  <c r="G1034" i="1"/>
  <c r="F1034" i="1"/>
  <c r="E1034" i="1"/>
  <c r="D1034" i="1"/>
  <c r="C1034" i="1"/>
  <c r="B1034" i="1"/>
  <c r="A1034" i="1"/>
  <c r="R1033" i="1"/>
  <c r="Q1033" i="1"/>
  <c r="N1033" i="1"/>
  <c r="J1033" i="1"/>
  <c r="I1033" i="1"/>
  <c r="H1033" i="1"/>
  <c r="G1033" i="1"/>
  <c r="F1033" i="1"/>
  <c r="E1033" i="1"/>
  <c r="D1033" i="1"/>
  <c r="C1033" i="1"/>
  <c r="B1033" i="1"/>
  <c r="A1033" i="1"/>
  <c r="R1032" i="1"/>
  <c r="N1032" i="1"/>
  <c r="J1032" i="1"/>
  <c r="I1032" i="1"/>
  <c r="H1032" i="1"/>
  <c r="G1032" i="1"/>
  <c r="F1032" i="1"/>
  <c r="E1032" i="1"/>
  <c r="D1032" i="1"/>
  <c r="C1032" i="1"/>
  <c r="B1032" i="1"/>
  <c r="A1032" i="1"/>
  <c r="R1031" i="1"/>
  <c r="Q1031" i="1"/>
  <c r="N1031" i="1"/>
  <c r="J1031" i="1"/>
  <c r="I1031" i="1"/>
  <c r="H1031" i="1"/>
  <c r="G1031" i="1"/>
  <c r="F1031" i="1"/>
  <c r="E1031" i="1"/>
  <c r="D1031" i="1"/>
  <c r="C1031" i="1"/>
  <c r="B1031" i="1"/>
  <c r="A1031" i="1"/>
  <c r="R1030" i="1"/>
  <c r="N1030" i="1"/>
  <c r="J1030" i="1"/>
  <c r="I1030" i="1"/>
  <c r="H1030" i="1"/>
  <c r="G1030" i="1"/>
  <c r="F1030" i="1"/>
  <c r="E1030" i="1"/>
  <c r="D1030" i="1"/>
  <c r="C1030" i="1"/>
  <c r="B1030" i="1"/>
  <c r="A1030" i="1"/>
  <c r="R1029" i="1"/>
  <c r="Q1029" i="1"/>
  <c r="N1029" i="1"/>
  <c r="J1029" i="1"/>
  <c r="I1029" i="1"/>
  <c r="H1029" i="1"/>
  <c r="G1029" i="1"/>
  <c r="F1029" i="1"/>
  <c r="E1029" i="1"/>
  <c r="D1029" i="1"/>
  <c r="C1029" i="1"/>
  <c r="B1029" i="1"/>
  <c r="A1029" i="1"/>
  <c r="R1028" i="1"/>
  <c r="N1028" i="1"/>
  <c r="J1028" i="1"/>
  <c r="I1028" i="1"/>
  <c r="H1028" i="1"/>
  <c r="G1028" i="1"/>
  <c r="F1028" i="1"/>
  <c r="E1028" i="1"/>
  <c r="D1028" i="1"/>
  <c r="C1028" i="1"/>
  <c r="B1028" i="1"/>
  <c r="A1028" i="1"/>
  <c r="R1027" i="1"/>
  <c r="Q1027" i="1"/>
  <c r="N1027" i="1"/>
  <c r="J1027" i="1"/>
  <c r="I1027" i="1"/>
  <c r="H1027" i="1"/>
  <c r="G1027" i="1"/>
  <c r="F1027" i="1"/>
  <c r="E1027" i="1"/>
  <c r="D1027" i="1"/>
  <c r="C1027" i="1"/>
  <c r="B1027" i="1"/>
  <c r="A1027" i="1"/>
  <c r="R1026" i="1"/>
  <c r="N1026" i="1"/>
  <c r="J1026" i="1"/>
  <c r="I1026" i="1"/>
  <c r="H1026" i="1"/>
  <c r="G1026" i="1"/>
  <c r="F1026" i="1"/>
  <c r="E1026" i="1"/>
  <c r="D1026" i="1"/>
  <c r="C1026" i="1"/>
  <c r="B1026" i="1"/>
  <c r="A1026" i="1"/>
  <c r="R1025" i="1"/>
  <c r="Q1025" i="1"/>
  <c r="N1025" i="1"/>
  <c r="J1025" i="1"/>
  <c r="I1025" i="1"/>
  <c r="H1025" i="1"/>
  <c r="G1025" i="1"/>
  <c r="F1025" i="1"/>
  <c r="E1025" i="1"/>
  <c r="D1025" i="1"/>
  <c r="C1025" i="1"/>
  <c r="B1025" i="1"/>
  <c r="A1025" i="1"/>
  <c r="R1024" i="1"/>
  <c r="N1024" i="1"/>
  <c r="J1024" i="1"/>
  <c r="I1024" i="1"/>
  <c r="H1024" i="1"/>
  <c r="G1024" i="1"/>
  <c r="F1024" i="1"/>
  <c r="E1024" i="1"/>
  <c r="D1024" i="1"/>
  <c r="C1024" i="1"/>
  <c r="B1024" i="1"/>
  <c r="A1024" i="1"/>
  <c r="R1023" i="1"/>
  <c r="Q1023" i="1"/>
  <c r="N1023" i="1"/>
  <c r="J1023" i="1"/>
  <c r="I1023" i="1"/>
  <c r="H1023" i="1"/>
  <c r="G1023" i="1"/>
  <c r="F1023" i="1"/>
  <c r="E1023" i="1"/>
  <c r="D1023" i="1"/>
  <c r="C1023" i="1"/>
  <c r="B1023" i="1"/>
  <c r="A1023" i="1"/>
  <c r="R1022" i="1"/>
  <c r="N1022" i="1"/>
  <c r="J1022" i="1"/>
  <c r="I1022" i="1"/>
  <c r="H1022" i="1"/>
  <c r="G1022" i="1"/>
  <c r="F1022" i="1"/>
  <c r="E1022" i="1"/>
  <c r="D1022" i="1"/>
  <c r="C1022" i="1"/>
  <c r="B1022" i="1"/>
  <c r="A1022" i="1"/>
  <c r="R1021" i="1"/>
  <c r="Q1021" i="1"/>
  <c r="N1021" i="1"/>
  <c r="J1021" i="1"/>
  <c r="I1021" i="1"/>
  <c r="H1021" i="1"/>
  <c r="G1021" i="1"/>
  <c r="F1021" i="1"/>
  <c r="E1021" i="1"/>
  <c r="D1021" i="1"/>
  <c r="C1021" i="1"/>
  <c r="B1021" i="1"/>
  <c r="A1021" i="1"/>
  <c r="R1020" i="1"/>
  <c r="N1020" i="1"/>
  <c r="J1020" i="1"/>
  <c r="I1020" i="1"/>
  <c r="H1020" i="1"/>
  <c r="G1020" i="1"/>
  <c r="F1020" i="1"/>
  <c r="E1020" i="1"/>
  <c r="D1020" i="1"/>
  <c r="C1020" i="1"/>
  <c r="B1020" i="1"/>
  <c r="A1020" i="1"/>
  <c r="R1019" i="1"/>
  <c r="Q1019" i="1"/>
  <c r="N1019" i="1"/>
  <c r="J1019" i="1"/>
  <c r="I1019" i="1"/>
  <c r="H1019" i="1"/>
  <c r="G1019" i="1"/>
  <c r="F1019" i="1"/>
  <c r="E1019" i="1"/>
  <c r="D1019" i="1"/>
  <c r="C1019" i="1"/>
  <c r="B1019" i="1"/>
  <c r="A1019" i="1"/>
  <c r="R1018" i="1"/>
  <c r="N1018" i="1"/>
  <c r="J1018" i="1"/>
  <c r="I1018" i="1"/>
  <c r="H1018" i="1"/>
  <c r="G1018" i="1"/>
  <c r="F1018" i="1"/>
  <c r="E1018" i="1"/>
  <c r="D1018" i="1"/>
  <c r="C1018" i="1"/>
  <c r="B1018" i="1"/>
  <c r="A1018" i="1"/>
  <c r="R1017" i="1"/>
  <c r="Q1017" i="1"/>
  <c r="N1017" i="1"/>
  <c r="J1017" i="1"/>
  <c r="I1017" i="1"/>
  <c r="H1017" i="1"/>
  <c r="G1017" i="1"/>
  <c r="F1017" i="1"/>
  <c r="E1017" i="1"/>
  <c r="D1017" i="1"/>
  <c r="C1017" i="1"/>
  <c r="B1017" i="1"/>
  <c r="A1017" i="1"/>
  <c r="R1016" i="1"/>
  <c r="Q1016" i="1"/>
  <c r="N1016" i="1"/>
  <c r="J1016" i="1"/>
  <c r="I1016" i="1"/>
  <c r="H1016" i="1"/>
  <c r="G1016" i="1"/>
  <c r="F1016" i="1"/>
  <c r="E1016" i="1"/>
  <c r="D1016" i="1"/>
  <c r="C1016" i="1"/>
  <c r="B1016" i="1"/>
  <c r="A1016" i="1"/>
  <c r="R1015" i="1"/>
  <c r="Q1015" i="1"/>
  <c r="N1015" i="1"/>
  <c r="J1015" i="1"/>
  <c r="I1015" i="1"/>
  <c r="H1015" i="1"/>
  <c r="G1015" i="1"/>
  <c r="F1015" i="1"/>
  <c r="E1015" i="1"/>
  <c r="D1015" i="1"/>
  <c r="C1015" i="1"/>
  <c r="B1015" i="1"/>
  <c r="A1015" i="1"/>
  <c r="R1014" i="1"/>
  <c r="Q1014" i="1"/>
  <c r="N1014" i="1"/>
  <c r="J1014" i="1"/>
  <c r="I1014" i="1"/>
  <c r="H1014" i="1"/>
  <c r="G1014" i="1"/>
  <c r="F1014" i="1"/>
  <c r="E1014" i="1"/>
  <c r="D1014" i="1"/>
  <c r="C1014" i="1"/>
  <c r="B1014" i="1"/>
  <c r="A1014" i="1"/>
  <c r="R1013" i="1"/>
  <c r="Q1013" i="1"/>
  <c r="N1013" i="1"/>
  <c r="J1013" i="1"/>
  <c r="I1013" i="1"/>
  <c r="H1013" i="1"/>
  <c r="G1013" i="1"/>
  <c r="F1013" i="1"/>
  <c r="E1013" i="1"/>
  <c r="D1013" i="1"/>
  <c r="C1013" i="1"/>
  <c r="B1013" i="1"/>
  <c r="A1013" i="1"/>
  <c r="R1012" i="1"/>
  <c r="N1012" i="1"/>
  <c r="J1012" i="1"/>
  <c r="I1012" i="1"/>
  <c r="H1012" i="1"/>
  <c r="G1012" i="1"/>
  <c r="F1012" i="1"/>
  <c r="E1012" i="1"/>
  <c r="D1012" i="1"/>
  <c r="C1012" i="1"/>
  <c r="B1012" i="1"/>
  <c r="A1012" i="1"/>
  <c r="R1011" i="1"/>
  <c r="Q1011" i="1"/>
  <c r="N1011" i="1"/>
  <c r="J1011" i="1"/>
  <c r="I1011" i="1"/>
  <c r="H1011" i="1"/>
  <c r="G1011" i="1"/>
  <c r="F1011" i="1"/>
  <c r="E1011" i="1"/>
  <c r="D1011" i="1"/>
  <c r="C1011" i="1"/>
  <c r="B1011" i="1"/>
  <c r="A1011" i="1"/>
  <c r="R1010" i="1"/>
  <c r="Q1010" i="1"/>
  <c r="N1010" i="1"/>
  <c r="J1010" i="1"/>
  <c r="I1010" i="1"/>
  <c r="H1010" i="1"/>
  <c r="G1010" i="1"/>
  <c r="F1010" i="1"/>
  <c r="E1010" i="1"/>
  <c r="D1010" i="1"/>
  <c r="C1010" i="1"/>
  <c r="B1010" i="1"/>
  <c r="A1010" i="1"/>
  <c r="R1009" i="1"/>
  <c r="Q1009" i="1"/>
  <c r="N1009" i="1"/>
  <c r="J1009" i="1"/>
  <c r="I1009" i="1"/>
  <c r="H1009" i="1"/>
  <c r="G1009" i="1"/>
  <c r="F1009" i="1"/>
  <c r="E1009" i="1"/>
  <c r="D1009" i="1"/>
  <c r="C1009" i="1"/>
  <c r="B1009" i="1"/>
  <c r="A1009" i="1"/>
  <c r="R1008" i="1"/>
  <c r="Q1008" i="1"/>
  <c r="N1008" i="1"/>
  <c r="J1008" i="1"/>
  <c r="I1008" i="1"/>
  <c r="H1008" i="1"/>
  <c r="G1008" i="1"/>
  <c r="F1008" i="1"/>
  <c r="E1008" i="1"/>
  <c r="D1008" i="1"/>
  <c r="C1008" i="1"/>
  <c r="B1008" i="1"/>
  <c r="A1008" i="1"/>
  <c r="R1007" i="1"/>
  <c r="Q1007" i="1"/>
  <c r="N1007" i="1"/>
  <c r="J1007" i="1"/>
  <c r="I1007" i="1"/>
  <c r="H1007" i="1"/>
  <c r="G1007" i="1"/>
  <c r="F1007" i="1"/>
  <c r="E1007" i="1"/>
  <c r="D1007" i="1"/>
  <c r="C1007" i="1"/>
  <c r="B1007" i="1"/>
  <c r="A1007" i="1"/>
  <c r="R1006" i="1"/>
  <c r="N1006" i="1"/>
  <c r="J1006" i="1"/>
  <c r="I1006" i="1"/>
  <c r="H1006" i="1"/>
  <c r="G1006" i="1"/>
  <c r="F1006" i="1"/>
  <c r="E1006" i="1"/>
  <c r="D1006" i="1"/>
  <c r="C1006" i="1"/>
  <c r="B1006" i="1"/>
  <c r="A1006" i="1"/>
  <c r="R1005" i="1"/>
  <c r="Q1005" i="1"/>
  <c r="N1005" i="1"/>
  <c r="J1005" i="1"/>
  <c r="I1005" i="1"/>
  <c r="H1005" i="1"/>
  <c r="G1005" i="1"/>
  <c r="F1005" i="1"/>
  <c r="E1005" i="1"/>
  <c r="D1005" i="1"/>
  <c r="C1005" i="1"/>
  <c r="B1005" i="1"/>
  <c r="A1005" i="1"/>
  <c r="R1004" i="1"/>
  <c r="Q1004" i="1"/>
  <c r="N1004" i="1"/>
  <c r="J1004" i="1"/>
  <c r="I1004" i="1"/>
  <c r="H1004" i="1"/>
  <c r="G1004" i="1"/>
  <c r="F1004" i="1"/>
  <c r="E1004" i="1"/>
  <c r="D1004" i="1"/>
  <c r="C1004" i="1"/>
  <c r="B1004" i="1"/>
  <c r="A1004" i="1"/>
  <c r="R1003" i="1"/>
  <c r="N1003" i="1"/>
  <c r="J1003" i="1"/>
  <c r="I1003" i="1"/>
  <c r="H1003" i="1"/>
  <c r="G1003" i="1"/>
  <c r="F1003" i="1"/>
  <c r="E1003" i="1"/>
  <c r="D1003" i="1"/>
  <c r="C1003" i="1"/>
  <c r="B1003" i="1"/>
  <c r="A1003" i="1"/>
  <c r="R1002" i="1"/>
  <c r="Q1002" i="1"/>
  <c r="N1002" i="1"/>
  <c r="J1002" i="1"/>
  <c r="I1002" i="1"/>
  <c r="H1002" i="1"/>
  <c r="G1002" i="1"/>
  <c r="F1002" i="1"/>
  <c r="E1002" i="1"/>
  <c r="D1002" i="1"/>
  <c r="C1002" i="1"/>
  <c r="B1002" i="1"/>
  <c r="A1002" i="1"/>
  <c r="R1001" i="1"/>
  <c r="N1001" i="1"/>
  <c r="J1001" i="1"/>
  <c r="I1001" i="1"/>
  <c r="H1001" i="1"/>
  <c r="G1001" i="1"/>
  <c r="F1001" i="1"/>
  <c r="E1001" i="1"/>
  <c r="D1001" i="1"/>
  <c r="C1001" i="1"/>
  <c r="B1001" i="1"/>
  <c r="A1001" i="1"/>
  <c r="R1000" i="1"/>
  <c r="Q1000" i="1"/>
  <c r="N1000" i="1"/>
  <c r="J1000" i="1"/>
  <c r="I1000" i="1"/>
  <c r="H1000" i="1"/>
  <c r="G1000" i="1"/>
  <c r="F1000" i="1"/>
  <c r="E1000" i="1"/>
  <c r="D1000" i="1"/>
  <c r="C1000" i="1"/>
  <c r="B1000" i="1"/>
  <c r="A1000" i="1"/>
  <c r="R999" i="1"/>
  <c r="N999" i="1"/>
  <c r="J999" i="1"/>
  <c r="I999" i="1"/>
  <c r="H999" i="1"/>
  <c r="G999" i="1"/>
  <c r="F999" i="1"/>
  <c r="E999" i="1"/>
  <c r="D999" i="1"/>
  <c r="C999" i="1"/>
  <c r="B999" i="1"/>
  <c r="A999" i="1"/>
  <c r="R998" i="1"/>
  <c r="Q998" i="1"/>
  <c r="N998" i="1"/>
  <c r="J998" i="1"/>
  <c r="I998" i="1"/>
  <c r="H998" i="1"/>
  <c r="G998" i="1"/>
  <c r="F998" i="1"/>
  <c r="E998" i="1"/>
  <c r="D998" i="1"/>
  <c r="C998" i="1"/>
  <c r="B998" i="1"/>
  <c r="A998" i="1"/>
  <c r="R997" i="1"/>
  <c r="N997" i="1"/>
  <c r="J997" i="1"/>
  <c r="I997" i="1"/>
  <c r="H997" i="1"/>
  <c r="G997" i="1"/>
  <c r="F997" i="1"/>
  <c r="E997" i="1"/>
  <c r="D997" i="1"/>
  <c r="C997" i="1"/>
  <c r="B997" i="1"/>
  <c r="A997" i="1"/>
  <c r="R996" i="1"/>
  <c r="Q996" i="1"/>
  <c r="N996" i="1"/>
  <c r="J996" i="1"/>
  <c r="I996" i="1"/>
  <c r="H996" i="1"/>
  <c r="G996" i="1"/>
  <c r="F996" i="1"/>
  <c r="E996" i="1"/>
  <c r="D996" i="1"/>
  <c r="C996" i="1"/>
  <c r="B996" i="1"/>
  <c r="A996" i="1"/>
  <c r="R995" i="1"/>
  <c r="Q995" i="1"/>
  <c r="N995" i="1"/>
  <c r="J995" i="1"/>
  <c r="I995" i="1"/>
  <c r="H995" i="1"/>
  <c r="G995" i="1"/>
  <c r="F995" i="1"/>
  <c r="E995" i="1"/>
  <c r="D995" i="1"/>
  <c r="C995" i="1"/>
  <c r="B995" i="1"/>
  <c r="A995" i="1"/>
  <c r="R994" i="1"/>
  <c r="N994" i="1"/>
  <c r="J994" i="1"/>
  <c r="I994" i="1"/>
  <c r="H994" i="1"/>
  <c r="G994" i="1"/>
  <c r="F994" i="1"/>
  <c r="E994" i="1"/>
  <c r="D994" i="1"/>
  <c r="C994" i="1"/>
  <c r="B994" i="1"/>
  <c r="A994" i="1"/>
  <c r="R993" i="1"/>
  <c r="Q993" i="1"/>
  <c r="N993" i="1"/>
  <c r="J993" i="1"/>
  <c r="I993" i="1"/>
  <c r="H993" i="1"/>
  <c r="G993" i="1"/>
  <c r="F993" i="1"/>
  <c r="E993" i="1"/>
  <c r="D993" i="1"/>
  <c r="C993" i="1"/>
  <c r="B993" i="1"/>
  <c r="A993" i="1"/>
  <c r="R992" i="1"/>
  <c r="Q992" i="1"/>
  <c r="N992" i="1"/>
  <c r="J992" i="1"/>
  <c r="I992" i="1"/>
  <c r="H992" i="1"/>
  <c r="G992" i="1"/>
  <c r="F992" i="1"/>
  <c r="E992" i="1"/>
  <c r="D992" i="1"/>
  <c r="C992" i="1"/>
  <c r="B992" i="1"/>
  <c r="A992" i="1"/>
  <c r="R991" i="1"/>
  <c r="Q991" i="1"/>
  <c r="N991" i="1"/>
  <c r="J991" i="1"/>
  <c r="I991" i="1"/>
  <c r="H991" i="1"/>
  <c r="G991" i="1"/>
  <c r="F991" i="1"/>
  <c r="E991" i="1"/>
  <c r="D991" i="1"/>
  <c r="C991" i="1"/>
  <c r="B991" i="1"/>
  <c r="A991" i="1"/>
  <c r="R990" i="1"/>
  <c r="Q990" i="1"/>
  <c r="N990" i="1"/>
  <c r="J990" i="1"/>
  <c r="I990" i="1"/>
  <c r="H990" i="1"/>
  <c r="G990" i="1"/>
  <c r="F990" i="1"/>
  <c r="E990" i="1"/>
  <c r="D990" i="1"/>
  <c r="C990" i="1"/>
  <c r="B990" i="1"/>
  <c r="A990" i="1"/>
  <c r="R989" i="1"/>
  <c r="Q989" i="1"/>
  <c r="N989" i="1"/>
  <c r="J989" i="1"/>
  <c r="I989" i="1"/>
  <c r="H989" i="1"/>
  <c r="G989" i="1"/>
  <c r="F989" i="1"/>
  <c r="E989" i="1"/>
  <c r="D989" i="1"/>
  <c r="C989" i="1"/>
  <c r="B989" i="1"/>
  <c r="A989" i="1"/>
  <c r="R988" i="1"/>
  <c r="Q988" i="1"/>
  <c r="N988" i="1"/>
  <c r="J988" i="1"/>
  <c r="I988" i="1"/>
  <c r="H988" i="1"/>
  <c r="G988" i="1"/>
  <c r="F988" i="1"/>
  <c r="E988" i="1"/>
  <c r="D988" i="1"/>
  <c r="C988" i="1"/>
  <c r="B988" i="1"/>
  <c r="A988" i="1"/>
  <c r="R987" i="1"/>
  <c r="Q987" i="1"/>
  <c r="N987" i="1"/>
  <c r="J987" i="1"/>
  <c r="I987" i="1"/>
  <c r="H987" i="1"/>
  <c r="G987" i="1"/>
  <c r="F987" i="1"/>
  <c r="E987" i="1"/>
  <c r="D987" i="1"/>
  <c r="C987" i="1"/>
  <c r="B987" i="1"/>
  <c r="A987" i="1"/>
  <c r="R986" i="1"/>
  <c r="Q986" i="1"/>
  <c r="N986" i="1"/>
  <c r="J986" i="1"/>
  <c r="I986" i="1"/>
  <c r="H986" i="1"/>
  <c r="G986" i="1"/>
  <c r="F986" i="1"/>
  <c r="E986" i="1"/>
  <c r="D986" i="1"/>
  <c r="C986" i="1"/>
  <c r="B986" i="1"/>
  <c r="A986" i="1"/>
  <c r="R985" i="1"/>
  <c r="Q985" i="1"/>
  <c r="N985" i="1"/>
  <c r="J985" i="1"/>
  <c r="I985" i="1"/>
  <c r="H985" i="1"/>
  <c r="G985" i="1"/>
  <c r="F985" i="1"/>
  <c r="E985" i="1"/>
  <c r="D985" i="1"/>
  <c r="C985" i="1"/>
  <c r="B985" i="1"/>
  <c r="A985" i="1"/>
  <c r="R984" i="1"/>
  <c r="Q984" i="1"/>
  <c r="N984" i="1"/>
  <c r="J984" i="1"/>
  <c r="I984" i="1"/>
  <c r="H984" i="1"/>
  <c r="G984" i="1"/>
  <c r="F984" i="1"/>
  <c r="E984" i="1"/>
  <c r="D984" i="1"/>
  <c r="C984" i="1"/>
  <c r="B984" i="1"/>
  <c r="A984" i="1"/>
  <c r="R983" i="1"/>
  <c r="N983" i="1"/>
  <c r="J983" i="1"/>
  <c r="I983" i="1"/>
  <c r="H983" i="1"/>
  <c r="G983" i="1"/>
  <c r="F983" i="1"/>
  <c r="E983" i="1"/>
  <c r="D983" i="1"/>
  <c r="C983" i="1"/>
  <c r="B983" i="1"/>
  <c r="A983" i="1"/>
  <c r="R982" i="1"/>
  <c r="Q982" i="1"/>
  <c r="N982" i="1"/>
  <c r="J982" i="1"/>
  <c r="I982" i="1"/>
  <c r="H982" i="1"/>
  <c r="G982" i="1"/>
  <c r="F982" i="1"/>
  <c r="E982" i="1"/>
  <c r="D982" i="1"/>
  <c r="C982" i="1"/>
  <c r="B982" i="1"/>
  <c r="A982" i="1"/>
  <c r="R981" i="1"/>
  <c r="Q981" i="1"/>
  <c r="N981" i="1"/>
  <c r="J981" i="1"/>
  <c r="I981" i="1"/>
  <c r="H981" i="1"/>
  <c r="G981" i="1"/>
  <c r="F981" i="1"/>
  <c r="E981" i="1"/>
  <c r="D981" i="1"/>
  <c r="C981" i="1"/>
  <c r="B981" i="1"/>
  <c r="A981" i="1"/>
  <c r="R980" i="1"/>
  <c r="Q980" i="1"/>
  <c r="N980" i="1"/>
  <c r="J980" i="1"/>
  <c r="I980" i="1"/>
  <c r="H980" i="1"/>
  <c r="G980" i="1"/>
  <c r="F980" i="1"/>
  <c r="E980" i="1"/>
  <c r="D980" i="1"/>
  <c r="C980" i="1"/>
  <c r="B980" i="1"/>
  <c r="A980" i="1"/>
  <c r="R979" i="1"/>
  <c r="Q979" i="1"/>
  <c r="N979" i="1"/>
  <c r="J979" i="1"/>
  <c r="I979" i="1"/>
  <c r="H979" i="1"/>
  <c r="G979" i="1"/>
  <c r="F979" i="1"/>
  <c r="E979" i="1"/>
  <c r="D979" i="1"/>
  <c r="C979" i="1"/>
  <c r="B979" i="1"/>
  <c r="A979" i="1"/>
  <c r="R978" i="1"/>
  <c r="Q978" i="1"/>
  <c r="N978" i="1"/>
  <c r="J978" i="1"/>
  <c r="I978" i="1"/>
  <c r="H978" i="1"/>
  <c r="G978" i="1"/>
  <c r="F978" i="1"/>
  <c r="E978" i="1"/>
  <c r="D978" i="1"/>
  <c r="C978" i="1"/>
  <c r="B978" i="1"/>
  <c r="A978" i="1"/>
  <c r="R977" i="1"/>
  <c r="Q977" i="1"/>
  <c r="N977" i="1"/>
  <c r="J977" i="1"/>
  <c r="I977" i="1"/>
  <c r="H977" i="1"/>
  <c r="G977" i="1"/>
  <c r="F977" i="1"/>
  <c r="E977" i="1"/>
  <c r="D977" i="1"/>
  <c r="C977" i="1"/>
  <c r="B977" i="1"/>
  <c r="A977" i="1"/>
  <c r="R976" i="1"/>
  <c r="Q976" i="1"/>
  <c r="N976" i="1"/>
  <c r="J976" i="1"/>
  <c r="I976" i="1"/>
  <c r="H976" i="1"/>
  <c r="G976" i="1"/>
  <c r="F976" i="1"/>
  <c r="E976" i="1"/>
  <c r="D976" i="1"/>
  <c r="C976" i="1"/>
  <c r="B976" i="1"/>
  <c r="A976" i="1"/>
  <c r="R975" i="1"/>
  <c r="Q975" i="1"/>
  <c r="N975" i="1"/>
  <c r="J975" i="1"/>
  <c r="I975" i="1"/>
  <c r="H975" i="1"/>
  <c r="G975" i="1"/>
  <c r="F975" i="1"/>
  <c r="E975" i="1"/>
  <c r="D975" i="1"/>
  <c r="C975" i="1"/>
  <c r="B975" i="1"/>
  <c r="A975" i="1"/>
  <c r="R974" i="1"/>
  <c r="Q974" i="1"/>
  <c r="N974" i="1"/>
  <c r="J974" i="1"/>
  <c r="I974" i="1"/>
  <c r="H974" i="1"/>
  <c r="G974" i="1"/>
  <c r="F974" i="1"/>
  <c r="E974" i="1"/>
  <c r="D974" i="1"/>
  <c r="C974" i="1"/>
  <c r="B974" i="1"/>
  <c r="A974" i="1"/>
  <c r="R973" i="1"/>
  <c r="Q973" i="1"/>
  <c r="N973" i="1"/>
  <c r="J973" i="1"/>
  <c r="I973" i="1"/>
  <c r="H973" i="1"/>
  <c r="G973" i="1"/>
  <c r="F973" i="1"/>
  <c r="E973" i="1"/>
  <c r="D973" i="1"/>
  <c r="C973" i="1"/>
  <c r="B973" i="1"/>
  <c r="A973" i="1"/>
  <c r="R972" i="1"/>
  <c r="Q972" i="1"/>
  <c r="N972" i="1"/>
  <c r="J972" i="1"/>
  <c r="I972" i="1"/>
  <c r="H972" i="1"/>
  <c r="G972" i="1"/>
  <c r="F972" i="1"/>
  <c r="E972" i="1"/>
  <c r="D972" i="1"/>
  <c r="C972" i="1"/>
  <c r="B972" i="1"/>
  <c r="A972" i="1"/>
  <c r="R971" i="1"/>
  <c r="Q971" i="1"/>
  <c r="N971" i="1"/>
  <c r="J971" i="1"/>
  <c r="I971" i="1"/>
  <c r="H971" i="1"/>
  <c r="G971" i="1"/>
  <c r="F971" i="1"/>
  <c r="E971" i="1"/>
  <c r="D971" i="1"/>
  <c r="C971" i="1"/>
  <c r="B971" i="1"/>
  <c r="A971" i="1"/>
  <c r="R970" i="1"/>
  <c r="Q970" i="1"/>
  <c r="N970" i="1"/>
  <c r="J970" i="1"/>
  <c r="I970" i="1"/>
  <c r="H970" i="1"/>
  <c r="G970" i="1"/>
  <c r="F970" i="1"/>
  <c r="E970" i="1"/>
  <c r="D970" i="1"/>
  <c r="C970" i="1"/>
  <c r="B970" i="1"/>
  <c r="A970" i="1"/>
  <c r="R969" i="1"/>
  <c r="N969" i="1"/>
  <c r="J969" i="1"/>
  <c r="I969" i="1"/>
  <c r="H969" i="1"/>
  <c r="G969" i="1"/>
  <c r="F969" i="1"/>
  <c r="E969" i="1"/>
  <c r="D969" i="1"/>
  <c r="C969" i="1"/>
  <c r="B969" i="1"/>
  <c r="A969" i="1"/>
  <c r="R968" i="1"/>
  <c r="Q968" i="1"/>
  <c r="N968" i="1"/>
  <c r="J968" i="1"/>
  <c r="I968" i="1"/>
  <c r="H968" i="1"/>
  <c r="G968" i="1"/>
  <c r="F968" i="1"/>
  <c r="E968" i="1"/>
  <c r="D968" i="1"/>
  <c r="C968" i="1"/>
  <c r="B968" i="1"/>
  <c r="A968" i="1"/>
  <c r="R967" i="1"/>
  <c r="Q967" i="1"/>
  <c r="N967" i="1"/>
  <c r="J967" i="1"/>
  <c r="I967" i="1"/>
  <c r="H967" i="1"/>
  <c r="G967" i="1"/>
  <c r="F967" i="1"/>
  <c r="E967" i="1"/>
  <c r="D967" i="1"/>
  <c r="C967" i="1"/>
  <c r="B967" i="1"/>
  <c r="A967" i="1"/>
  <c r="R966" i="1"/>
  <c r="Q966" i="1"/>
  <c r="N966" i="1"/>
  <c r="J966" i="1"/>
  <c r="I966" i="1"/>
  <c r="H966" i="1"/>
  <c r="G966" i="1"/>
  <c r="F966" i="1"/>
  <c r="E966" i="1"/>
  <c r="D966" i="1"/>
  <c r="C966" i="1"/>
  <c r="B966" i="1"/>
  <c r="A966" i="1"/>
  <c r="R965" i="1"/>
  <c r="Q965" i="1"/>
  <c r="N965" i="1"/>
  <c r="J965" i="1"/>
  <c r="I965" i="1"/>
  <c r="H965" i="1"/>
  <c r="G965" i="1"/>
  <c r="F965" i="1"/>
  <c r="E965" i="1"/>
  <c r="D965" i="1"/>
  <c r="C965" i="1"/>
  <c r="B965" i="1"/>
  <c r="A965" i="1"/>
  <c r="R964" i="1"/>
  <c r="Q964" i="1"/>
  <c r="N964" i="1"/>
  <c r="J964" i="1"/>
  <c r="I964" i="1"/>
  <c r="H964" i="1"/>
  <c r="G964" i="1"/>
  <c r="F964" i="1"/>
  <c r="E964" i="1"/>
  <c r="D964" i="1"/>
  <c r="C964" i="1"/>
  <c r="B964" i="1"/>
  <c r="A964" i="1"/>
  <c r="R963" i="1"/>
  <c r="Q963" i="1"/>
  <c r="N963" i="1"/>
  <c r="J963" i="1"/>
  <c r="I963" i="1"/>
  <c r="H963" i="1"/>
  <c r="G963" i="1"/>
  <c r="F963" i="1"/>
  <c r="E963" i="1"/>
  <c r="D963" i="1"/>
  <c r="C963" i="1"/>
  <c r="B963" i="1"/>
  <c r="A963" i="1"/>
  <c r="R962" i="1"/>
  <c r="Q962" i="1"/>
  <c r="N962" i="1"/>
  <c r="J962" i="1"/>
  <c r="I962" i="1"/>
  <c r="H962" i="1"/>
  <c r="G962" i="1"/>
  <c r="F962" i="1"/>
  <c r="E962" i="1"/>
  <c r="D962" i="1"/>
  <c r="C962" i="1"/>
  <c r="B962" i="1"/>
  <c r="A962" i="1"/>
  <c r="R961" i="1"/>
  <c r="Q961" i="1"/>
  <c r="N961" i="1"/>
  <c r="J961" i="1"/>
  <c r="I961" i="1"/>
  <c r="H961" i="1"/>
  <c r="G961" i="1"/>
  <c r="F961" i="1"/>
  <c r="E961" i="1"/>
  <c r="D961" i="1"/>
  <c r="C961" i="1"/>
  <c r="B961" i="1"/>
  <c r="A961" i="1"/>
  <c r="R960" i="1"/>
  <c r="Q960" i="1"/>
  <c r="N960" i="1"/>
  <c r="J960" i="1"/>
  <c r="I960" i="1"/>
  <c r="H960" i="1"/>
  <c r="G960" i="1"/>
  <c r="F960" i="1"/>
  <c r="E960" i="1"/>
  <c r="D960" i="1"/>
  <c r="C960" i="1"/>
  <c r="B960" i="1"/>
  <c r="A960" i="1"/>
  <c r="R959" i="1"/>
  <c r="Q959" i="1"/>
  <c r="N959" i="1"/>
  <c r="J959" i="1"/>
  <c r="I959" i="1"/>
  <c r="H959" i="1"/>
  <c r="G959" i="1"/>
  <c r="F959" i="1"/>
  <c r="E959" i="1"/>
  <c r="D959" i="1"/>
  <c r="C959" i="1"/>
  <c r="B959" i="1"/>
  <c r="A959" i="1"/>
  <c r="R958" i="1"/>
  <c r="Q958" i="1"/>
  <c r="N958" i="1"/>
  <c r="J958" i="1"/>
  <c r="I958" i="1"/>
  <c r="H958" i="1"/>
  <c r="G958" i="1"/>
  <c r="F958" i="1"/>
  <c r="E958" i="1"/>
  <c r="D958" i="1"/>
  <c r="C958" i="1"/>
  <c r="B958" i="1"/>
  <c r="A958" i="1"/>
  <c r="R957" i="1"/>
  <c r="Q957" i="1"/>
  <c r="N957" i="1"/>
  <c r="J957" i="1"/>
  <c r="I957" i="1"/>
  <c r="H957" i="1"/>
  <c r="G957" i="1"/>
  <c r="F957" i="1"/>
  <c r="E957" i="1"/>
  <c r="D957" i="1"/>
  <c r="C957" i="1"/>
  <c r="B957" i="1"/>
  <c r="A957" i="1"/>
  <c r="R956" i="1"/>
  <c r="Q956" i="1"/>
  <c r="N956" i="1"/>
  <c r="J956" i="1"/>
  <c r="I956" i="1"/>
  <c r="H956" i="1"/>
  <c r="G956" i="1"/>
  <c r="F956" i="1"/>
  <c r="E956" i="1"/>
  <c r="D956" i="1"/>
  <c r="C956" i="1"/>
  <c r="B956" i="1"/>
  <c r="A956" i="1"/>
  <c r="R955" i="1"/>
  <c r="Q955" i="1"/>
  <c r="N955" i="1"/>
  <c r="J955" i="1"/>
  <c r="I955" i="1"/>
  <c r="H955" i="1"/>
  <c r="G955" i="1"/>
  <c r="F955" i="1"/>
  <c r="E955" i="1"/>
  <c r="D955" i="1"/>
  <c r="C955" i="1"/>
  <c r="B955" i="1"/>
  <c r="A955" i="1"/>
  <c r="R954" i="1"/>
  <c r="Q954" i="1"/>
  <c r="N954" i="1"/>
  <c r="J954" i="1"/>
  <c r="I954" i="1"/>
  <c r="H954" i="1"/>
  <c r="G954" i="1"/>
  <c r="F954" i="1"/>
  <c r="E954" i="1"/>
  <c r="D954" i="1"/>
  <c r="C954" i="1"/>
  <c r="B954" i="1"/>
  <c r="A954" i="1"/>
  <c r="R953" i="1"/>
  <c r="Q953" i="1"/>
  <c r="N953" i="1"/>
  <c r="J953" i="1"/>
  <c r="I953" i="1"/>
  <c r="H953" i="1"/>
  <c r="G953" i="1"/>
  <c r="F953" i="1"/>
  <c r="E953" i="1"/>
  <c r="D953" i="1"/>
  <c r="C953" i="1"/>
  <c r="B953" i="1"/>
  <c r="A953" i="1"/>
  <c r="R952" i="1"/>
  <c r="Q952" i="1"/>
  <c r="N952" i="1"/>
  <c r="J952" i="1"/>
  <c r="I952" i="1"/>
  <c r="H952" i="1"/>
  <c r="G952" i="1"/>
  <c r="F952" i="1"/>
  <c r="E952" i="1"/>
  <c r="D952" i="1"/>
  <c r="C952" i="1"/>
  <c r="B952" i="1"/>
  <c r="A952" i="1"/>
  <c r="R951" i="1"/>
  <c r="Q951" i="1"/>
  <c r="N951" i="1"/>
  <c r="J951" i="1"/>
  <c r="I951" i="1"/>
  <c r="H951" i="1"/>
  <c r="G951" i="1"/>
  <c r="F951" i="1"/>
  <c r="E951" i="1"/>
  <c r="D951" i="1"/>
  <c r="C951" i="1"/>
  <c r="B951" i="1"/>
  <c r="A951" i="1"/>
  <c r="R950" i="1"/>
  <c r="Q950" i="1"/>
  <c r="N950" i="1"/>
  <c r="J950" i="1"/>
  <c r="I950" i="1"/>
  <c r="H950" i="1"/>
  <c r="G950" i="1"/>
  <c r="F950" i="1"/>
  <c r="E950" i="1"/>
  <c r="D950" i="1"/>
  <c r="C950" i="1"/>
  <c r="B950" i="1"/>
  <c r="A950" i="1"/>
  <c r="R949" i="1"/>
  <c r="Q949" i="1"/>
  <c r="N949" i="1"/>
  <c r="J949" i="1"/>
  <c r="I949" i="1"/>
  <c r="H949" i="1"/>
  <c r="G949" i="1"/>
  <c r="F949" i="1"/>
  <c r="E949" i="1"/>
  <c r="D949" i="1"/>
  <c r="C949" i="1"/>
  <c r="B949" i="1"/>
  <c r="A949" i="1"/>
  <c r="R948" i="1"/>
  <c r="Q948" i="1"/>
  <c r="N948" i="1"/>
  <c r="J948" i="1"/>
  <c r="I948" i="1"/>
  <c r="H948" i="1"/>
  <c r="G948" i="1"/>
  <c r="F948" i="1"/>
  <c r="E948" i="1"/>
  <c r="D948" i="1"/>
  <c r="C948" i="1"/>
  <c r="B948" i="1"/>
  <c r="A948" i="1"/>
  <c r="R947" i="1"/>
  <c r="Q947" i="1"/>
  <c r="N947" i="1"/>
  <c r="J947" i="1"/>
  <c r="I947" i="1"/>
  <c r="H947" i="1"/>
  <c r="G947" i="1"/>
  <c r="F947" i="1"/>
  <c r="E947" i="1"/>
  <c r="D947" i="1"/>
  <c r="C947" i="1"/>
  <c r="B947" i="1"/>
  <c r="A947" i="1"/>
  <c r="R946" i="1"/>
  <c r="Q946" i="1"/>
  <c r="N946" i="1"/>
  <c r="J946" i="1"/>
  <c r="I946" i="1"/>
  <c r="H946" i="1"/>
  <c r="G946" i="1"/>
  <c r="F946" i="1"/>
  <c r="E946" i="1"/>
  <c r="D946" i="1"/>
  <c r="C946" i="1"/>
  <c r="B946" i="1"/>
  <c r="A946" i="1"/>
  <c r="R945" i="1"/>
  <c r="Q945" i="1"/>
  <c r="N945" i="1"/>
  <c r="J945" i="1"/>
  <c r="I945" i="1"/>
  <c r="H945" i="1"/>
  <c r="G945" i="1"/>
  <c r="F945" i="1"/>
  <c r="E945" i="1"/>
  <c r="D945" i="1"/>
  <c r="C945" i="1"/>
  <c r="B945" i="1"/>
  <c r="A945" i="1"/>
  <c r="R944" i="1"/>
  <c r="Q944" i="1"/>
  <c r="N944" i="1"/>
  <c r="J944" i="1"/>
  <c r="I944" i="1"/>
  <c r="H944" i="1"/>
  <c r="G944" i="1"/>
  <c r="F944" i="1"/>
  <c r="E944" i="1"/>
  <c r="D944" i="1"/>
  <c r="C944" i="1"/>
  <c r="B944" i="1"/>
  <c r="A944" i="1"/>
  <c r="R943" i="1"/>
  <c r="Q943" i="1"/>
  <c r="N943" i="1"/>
  <c r="J943" i="1"/>
  <c r="I943" i="1"/>
  <c r="H943" i="1"/>
  <c r="G943" i="1"/>
  <c r="F943" i="1"/>
  <c r="E943" i="1"/>
  <c r="D943" i="1"/>
  <c r="C943" i="1"/>
  <c r="B943" i="1"/>
  <c r="A943" i="1"/>
  <c r="R942" i="1"/>
  <c r="Q942" i="1"/>
  <c r="N942" i="1"/>
  <c r="J942" i="1"/>
  <c r="I942" i="1"/>
  <c r="H942" i="1"/>
  <c r="G942" i="1"/>
  <c r="F942" i="1"/>
  <c r="E942" i="1"/>
  <c r="D942" i="1"/>
  <c r="C942" i="1"/>
  <c r="B942" i="1"/>
  <c r="A942" i="1"/>
  <c r="R941" i="1"/>
  <c r="Q941" i="1"/>
  <c r="N941" i="1"/>
  <c r="J941" i="1"/>
  <c r="I941" i="1"/>
  <c r="H941" i="1"/>
  <c r="G941" i="1"/>
  <c r="F941" i="1"/>
  <c r="E941" i="1"/>
  <c r="D941" i="1"/>
  <c r="C941" i="1"/>
  <c r="B941" i="1"/>
  <c r="A941" i="1"/>
  <c r="R940" i="1"/>
  <c r="Q940" i="1"/>
  <c r="N940" i="1"/>
  <c r="J940" i="1"/>
  <c r="I940" i="1"/>
  <c r="H940" i="1"/>
  <c r="G940" i="1"/>
  <c r="F940" i="1"/>
  <c r="E940" i="1"/>
  <c r="D940" i="1"/>
  <c r="C940" i="1"/>
  <c r="B940" i="1"/>
  <c r="A940" i="1"/>
  <c r="R939" i="1"/>
  <c r="Q939" i="1"/>
  <c r="N939" i="1"/>
  <c r="J939" i="1"/>
  <c r="I939" i="1"/>
  <c r="H939" i="1"/>
  <c r="G939" i="1"/>
  <c r="F939" i="1"/>
  <c r="E939" i="1"/>
  <c r="D939" i="1"/>
  <c r="C939" i="1"/>
  <c r="B939" i="1"/>
  <c r="A939" i="1"/>
  <c r="R938" i="1"/>
  <c r="Q938" i="1"/>
  <c r="N938" i="1"/>
  <c r="J938" i="1"/>
  <c r="I938" i="1"/>
  <c r="H938" i="1"/>
  <c r="G938" i="1"/>
  <c r="F938" i="1"/>
  <c r="E938" i="1"/>
  <c r="D938" i="1"/>
  <c r="C938" i="1"/>
  <c r="B938" i="1"/>
  <c r="A938" i="1"/>
  <c r="R937" i="1"/>
  <c r="Q937" i="1"/>
  <c r="N937" i="1"/>
  <c r="J937" i="1"/>
  <c r="I937" i="1"/>
  <c r="H937" i="1"/>
  <c r="G937" i="1"/>
  <c r="F937" i="1"/>
  <c r="E937" i="1"/>
  <c r="D937" i="1"/>
  <c r="C937" i="1"/>
  <c r="B937" i="1"/>
  <c r="A937" i="1"/>
  <c r="R936" i="1"/>
  <c r="Q936" i="1"/>
  <c r="N936" i="1"/>
  <c r="J936" i="1"/>
  <c r="I936" i="1"/>
  <c r="H936" i="1"/>
  <c r="G936" i="1"/>
  <c r="F936" i="1"/>
  <c r="E936" i="1"/>
  <c r="D936" i="1"/>
  <c r="C936" i="1"/>
  <c r="B936" i="1"/>
  <c r="A936" i="1"/>
  <c r="R935" i="1"/>
  <c r="Q935" i="1"/>
  <c r="N935" i="1"/>
  <c r="J935" i="1"/>
  <c r="I935" i="1"/>
  <c r="H935" i="1"/>
  <c r="G935" i="1"/>
  <c r="F935" i="1"/>
  <c r="E935" i="1"/>
  <c r="D935" i="1"/>
  <c r="C935" i="1"/>
  <c r="B935" i="1"/>
  <c r="A935" i="1"/>
  <c r="R934" i="1"/>
  <c r="Q934" i="1"/>
  <c r="N934" i="1"/>
  <c r="J934" i="1"/>
  <c r="I934" i="1"/>
  <c r="H934" i="1"/>
  <c r="G934" i="1"/>
  <c r="F934" i="1"/>
  <c r="E934" i="1"/>
  <c r="D934" i="1"/>
  <c r="C934" i="1"/>
  <c r="B934" i="1"/>
  <c r="A934" i="1"/>
  <c r="R933" i="1"/>
  <c r="Q933" i="1"/>
  <c r="N933" i="1"/>
  <c r="J933" i="1"/>
  <c r="I933" i="1"/>
  <c r="H933" i="1"/>
  <c r="G933" i="1"/>
  <c r="F933" i="1"/>
  <c r="E933" i="1"/>
  <c r="D933" i="1"/>
  <c r="C933" i="1"/>
  <c r="B933" i="1"/>
  <c r="A933" i="1"/>
  <c r="R932" i="1"/>
  <c r="Q932" i="1"/>
  <c r="N932" i="1"/>
  <c r="J932" i="1"/>
  <c r="I932" i="1"/>
  <c r="H932" i="1"/>
  <c r="G932" i="1"/>
  <c r="F932" i="1"/>
  <c r="E932" i="1"/>
  <c r="D932" i="1"/>
  <c r="C932" i="1"/>
  <c r="B932" i="1"/>
  <c r="A932" i="1"/>
  <c r="R931" i="1"/>
  <c r="Q931" i="1"/>
  <c r="N931" i="1"/>
  <c r="J931" i="1"/>
  <c r="I931" i="1"/>
  <c r="H931" i="1"/>
  <c r="G931" i="1"/>
  <c r="F931" i="1"/>
  <c r="E931" i="1"/>
  <c r="D931" i="1"/>
  <c r="C931" i="1"/>
  <c r="B931" i="1"/>
  <c r="A931" i="1"/>
  <c r="R930" i="1"/>
  <c r="Q930" i="1"/>
  <c r="N930" i="1"/>
  <c r="J930" i="1"/>
  <c r="I930" i="1"/>
  <c r="H930" i="1"/>
  <c r="G930" i="1"/>
  <c r="F930" i="1"/>
  <c r="E930" i="1"/>
  <c r="D930" i="1"/>
  <c r="C930" i="1"/>
  <c r="B930" i="1"/>
  <c r="A930" i="1"/>
  <c r="R929" i="1"/>
  <c r="Q929" i="1"/>
  <c r="N929" i="1"/>
  <c r="J929" i="1"/>
  <c r="I929" i="1"/>
  <c r="H929" i="1"/>
  <c r="G929" i="1"/>
  <c r="F929" i="1"/>
  <c r="E929" i="1"/>
  <c r="D929" i="1"/>
  <c r="C929" i="1"/>
  <c r="B929" i="1"/>
  <c r="A929" i="1"/>
  <c r="R928" i="1"/>
  <c r="Q928" i="1"/>
  <c r="N928" i="1"/>
  <c r="J928" i="1"/>
  <c r="I928" i="1"/>
  <c r="H928" i="1"/>
  <c r="G928" i="1"/>
  <c r="F928" i="1"/>
  <c r="E928" i="1"/>
  <c r="D928" i="1"/>
  <c r="C928" i="1"/>
  <c r="B928" i="1"/>
  <c r="A928" i="1"/>
  <c r="R927" i="1"/>
  <c r="Q927" i="1"/>
  <c r="N927" i="1"/>
  <c r="J927" i="1"/>
  <c r="I927" i="1"/>
  <c r="H927" i="1"/>
  <c r="G927" i="1"/>
  <c r="F927" i="1"/>
  <c r="E927" i="1"/>
  <c r="D927" i="1"/>
  <c r="C927" i="1"/>
  <c r="B927" i="1"/>
  <c r="A927" i="1"/>
  <c r="R926" i="1"/>
  <c r="Q926" i="1"/>
  <c r="N926" i="1"/>
  <c r="J926" i="1"/>
  <c r="I926" i="1"/>
  <c r="H926" i="1"/>
  <c r="G926" i="1"/>
  <c r="F926" i="1"/>
  <c r="E926" i="1"/>
  <c r="D926" i="1"/>
  <c r="C926" i="1"/>
  <c r="B926" i="1"/>
  <c r="A926" i="1"/>
  <c r="R925" i="1"/>
  <c r="Q925" i="1"/>
  <c r="N925" i="1"/>
  <c r="J925" i="1"/>
  <c r="I925" i="1"/>
  <c r="H925" i="1"/>
  <c r="G925" i="1"/>
  <c r="F925" i="1"/>
  <c r="E925" i="1"/>
  <c r="D925" i="1"/>
  <c r="C925" i="1"/>
  <c r="B925" i="1"/>
  <c r="A925" i="1"/>
  <c r="R924" i="1"/>
  <c r="Q924" i="1"/>
  <c r="N924" i="1"/>
  <c r="J924" i="1"/>
  <c r="I924" i="1"/>
  <c r="H924" i="1"/>
  <c r="G924" i="1"/>
  <c r="F924" i="1"/>
  <c r="E924" i="1"/>
  <c r="D924" i="1"/>
  <c r="C924" i="1"/>
  <c r="B924" i="1"/>
  <c r="A924" i="1"/>
  <c r="R923" i="1"/>
  <c r="Q923" i="1"/>
  <c r="N923" i="1"/>
  <c r="J923" i="1"/>
  <c r="I923" i="1"/>
  <c r="H923" i="1"/>
  <c r="G923" i="1"/>
  <c r="F923" i="1"/>
  <c r="E923" i="1"/>
  <c r="D923" i="1"/>
  <c r="C923" i="1"/>
  <c r="B923" i="1"/>
  <c r="A923" i="1"/>
  <c r="R922" i="1"/>
  <c r="Q922" i="1"/>
  <c r="N922" i="1"/>
  <c r="J922" i="1"/>
  <c r="I922" i="1"/>
  <c r="H922" i="1"/>
  <c r="G922" i="1"/>
  <c r="F922" i="1"/>
  <c r="E922" i="1"/>
  <c r="D922" i="1"/>
  <c r="C922" i="1"/>
  <c r="B922" i="1"/>
  <c r="A922" i="1"/>
  <c r="R921" i="1"/>
  <c r="Q921" i="1"/>
  <c r="N921" i="1"/>
  <c r="J921" i="1"/>
  <c r="I921" i="1"/>
  <c r="H921" i="1"/>
  <c r="G921" i="1"/>
  <c r="F921" i="1"/>
  <c r="E921" i="1"/>
  <c r="D921" i="1"/>
  <c r="C921" i="1"/>
  <c r="B921" i="1"/>
  <c r="A921" i="1"/>
  <c r="R920" i="1"/>
  <c r="N920" i="1"/>
  <c r="J920" i="1"/>
  <c r="I920" i="1"/>
  <c r="H920" i="1"/>
  <c r="G920" i="1"/>
  <c r="F920" i="1"/>
  <c r="E920" i="1"/>
  <c r="D920" i="1"/>
  <c r="C920" i="1"/>
  <c r="B920" i="1"/>
  <c r="A920" i="1"/>
  <c r="R919" i="1"/>
  <c r="Q919" i="1"/>
  <c r="N919" i="1"/>
  <c r="J919" i="1"/>
  <c r="I919" i="1"/>
  <c r="H919" i="1"/>
  <c r="G919" i="1"/>
  <c r="F919" i="1"/>
  <c r="E919" i="1"/>
  <c r="D919" i="1"/>
  <c r="C919" i="1"/>
  <c r="B919" i="1"/>
  <c r="A919" i="1"/>
  <c r="R918" i="1"/>
  <c r="N918" i="1"/>
  <c r="J918" i="1"/>
  <c r="I918" i="1"/>
  <c r="H918" i="1"/>
  <c r="G918" i="1"/>
  <c r="F918" i="1"/>
  <c r="E918" i="1"/>
  <c r="D918" i="1"/>
  <c r="C918" i="1"/>
  <c r="B918" i="1"/>
  <c r="A918" i="1"/>
  <c r="R917" i="1"/>
  <c r="Q917" i="1"/>
  <c r="N917" i="1"/>
  <c r="J917" i="1"/>
  <c r="I917" i="1"/>
  <c r="H917" i="1"/>
  <c r="G917" i="1"/>
  <c r="F917" i="1"/>
  <c r="E917" i="1"/>
  <c r="D917" i="1"/>
  <c r="C917" i="1"/>
  <c r="B917" i="1"/>
  <c r="A917" i="1"/>
  <c r="R916" i="1"/>
  <c r="Q916" i="1"/>
  <c r="N916" i="1"/>
  <c r="J916" i="1"/>
  <c r="I916" i="1"/>
  <c r="H916" i="1"/>
  <c r="G916" i="1"/>
  <c r="F916" i="1"/>
  <c r="E916" i="1"/>
  <c r="D916" i="1"/>
  <c r="C916" i="1"/>
  <c r="B916" i="1"/>
  <c r="A916" i="1"/>
  <c r="R915" i="1"/>
  <c r="Q915" i="1"/>
  <c r="N915" i="1"/>
  <c r="J915" i="1"/>
  <c r="I915" i="1"/>
  <c r="H915" i="1"/>
  <c r="G915" i="1"/>
  <c r="F915" i="1"/>
  <c r="E915" i="1"/>
  <c r="D915" i="1"/>
  <c r="C915" i="1"/>
  <c r="B915" i="1"/>
  <c r="A915" i="1"/>
  <c r="R914" i="1"/>
  <c r="Q914" i="1"/>
  <c r="N914" i="1"/>
  <c r="J914" i="1"/>
  <c r="I914" i="1"/>
  <c r="H914" i="1"/>
  <c r="G914" i="1"/>
  <c r="F914" i="1"/>
  <c r="E914" i="1"/>
  <c r="D914" i="1"/>
  <c r="C914" i="1"/>
  <c r="B914" i="1"/>
  <c r="A914" i="1"/>
  <c r="R913" i="1"/>
  <c r="Q913" i="1"/>
  <c r="N913" i="1"/>
  <c r="J913" i="1"/>
  <c r="I913" i="1"/>
  <c r="H913" i="1"/>
  <c r="G913" i="1"/>
  <c r="F913" i="1"/>
  <c r="E913" i="1"/>
  <c r="D913" i="1"/>
  <c r="C913" i="1"/>
  <c r="B913" i="1"/>
  <c r="A913" i="1"/>
  <c r="R912" i="1"/>
  <c r="N912" i="1"/>
  <c r="J912" i="1"/>
  <c r="I912" i="1"/>
  <c r="H912" i="1"/>
  <c r="G912" i="1"/>
  <c r="F912" i="1"/>
  <c r="E912" i="1"/>
  <c r="D912" i="1"/>
  <c r="C912" i="1"/>
  <c r="B912" i="1"/>
  <c r="A912" i="1"/>
  <c r="R911" i="1"/>
  <c r="Q911" i="1"/>
  <c r="N911" i="1"/>
  <c r="J911" i="1"/>
  <c r="I911" i="1"/>
  <c r="H911" i="1"/>
  <c r="G911" i="1"/>
  <c r="F911" i="1"/>
  <c r="E911" i="1"/>
  <c r="D911" i="1"/>
  <c r="C911" i="1"/>
  <c r="B911" i="1"/>
  <c r="A911" i="1"/>
  <c r="R910" i="1"/>
  <c r="N910" i="1"/>
  <c r="J910" i="1"/>
  <c r="I910" i="1"/>
  <c r="H910" i="1"/>
  <c r="G910" i="1"/>
  <c r="F910" i="1"/>
  <c r="E910" i="1"/>
  <c r="D910" i="1"/>
  <c r="C910" i="1"/>
  <c r="B910" i="1"/>
  <c r="A910" i="1"/>
  <c r="R909" i="1"/>
  <c r="Q909" i="1"/>
  <c r="N909" i="1"/>
  <c r="J909" i="1"/>
  <c r="I909" i="1"/>
  <c r="H909" i="1"/>
  <c r="G909" i="1"/>
  <c r="F909" i="1"/>
  <c r="E909" i="1"/>
  <c r="D909" i="1"/>
  <c r="C909" i="1"/>
  <c r="B909" i="1"/>
  <c r="A909" i="1"/>
  <c r="R908" i="1"/>
  <c r="N908" i="1"/>
  <c r="J908" i="1"/>
  <c r="I908" i="1"/>
  <c r="H908" i="1"/>
  <c r="G908" i="1"/>
  <c r="F908" i="1"/>
  <c r="E908" i="1"/>
  <c r="D908" i="1"/>
  <c r="C908" i="1"/>
  <c r="B908" i="1"/>
  <c r="A908" i="1"/>
  <c r="R907" i="1"/>
  <c r="Q907" i="1"/>
  <c r="N907" i="1"/>
  <c r="J907" i="1"/>
  <c r="I907" i="1"/>
  <c r="H907" i="1"/>
  <c r="G907" i="1"/>
  <c r="F907" i="1"/>
  <c r="E907" i="1"/>
  <c r="D907" i="1"/>
  <c r="C907" i="1"/>
  <c r="B907" i="1"/>
  <c r="A907" i="1"/>
  <c r="R906" i="1"/>
  <c r="N906" i="1"/>
  <c r="J906" i="1"/>
  <c r="I906" i="1"/>
  <c r="H906" i="1"/>
  <c r="G906" i="1"/>
  <c r="F906" i="1"/>
  <c r="E906" i="1"/>
  <c r="D906" i="1"/>
  <c r="C906" i="1"/>
  <c r="B906" i="1"/>
  <c r="A906" i="1"/>
  <c r="R905" i="1"/>
  <c r="Q905" i="1"/>
  <c r="N905" i="1"/>
  <c r="J905" i="1"/>
  <c r="I905" i="1"/>
  <c r="H905" i="1"/>
  <c r="G905" i="1"/>
  <c r="F905" i="1"/>
  <c r="E905" i="1"/>
  <c r="D905" i="1"/>
  <c r="C905" i="1"/>
  <c r="B905" i="1"/>
  <c r="A905" i="1"/>
  <c r="R904" i="1"/>
  <c r="N904" i="1"/>
  <c r="J904" i="1"/>
  <c r="I904" i="1"/>
  <c r="H904" i="1"/>
  <c r="G904" i="1"/>
  <c r="F904" i="1"/>
  <c r="E904" i="1"/>
  <c r="D904" i="1"/>
  <c r="C904" i="1"/>
  <c r="B904" i="1"/>
  <c r="A904" i="1"/>
  <c r="R903" i="1"/>
  <c r="Q903" i="1"/>
  <c r="N903" i="1"/>
  <c r="J903" i="1"/>
  <c r="I903" i="1"/>
  <c r="H903" i="1"/>
  <c r="G903" i="1"/>
  <c r="F903" i="1"/>
  <c r="E903" i="1"/>
  <c r="D903" i="1"/>
  <c r="C903" i="1"/>
  <c r="B903" i="1"/>
  <c r="A903" i="1"/>
  <c r="R902" i="1"/>
  <c r="N902" i="1"/>
  <c r="J902" i="1"/>
  <c r="I902" i="1"/>
  <c r="H902" i="1"/>
  <c r="G902" i="1"/>
  <c r="F902" i="1"/>
  <c r="E902" i="1"/>
  <c r="D902" i="1"/>
  <c r="C902" i="1"/>
  <c r="B902" i="1"/>
  <c r="A902" i="1"/>
  <c r="R901" i="1"/>
  <c r="N901" i="1"/>
  <c r="J901" i="1"/>
  <c r="I901" i="1"/>
  <c r="H901" i="1"/>
  <c r="G901" i="1"/>
  <c r="F901" i="1"/>
  <c r="E901" i="1"/>
  <c r="D901" i="1"/>
  <c r="C901" i="1"/>
  <c r="B901" i="1"/>
  <c r="A901" i="1"/>
  <c r="R900" i="1"/>
  <c r="N900" i="1"/>
  <c r="J900" i="1"/>
  <c r="I900" i="1"/>
  <c r="H900" i="1"/>
  <c r="G900" i="1"/>
  <c r="F900" i="1"/>
  <c r="E900" i="1"/>
  <c r="D900" i="1"/>
  <c r="C900" i="1"/>
  <c r="B900" i="1"/>
  <c r="A900" i="1"/>
  <c r="R899" i="1"/>
  <c r="Q899" i="1"/>
  <c r="N899" i="1"/>
  <c r="J899" i="1"/>
  <c r="I899" i="1"/>
  <c r="H899" i="1"/>
  <c r="G899" i="1"/>
  <c r="F899" i="1"/>
  <c r="E899" i="1"/>
  <c r="D899" i="1"/>
  <c r="C899" i="1"/>
  <c r="B899" i="1"/>
  <c r="A899" i="1"/>
  <c r="R898" i="1"/>
  <c r="N898" i="1"/>
  <c r="J898" i="1"/>
  <c r="I898" i="1"/>
  <c r="H898" i="1"/>
  <c r="G898" i="1"/>
  <c r="F898" i="1"/>
  <c r="E898" i="1"/>
  <c r="D898" i="1"/>
  <c r="C898" i="1"/>
  <c r="B898" i="1"/>
  <c r="A898" i="1"/>
  <c r="R897" i="1"/>
  <c r="Q897" i="1"/>
  <c r="N897" i="1"/>
  <c r="J897" i="1"/>
  <c r="I897" i="1"/>
  <c r="H897" i="1"/>
  <c r="G897" i="1"/>
  <c r="F897" i="1"/>
  <c r="E897" i="1"/>
  <c r="D897" i="1"/>
  <c r="C897" i="1"/>
  <c r="B897" i="1"/>
  <c r="A897" i="1"/>
  <c r="R896" i="1"/>
  <c r="N896" i="1"/>
  <c r="J896" i="1"/>
  <c r="I896" i="1"/>
  <c r="H896" i="1"/>
  <c r="G896" i="1"/>
  <c r="F896" i="1"/>
  <c r="E896" i="1"/>
  <c r="D896" i="1"/>
  <c r="C896" i="1"/>
  <c r="B896" i="1"/>
  <c r="A896" i="1"/>
  <c r="R895" i="1"/>
  <c r="Q895" i="1"/>
  <c r="N895" i="1"/>
  <c r="J895" i="1"/>
  <c r="I895" i="1"/>
  <c r="H895" i="1"/>
  <c r="G895" i="1"/>
  <c r="F895" i="1"/>
  <c r="E895" i="1"/>
  <c r="D895" i="1"/>
  <c r="C895" i="1"/>
  <c r="B895" i="1"/>
  <c r="A895" i="1"/>
  <c r="R894" i="1"/>
  <c r="N894" i="1"/>
  <c r="J894" i="1"/>
  <c r="I894" i="1"/>
  <c r="H894" i="1"/>
  <c r="G894" i="1"/>
  <c r="F894" i="1"/>
  <c r="E894" i="1"/>
  <c r="D894" i="1"/>
  <c r="C894" i="1"/>
  <c r="B894" i="1"/>
  <c r="A894" i="1"/>
  <c r="R893" i="1"/>
  <c r="Q893" i="1"/>
  <c r="N893" i="1"/>
  <c r="J893" i="1"/>
  <c r="I893" i="1"/>
  <c r="H893" i="1"/>
  <c r="G893" i="1"/>
  <c r="F893" i="1"/>
  <c r="E893" i="1"/>
  <c r="D893" i="1"/>
  <c r="C893" i="1"/>
  <c r="B893" i="1"/>
  <c r="A893" i="1"/>
  <c r="R892" i="1"/>
  <c r="N892" i="1"/>
  <c r="J892" i="1"/>
  <c r="I892" i="1"/>
  <c r="H892" i="1"/>
  <c r="G892" i="1"/>
  <c r="F892" i="1"/>
  <c r="E892" i="1"/>
  <c r="D892" i="1"/>
  <c r="C892" i="1"/>
  <c r="B892" i="1"/>
  <c r="A892" i="1"/>
  <c r="R891" i="1"/>
  <c r="Q891" i="1"/>
  <c r="N891" i="1"/>
  <c r="J891" i="1"/>
  <c r="I891" i="1"/>
  <c r="H891" i="1"/>
  <c r="G891" i="1"/>
  <c r="F891" i="1"/>
  <c r="E891" i="1"/>
  <c r="D891" i="1"/>
  <c r="C891" i="1"/>
  <c r="B891" i="1"/>
  <c r="A891" i="1"/>
  <c r="R890" i="1"/>
  <c r="N890" i="1"/>
  <c r="J890" i="1"/>
  <c r="I890" i="1"/>
  <c r="H890" i="1"/>
  <c r="G890" i="1"/>
  <c r="F890" i="1"/>
  <c r="E890" i="1"/>
  <c r="D890" i="1"/>
  <c r="C890" i="1"/>
  <c r="B890" i="1"/>
  <c r="A890" i="1"/>
  <c r="R889" i="1"/>
  <c r="Q889" i="1"/>
  <c r="N889" i="1"/>
  <c r="J889" i="1"/>
  <c r="I889" i="1"/>
  <c r="H889" i="1"/>
  <c r="G889" i="1"/>
  <c r="F889" i="1"/>
  <c r="E889" i="1"/>
  <c r="D889" i="1"/>
  <c r="C889" i="1"/>
  <c r="B889" i="1"/>
  <c r="A889" i="1"/>
  <c r="R888" i="1"/>
  <c r="N888" i="1"/>
  <c r="J888" i="1"/>
  <c r="I888" i="1"/>
  <c r="H888" i="1"/>
  <c r="G888" i="1"/>
  <c r="F888" i="1"/>
  <c r="E888" i="1"/>
  <c r="D888" i="1"/>
  <c r="C888" i="1"/>
  <c r="B888" i="1"/>
  <c r="A888" i="1"/>
  <c r="R887" i="1"/>
  <c r="N887" i="1"/>
  <c r="J887" i="1"/>
  <c r="I887" i="1"/>
  <c r="H887" i="1"/>
  <c r="G887" i="1"/>
  <c r="F887" i="1"/>
  <c r="E887" i="1"/>
  <c r="D887" i="1"/>
  <c r="C887" i="1"/>
  <c r="B887" i="1"/>
  <c r="A887" i="1"/>
  <c r="R886" i="1"/>
  <c r="N886" i="1"/>
  <c r="J886" i="1"/>
  <c r="I886" i="1"/>
  <c r="H886" i="1"/>
  <c r="G886" i="1"/>
  <c r="F886" i="1"/>
  <c r="E886" i="1"/>
  <c r="D886" i="1"/>
  <c r="C886" i="1"/>
  <c r="B886" i="1"/>
  <c r="A886" i="1"/>
  <c r="R885" i="1"/>
  <c r="Q885" i="1"/>
  <c r="N885" i="1"/>
  <c r="J885" i="1"/>
  <c r="I885" i="1"/>
  <c r="H885" i="1"/>
  <c r="G885" i="1"/>
  <c r="F885" i="1"/>
  <c r="E885" i="1"/>
  <c r="D885" i="1"/>
  <c r="C885" i="1"/>
  <c r="B885" i="1"/>
  <c r="A885" i="1"/>
  <c r="R884" i="1"/>
  <c r="N884" i="1"/>
  <c r="J884" i="1"/>
  <c r="I884" i="1"/>
  <c r="H884" i="1"/>
  <c r="G884" i="1"/>
  <c r="F884" i="1"/>
  <c r="E884" i="1"/>
  <c r="D884" i="1"/>
  <c r="C884" i="1"/>
  <c r="B884" i="1"/>
  <c r="A884" i="1"/>
  <c r="R883" i="1"/>
  <c r="Q883" i="1"/>
  <c r="N883" i="1"/>
  <c r="J883" i="1"/>
  <c r="I883" i="1"/>
  <c r="H883" i="1"/>
  <c r="G883" i="1"/>
  <c r="F883" i="1"/>
  <c r="E883" i="1"/>
  <c r="D883" i="1"/>
  <c r="C883" i="1"/>
  <c r="B883" i="1"/>
  <c r="A883" i="1"/>
  <c r="R882" i="1"/>
  <c r="N882" i="1"/>
  <c r="J882" i="1"/>
  <c r="I882" i="1"/>
  <c r="H882" i="1"/>
  <c r="G882" i="1"/>
  <c r="F882" i="1"/>
  <c r="E882" i="1"/>
  <c r="D882" i="1"/>
  <c r="C882" i="1"/>
  <c r="B882" i="1"/>
  <c r="A882" i="1"/>
  <c r="R881" i="1"/>
  <c r="Q881" i="1"/>
  <c r="N881" i="1"/>
  <c r="J881" i="1"/>
  <c r="I881" i="1"/>
  <c r="H881" i="1"/>
  <c r="G881" i="1"/>
  <c r="F881" i="1"/>
  <c r="E881" i="1"/>
  <c r="D881" i="1"/>
  <c r="C881" i="1"/>
  <c r="B881" i="1"/>
  <c r="A881" i="1"/>
  <c r="R880" i="1"/>
  <c r="N880" i="1"/>
  <c r="J880" i="1"/>
  <c r="I880" i="1"/>
  <c r="H880" i="1"/>
  <c r="G880" i="1"/>
  <c r="F880" i="1"/>
  <c r="E880" i="1"/>
  <c r="D880" i="1"/>
  <c r="C880" i="1"/>
  <c r="B880" i="1"/>
  <c r="A880" i="1"/>
  <c r="R879" i="1"/>
  <c r="Q879" i="1"/>
  <c r="N879" i="1"/>
  <c r="J879" i="1"/>
  <c r="I879" i="1"/>
  <c r="H879" i="1"/>
  <c r="G879" i="1"/>
  <c r="F879" i="1"/>
  <c r="E879" i="1"/>
  <c r="D879" i="1"/>
  <c r="C879" i="1"/>
  <c r="B879" i="1"/>
  <c r="A879" i="1"/>
  <c r="R878" i="1"/>
  <c r="N878" i="1"/>
  <c r="J878" i="1"/>
  <c r="I878" i="1"/>
  <c r="H878" i="1"/>
  <c r="G878" i="1"/>
  <c r="F878" i="1"/>
  <c r="E878" i="1"/>
  <c r="D878" i="1"/>
  <c r="C878" i="1"/>
  <c r="B878" i="1"/>
  <c r="A878" i="1"/>
  <c r="R877" i="1"/>
  <c r="N877" i="1"/>
  <c r="J877" i="1"/>
  <c r="I877" i="1"/>
  <c r="H877" i="1"/>
  <c r="G877" i="1"/>
  <c r="F877" i="1"/>
  <c r="E877" i="1"/>
  <c r="D877" i="1"/>
  <c r="C877" i="1"/>
  <c r="B877" i="1"/>
  <c r="A877" i="1"/>
  <c r="R876" i="1"/>
  <c r="N876" i="1"/>
  <c r="J876" i="1"/>
  <c r="I876" i="1"/>
  <c r="H876" i="1"/>
  <c r="G876" i="1"/>
  <c r="F876" i="1"/>
  <c r="E876" i="1"/>
  <c r="D876" i="1"/>
  <c r="C876" i="1"/>
  <c r="B876" i="1"/>
  <c r="A876" i="1"/>
  <c r="R875" i="1"/>
  <c r="Q875" i="1"/>
  <c r="N875" i="1"/>
  <c r="J875" i="1"/>
  <c r="I875" i="1"/>
  <c r="H875" i="1"/>
  <c r="G875" i="1"/>
  <c r="F875" i="1"/>
  <c r="E875" i="1"/>
  <c r="D875" i="1"/>
  <c r="C875" i="1"/>
  <c r="B875" i="1"/>
  <c r="A875" i="1"/>
  <c r="R874" i="1"/>
  <c r="N874" i="1"/>
  <c r="J874" i="1"/>
  <c r="I874" i="1"/>
  <c r="H874" i="1"/>
  <c r="G874" i="1"/>
  <c r="F874" i="1"/>
  <c r="E874" i="1"/>
  <c r="D874" i="1"/>
  <c r="C874" i="1"/>
  <c r="B874" i="1"/>
  <c r="A874" i="1"/>
  <c r="R873" i="1"/>
  <c r="Q873" i="1"/>
  <c r="N873" i="1"/>
  <c r="J873" i="1"/>
  <c r="I873" i="1"/>
  <c r="H873" i="1"/>
  <c r="G873" i="1"/>
  <c r="F873" i="1"/>
  <c r="E873" i="1"/>
  <c r="D873" i="1"/>
  <c r="C873" i="1"/>
  <c r="B873" i="1"/>
  <c r="A873" i="1"/>
  <c r="R872" i="1"/>
  <c r="N872" i="1"/>
  <c r="J872" i="1"/>
  <c r="I872" i="1"/>
  <c r="H872" i="1"/>
  <c r="G872" i="1"/>
  <c r="F872" i="1"/>
  <c r="E872" i="1"/>
  <c r="D872" i="1"/>
  <c r="C872" i="1"/>
  <c r="B872" i="1"/>
  <c r="A872" i="1"/>
  <c r="R871" i="1"/>
  <c r="Q871" i="1"/>
  <c r="N871" i="1"/>
  <c r="J871" i="1"/>
  <c r="I871" i="1"/>
  <c r="H871" i="1"/>
  <c r="G871" i="1"/>
  <c r="F871" i="1"/>
  <c r="E871" i="1"/>
  <c r="D871" i="1"/>
  <c r="C871" i="1"/>
  <c r="B871" i="1"/>
  <c r="A871" i="1"/>
  <c r="R870" i="1"/>
  <c r="N870" i="1"/>
  <c r="J870" i="1"/>
  <c r="I870" i="1"/>
  <c r="H870" i="1"/>
  <c r="G870" i="1"/>
  <c r="F870" i="1"/>
  <c r="E870" i="1"/>
  <c r="D870" i="1"/>
  <c r="C870" i="1"/>
  <c r="B870" i="1"/>
  <c r="A870" i="1"/>
  <c r="R869" i="1"/>
  <c r="Q869" i="1"/>
  <c r="N869" i="1"/>
  <c r="J869" i="1"/>
  <c r="I869" i="1"/>
  <c r="H869" i="1"/>
  <c r="G869" i="1"/>
  <c r="F869" i="1"/>
  <c r="E869" i="1"/>
  <c r="D869" i="1"/>
  <c r="C869" i="1"/>
  <c r="B869" i="1"/>
  <c r="A869" i="1"/>
  <c r="R868" i="1"/>
  <c r="N868" i="1"/>
  <c r="J868" i="1"/>
  <c r="I868" i="1"/>
  <c r="H868" i="1"/>
  <c r="G868" i="1"/>
  <c r="F868" i="1"/>
  <c r="E868" i="1"/>
  <c r="D868" i="1"/>
  <c r="C868" i="1"/>
  <c r="B868" i="1"/>
  <c r="A868" i="1"/>
  <c r="R867" i="1"/>
  <c r="Q867" i="1"/>
  <c r="N867" i="1"/>
  <c r="J867" i="1"/>
  <c r="I867" i="1"/>
  <c r="H867" i="1"/>
  <c r="G867" i="1"/>
  <c r="F867" i="1"/>
  <c r="E867" i="1"/>
  <c r="D867" i="1"/>
  <c r="C867" i="1"/>
  <c r="B867" i="1"/>
  <c r="A867" i="1"/>
  <c r="R866" i="1"/>
  <c r="N866" i="1"/>
  <c r="J866" i="1"/>
  <c r="I866" i="1"/>
  <c r="H866" i="1"/>
  <c r="G866" i="1"/>
  <c r="F866" i="1"/>
  <c r="E866" i="1"/>
  <c r="D866" i="1"/>
  <c r="C866" i="1"/>
  <c r="B866" i="1"/>
  <c r="A866" i="1"/>
  <c r="R865" i="1"/>
  <c r="Q865" i="1"/>
  <c r="N865" i="1"/>
  <c r="J865" i="1"/>
  <c r="I865" i="1"/>
  <c r="H865" i="1"/>
  <c r="G865" i="1"/>
  <c r="F865" i="1"/>
  <c r="E865" i="1"/>
  <c r="D865" i="1"/>
  <c r="C865" i="1"/>
  <c r="B865" i="1"/>
  <c r="A865" i="1"/>
  <c r="R864" i="1"/>
  <c r="N864" i="1"/>
  <c r="J864" i="1"/>
  <c r="I864" i="1"/>
  <c r="H864" i="1"/>
  <c r="G864" i="1"/>
  <c r="F864" i="1"/>
  <c r="E864" i="1"/>
  <c r="D864" i="1"/>
  <c r="C864" i="1"/>
  <c r="B864" i="1"/>
  <c r="A864" i="1"/>
  <c r="R863" i="1"/>
  <c r="Q863" i="1"/>
  <c r="N863" i="1"/>
  <c r="J863" i="1"/>
  <c r="I863" i="1"/>
  <c r="H863" i="1"/>
  <c r="G863" i="1"/>
  <c r="F863" i="1"/>
  <c r="E863" i="1"/>
  <c r="D863" i="1"/>
  <c r="C863" i="1"/>
  <c r="B863" i="1"/>
  <c r="A863" i="1"/>
  <c r="R862" i="1"/>
  <c r="N862" i="1"/>
  <c r="J862" i="1"/>
  <c r="I862" i="1"/>
  <c r="H862" i="1"/>
  <c r="G862" i="1"/>
  <c r="F862" i="1"/>
  <c r="E862" i="1"/>
  <c r="D862" i="1"/>
  <c r="C862" i="1"/>
  <c r="B862" i="1"/>
  <c r="A862" i="1"/>
  <c r="R861" i="1"/>
  <c r="Q861" i="1"/>
  <c r="N861" i="1"/>
  <c r="J861" i="1"/>
  <c r="I861" i="1"/>
  <c r="H861" i="1"/>
  <c r="G861" i="1"/>
  <c r="F861" i="1"/>
  <c r="E861" i="1"/>
  <c r="D861" i="1"/>
  <c r="C861" i="1"/>
  <c r="B861" i="1"/>
  <c r="A861" i="1"/>
  <c r="R860" i="1"/>
  <c r="N860" i="1"/>
  <c r="J860" i="1"/>
  <c r="I860" i="1"/>
  <c r="H860" i="1"/>
  <c r="G860" i="1"/>
  <c r="F860" i="1"/>
  <c r="E860" i="1"/>
  <c r="D860" i="1"/>
  <c r="C860" i="1"/>
  <c r="B860" i="1"/>
  <c r="A860" i="1"/>
  <c r="R859" i="1"/>
  <c r="Q859" i="1"/>
  <c r="N859" i="1"/>
  <c r="J859" i="1"/>
  <c r="I859" i="1"/>
  <c r="H859" i="1"/>
  <c r="G859" i="1"/>
  <c r="F859" i="1"/>
  <c r="E859" i="1"/>
  <c r="D859" i="1"/>
  <c r="C859" i="1"/>
  <c r="B859" i="1"/>
  <c r="A859" i="1"/>
  <c r="R858" i="1"/>
  <c r="N858" i="1"/>
  <c r="J858" i="1"/>
  <c r="I858" i="1"/>
  <c r="H858" i="1"/>
  <c r="G858" i="1"/>
  <c r="F858" i="1"/>
  <c r="E858" i="1"/>
  <c r="D858" i="1"/>
  <c r="C858" i="1"/>
  <c r="B858" i="1"/>
  <c r="A858" i="1"/>
  <c r="R857" i="1"/>
  <c r="Q857" i="1"/>
  <c r="N857" i="1"/>
  <c r="J857" i="1"/>
  <c r="I857" i="1"/>
  <c r="H857" i="1"/>
  <c r="G857" i="1"/>
  <c r="F857" i="1"/>
  <c r="E857" i="1"/>
  <c r="D857" i="1"/>
  <c r="C857" i="1"/>
  <c r="B857" i="1"/>
  <c r="A857" i="1"/>
  <c r="R856" i="1"/>
  <c r="N856" i="1"/>
  <c r="J856" i="1"/>
  <c r="I856" i="1"/>
  <c r="H856" i="1"/>
  <c r="G856" i="1"/>
  <c r="F856" i="1"/>
  <c r="E856" i="1"/>
  <c r="D856" i="1"/>
  <c r="C856" i="1"/>
  <c r="B856" i="1"/>
  <c r="A856" i="1"/>
  <c r="R855" i="1"/>
  <c r="Q855" i="1"/>
  <c r="N855" i="1"/>
  <c r="J855" i="1"/>
  <c r="I855" i="1"/>
  <c r="H855" i="1"/>
  <c r="G855" i="1"/>
  <c r="F855" i="1"/>
  <c r="E855" i="1"/>
  <c r="D855" i="1"/>
  <c r="C855" i="1"/>
  <c r="B855" i="1"/>
  <c r="A855" i="1"/>
  <c r="R854" i="1"/>
  <c r="N854" i="1"/>
  <c r="J854" i="1"/>
  <c r="I854" i="1"/>
  <c r="H854" i="1"/>
  <c r="G854" i="1"/>
  <c r="F854" i="1"/>
  <c r="E854" i="1"/>
  <c r="D854" i="1"/>
  <c r="C854" i="1"/>
  <c r="B854" i="1"/>
  <c r="A854" i="1"/>
  <c r="R853" i="1"/>
  <c r="Q853" i="1"/>
  <c r="N853" i="1"/>
  <c r="J853" i="1"/>
  <c r="I853" i="1"/>
  <c r="H853" i="1"/>
  <c r="G853" i="1"/>
  <c r="F853" i="1"/>
  <c r="E853" i="1"/>
  <c r="D853" i="1"/>
  <c r="C853" i="1"/>
  <c r="B853" i="1"/>
  <c r="A853" i="1"/>
  <c r="R852" i="1"/>
  <c r="N852" i="1"/>
  <c r="J852" i="1"/>
  <c r="I852" i="1"/>
  <c r="H852" i="1"/>
  <c r="G852" i="1"/>
  <c r="F852" i="1"/>
  <c r="E852" i="1"/>
  <c r="D852" i="1"/>
  <c r="C852" i="1"/>
  <c r="B852" i="1"/>
  <c r="A852" i="1"/>
  <c r="R851" i="1"/>
  <c r="Q851" i="1"/>
  <c r="N851" i="1"/>
  <c r="J851" i="1"/>
  <c r="I851" i="1"/>
  <c r="H851" i="1"/>
  <c r="G851" i="1"/>
  <c r="F851" i="1"/>
  <c r="E851" i="1"/>
  <c r="D851" i="1"/>
  <c r="C851" i="1"/>
  <c r="B851" i="1"/>
  <c r="A851" i="1"/>
  <c r="R850" i="1"/>
  <c r="N850" i="1"/>
  <c r="J850" i="1"/>
  <c r="I850" i="1"/>
  <c r="H850" i="1"/>
  <c r="G850" i="1"/>
  <c r="F850" i="1"/>
  <c r="E850" i="1"/>
  <c r="D850" i="1"/>
  <c r="C850" i="1"/>
  <c r="B850" i="1"/>
  <c r="A850" i="1"/>
  <c r="R849" i="1"/>
  <c r="Q849" i="1"/>
  <c r="N849" i="1"/>
  <c r="J849" i="1"/>
  <c r="I849" i="1"/>
  <c r="H849" i="1"/>
  <c r="G849" i="1"/>
  <c r="F849" i="1"/>
  <c r="E849" i="1"/>
  <c r="D849" i="1"/>
  <c r="C849" i="1"/>
  <c r="B849" i="1"/>
  <c r="A849" i="1"/>
  <c r="R848" i="1"/>
  <c r="N848" i="1"/>
  <c r="J848" i="1"/>
  <c r="I848" i="1"/>
  <c r="H848" i="1"/>
  <c r="G848" i="1"/>
  <c r="F848" i="1"/>
  <c r="E848" i="1"/>
  <c r="D848" i="1"/>
  <c r="C848" i="1"/>
  <c r="B848" i="1"/>
  <c r="A848" i="1"/>
  <c r="R847" i="1"/>
  <c r="Q847" i="1"/>
  <c r="N847" i="1"/>
  <c r="J847" i="1"/>
  <c r="I847" i="1"/>
  <c r="H847" i="1"/>
  <c r="G847" i="1"/>
  <c r="F847" i="1"/>
  <c r="E847" i="1"/>
  <c r="D847" i="1"/>
  <c r="C847" i="1"/>
  <c r="B847" i="1"/>
  <c r="A847" i="1"/>
  <c r="R846" i="1"/>
  <c r="N846" i="1"/>
  <c r="J846" i="1"/>
  <c r="I846" i="1"/>
  <c r="H846" i="1"/>
  <c r="G846" i="1"/>
  <c r="F846" i="1"/>
  <c r="E846" i="1"/>
  <c r="D846" i="1"/>
  <c r="C846" i="1"/>
  <c r="B846" i="1"/>
  <c r="A846" i="1"/>
  <c r="R845" i="1"/>
  <c r="Q845" i="1"/>
  <c r="N845" i="1"/>
  <c r="J845" i="1"/>
  <c r="I845" i="1"/>
  <c r="H845" i="1"/>
  <c r="G845" i="1"/>
  <c r="F845" i="1"/>
  <c r="E845" i="1"/>
  <c r="D845" i="1"/>
  <c r="C845" i="1"/>
  <c r="B845" i="1"/>
  <c r="A845" i="1"/>
  <c r="R844" i="1"/>
  <c r="N844" i="1"/>
  <c r="J844" i="1"/>
  <c r="I844" i="1"/>
  <c r="H844" i="1"/>
  <c r="G844" i="1"/>
  <c r="F844" i="1"/>
  <c r="E844" i="1"/>
  <c r="D844" i="1"/>
  <c r="C844" i="1"/>
  <c r="B844" i="1"/>
  <c r="A844" i="1"/>
  <c r="R843" i="1"/>
  <c r="Q843" i="1"/>
  <c r="N843" i="1"/>
  <c r="J843" i="1"/>
  <c r="I843" i="1"/>
  <c r="H843" i="1"/>
  <c r="G843" i="1"/>
  <c r="F843" i="1"/>
  <c r="E843" i="1"/>
  <c r="D843" i="1"/>
  <c r="C843" i="1"/>
  <c r="B843" i="1"/>
  <c r="A843" i="1"/>
  <c r="R842" i="1"/>
  <c r="N842" i="1"/>
  <c r="J842" i="1"/>
  <c r="I842" i="1"/>
  <c r="H842" i="1"/>
  <c r="G842" i="1"/>
  <c r="F842" i="1"/>
  <c r="E842" i="1"/>
  <c r="D842" i="1"/>
  <c r="C842" i="1"/>
  <c r="B842" i="1"/>
  <c r="A842" i="1"/>
  <c r="R841" i="1"/>
  <c r="Q841" i="1"/>
  <c r="N841" i="1"/>
  <c r="J841" i="1"/>
  <c r="I841" i="1"/>
  <c r="H841" i="1"/>
  <c r="G841" i="1"/>
  <c r="F841" i="1"/>
  <c r="E841" i="1"/>
  <c r="D841" i="1"/>
  <c r="C841" i="1"/>
  <c r="B841" i="1"/>
  <c r="A841" i="1"/>
  <c r="R840" i="1"/>
  <c r="N840" i="1"/>
  <c r="J840" i="1"/>
  <c r="I840" i="1"/>
  <c r="H840" i="1"/>
  <c r="G840" i="1"/>
  <c r="F840" i="1"/>
  <c r="E840" i="1"/>
  <c r="D840" i="1"/>
  <c r="C840" i="1"/>
  <c r="B840" i="1"/>
  <c r="A840" i="1"/>
  <c r="R839" i="1"/>
  <c r="Q839" i="1"/>
  <c r="N839" i="1"/>
  <c r="J839" i="1"/>
  <c r="I839" i="1"/>
  <c r="H839" i="1"/>
  <c r="G839" i="1"/>
  <c r="F839" i="1"/>
  <c r="E839" i="1"/>
  <c r="D839" i="1"/>
  <c r="C839" i="1"/>
  <c r="B839" i="1"/>
  <c r="A839" i="1"/>
  <c r="R838" i="1"/>
  <c r="N838" i="1"/>
  <c r="J838" i="1"/>
  <c r="I838" i="1"/>
  <c r="H838" i="1"/>
  <c r="G838" i="1"/>
  <c r="F838" i="1"/>
  <c r="E838" i="1"/>
  <c r="D838" i="1"/>
  <c r="C838" i="1"/>
  <c r="B838" i="1"/>
  <c r="A838" i="1"/>
  <c r="R837" i="1"/>
  <c r="Q837" i="1"/>
  <c r="N837" i="1"/>
  <c r="J837" i="1"/>
  <c r="I837" i="1"/>
  <c r="H837" i="1"/>
  <c r="G837" i="1"/>
  <c r="F837" i="1"/>
  <c r="E837" i="1"/>
  <c r="D837" i="1"/>
  <c r="C837" i="1"/>
  <c r="B837" i="1"/>
  <c r="A837" i="1"/>
  <c r="R836" i="1"/>
  <c r="N836" i="1"/>
  <c r="J836" i="1"/>
  <c r="I836" i="1"/>
  <c r="H836" i="1"/>
  <c r="G836" i="1"/>
  <c r="F836" i="1"/>
  <c r="E836" i="1"/>
  <c r="D836" i="1"/>
  <c r="C836" i="1"/>
  <c r="B836" i="1"/>
  <c r="A836" i="1"/>
  <c r="R835" i="1"/>
  <c r="Q835" i="1"/>
  <c r="N835" i="1"/>
  <c r="J835" i="1"/>
  <c r="I835" i="1"/>
  <c r="H835" i="1"/>
  <c r="G835" i="1"/>
  <c r="F835" i="1"/>
  <c r="E835" i="1"/>
  <c r="D835" i="1"/>
  <c r="C835" i="1"/>
  <c r="B835" i="1"/>
  <c r="A835" i="1"/>
  <c r="R834" i="1"/>
  <c r="N834" i="1"/>
  <c r="J834" i="1"/>
  <c r="I834" i="1"/>
  <c r="H834" i="1"/>
  <c r="G834" i="1"/>
  <c r="F834" i="1"/>
  <c r="E834" i="1"/>
  <c r="D834" i="1"/>
  <c r="C834" i="1"/>
  <c r="B834" i="1"/>
  <c r="A834" i="1"/>
  <c r="R833" i="1"/>
  <c r="Q833" i="1"/>
  <c r="N833" i="1"/>
  <c r="J833" i="1"/>
  <c r="I833" i="1"/>
  <c r="H833" i="1"/>
  <c r="G833" i="1"/>
  <c r="F833" i="1"/>
  <c r="E833" i="1"/>
  <c r="D833" i="1"/>
  <c r="C833" i="1"/>
  <c r="B833" i="1"/>
  <c r="A833" i="1"/>
  <c r="R832" i="1"/>
  <c r="N832" i="1"/>
  <c r="J832" i="1"/>
  <c r="I832" i="1"/>
  <c r="H832" i="1"/>
  <c r="G832" i="1"/>
  <c r="F832" i="1"/>
  <c r="E832" i="1"/>
  <c r="D832" i="1"/>
  <c r="C832" i="1"/>
  <c r="B832" i="1"/>
  <c r="A832" i="1"/>
  <c r="R831" i="1"/>
  <c r="Q831" i="1"/>
  <c r="N831" i="1"/>
  <c r="J831" i="1"/>
  <c r="I831" i="1"/>
  <c r="H831" i="1"/>
  <c r="G831" i="1"/>
  <c r="F831" i="1"/>
  <c r="E831" i="1"/>
  <c r="D831" i="1"/>
  <c r="C831" i="1"/>
  <c r="B831" i="1"/>
  <c r="A831" i="1"/>
  <c r="R830" i="1"/>
  <c r="N830" i="1"/>
  <c r="J830" i="1"/>
  <c r="I830" i="1"/>
  <c r="H830" i="1"/>
  <c r="G830" i="1"/>
  <c r="F830" i="1"/>
  <c r="E830" i="1"/>
  <c r="D830" i="1"/>
  <c r="C830" i="1"/>
  <c r="B830" i="1"/>
  <c r="A830" i="1"/>
  <c r="R829" i="1"/>
  <c r="Q829" i="1"/>
  <c r="N829" i="1"/>
  <c r="J829" i="1"/>
  <c r="I829" i="1"/>
  <c r="H829" i="1"/>
  <c r="G829" i="1"/>
  <c r="F829" i="1"/>
  <c r="E829" i="1"/>
  <c r="D829" i="1"/>
  <c r="C829" i="1"/>
  <c r="B829" i="1"/>
  <c r="A829" i="1"/>
  <c r="R828" i="1"/>
  <c r="Q828" i="1"/>
  <c r="N828" i="1"/>
  <c r="J828" i="1"/>
  <c r="I828" i="1"/>
  <c r="H828" i="1"/>
  <c r="G828" i="1"/>
  <c r="F828" i="1"/>
  <c r="E828" i="1"/>
  <c r="D828" i="1"/>
  <c r="C828" i="1"/>
  <c r="B828" i="1"/>
  <c r="A828" i="1"/>
  <c r="R827" i="1"/>
  <c r="N827" i="1"/>
  <c r="J827" i="1"/>
  <c r="I827" i="1"/>
  <c r="H827" i="1"/>
  <c r="G827" i="1"/>
  <c r="F827" i="1"/>
  <c r="E827" i="1"/>
  <c r="D827" i="1"/>
  <c r="C827" i="1"/>
  <c r="B827" i="1"/>
  <c r="A827" i="1"/>
  <c r="R826" i="1"/>
  <c r="Q826" i="1"/>
  <c r="N826" i="1"/>
  <c r="J826" i="1"/>
  <c r="I826" i="1"/>
  <c r="H826" i="1"/>
  <c r="G826" i="1"/>
  <c r="F826" i="1"/>
  <c r="E826" i="1"/>
  <c r="D826" i="1"/>
  <c r="C826" i="1"/>
  <c r="B826" i="1"/>
  <c r="A826" i="1"/>
  <c r="R825" i="1"/>
  <c r="N825" i="1"/>
  <c r="J825" i="1"/>
  <c r="I825" i="1"/>
  <c r="H825" i="1"/>
  <c r="G825" i="1"/>
  <c r="F825" i="1"/>
  <c r="E825" i="1"/>
  <c r="D825" i="1"/>
  <c r="C825" i="1"/>
  <c r="B825" i="1"/>
  <c r="A825" i="1"/>
  <c r="R824" i="1"/>
  <c r="Q824" i="1"/>
  <c r="N824" i="1"/>
  <c r="J824" i="1"/>
  <c r="I824" i="1"/>
  <c r="H824" i="1"/>
  <c r="G824" i="1"/>
  <c r="F824" i="1"/>
  <c r="E824" i="1"/>
  <c r="D824" i="1"/>
  <c r="C824" i="1"/>
  <c r="B824" i="1"/>
  <c r="A824" i="1"/>
  <c r="R823" i="1"/>
  <c r="Q823" i="1"/>
  <c r="N823" i="1"/>
  <c r="J823" i="1"/>
  <c r="I823" i="1"/>
  <c r="H823" i="1"/>
  <c r="G823" i="1"/>
  <c r="F823" i="1"/>
  <c r="E823" i="1"/>
  <c r="D823" i="1"/>
  <c r="C823" i="1"/>
  <c r="B823" i="1"/>
  <c r="A823" i="1"/>
  <c r="R822" i="1"/>
  <c r="N822" i="1"/>
  <c r="J822" i="1"/>
  <c r="I822" i="1"/>
  <c r="H822" i="1"/>
  <c r="G822" i="1"/>
  <c r="F822" i="1"/>
  <c r="E822" i="1"/>
  <c r="D822" i="1"/>
  <c r="C822" i="1"/>
  <c r="B822" i="1"/>
  <c r="A822" i="1"/>
  <c r="R821" i="1"/>
  <c r="Q821" i="1"/>
  <c r="N821" i="1"/>
  <c r="J821" i="1"/>
  <c r="I821" i="1"/>
  <c r="H821" i="1"/>
  <c r="G821" i="1"/>
  <c r="F821" i="1"/>
  <c r="E821" i="1"/>
  <c r="D821" i="1"/>
  <c r="C821" i="1"/>
  <c r="B821" i="1"/>
  <c r="A821" i="1"/>
  <c r="R820" i="1"/>
  <c r="N820" i="1"/>
  <c r="J820" i="1"/>
  <c r="I820" i="1"/>
  <c r="H820" i="1"/>
  <c r="G820" i="1"/>
  <c r="F820" i="1"/>
  <c r="E820" i="1"/>
  <c r="D820" i="1"/>
  <c r="C820" i="1"/>
  <c r="B820" i="1"/>
  <c r="A820" i="1"/>
  <c r="R819" i="1"/>
  <c r="Q819" i="1"/>
  <c r="N819" i="1"/>
  <c r="J819" i="1"/>
  <c r="I819" i="1"/>
  <c r="H819" i="1"/>
  <c r="G819" i="1"/>
  <c r="F819" i="1"/>
  <c r="E819" i="1"/>
  <c r="D819" i="1"/>
  <c r="C819" i="1"/>
  <c r="B819" i="1"/>
  <c r="A819" i="1"/>
  <c r="R818" i="1"/>
  <c r="N818" i="1"/>
  <c r="J818" i="1"/>
  <c r="I818" i="1"/>
  <c r="H818" i="1"/>
  <c r="G818" i="1"/>
  <c r="F818" i="1"/>
  <c r="E818" i="1"/>
  <c r="D818" i="1"/>
  <c r="C818" i="1"/>
  <c r="B818" i="1"/>
  <c r="A818" i="1"/>
  <c r="R817" i="1"/>
  <c r="Q817" i="1"/>
  <c r="N817" i="1"/>
  <c r="J817" i="1"/>
  <c r="I817" i="1"/>
  <c r="H817" i="1"/>
  <c r="G817" i="1"/>
  <c r="F817" i="1"/>
  <c r="E817" i="1"/>
  <c r="D817" i="1"/>
  <c r="C817" i="1"/>
  <c r="B817" i="1"/>
  <c r="A817" i="1"/>
  <c r="R816" i="1"/>
  <c r="N816" i="1"/>
  <c r="J816" i="1"/>
  <c r="I816" i="1"/>
  <c r="H816" i="1"/>
  <c r="G816" i="1"/>
  <c r="F816" i="1"/>
  <c r="E816" i="1"/>
  <c r="D816" i="1"/>
  <c r="C816" i="1"/>
  <c r="B816" i="1"/>
  <c r="A816" i="1"/>
  <c r="R815" i="1"/>
  <c r="Q815" i="1"/>
  <c r="N815" i="1"/>
  <c r="J815" i="1"/>
  <c r="I815" i="1"/>
  <c r="H815" i="1"/>
  <c r="G815" i="1"/>
  <c r="F815" i="1"/>
  <c r="E815" i="1"/>
  <c r="D815" i="1"/>
  <c r="C815" i="1"/>
  <c r="B815" i="1"/>
  <c r="A815" i="1"/>
  <c r="R814" i="1"/>
  <c r="Q814" i="1"/>
  <c r="N814" i="1"/>
  <c r="J814" i="1"/>
  <c r="I814" i="1"/>
  <c r="H814" i="1"/>
  <c r="G814" i="1"/>
  <c r="F814" i="1"/>
  <c r="E814" i="1"/>
  <c r="D814" i="1"/>
  <c r="C814" i="1"/>
  <c r="B814" i="1"/>
  <c r="A814" i="1"/>
  <c r="R813" i="1"/>
  <c r="Q813" i="1"/>
  <c r="N813" i="1"/>
  <c r="J813" i="1"/>
  <c r="I813" i="1"/>
  <c r="H813" i="1"/>
  <c r="G813" i="1"/>
  <c r="F813" i="1"/>
  <c r="E813" i="1"/>
  <c r="D813" i="1"/>
  <c r="C813" i="1"/>
  <c r="B813" i="1"/>
  <c r="A813" i="1"/>
  <c r="R812" i="1"/>
  <c r="Q812" i="1"/>
  <c r="N812" i="1"/>
  <c r="J812" i="1"/>
  <c r="I812" i="1"/>
  <c r="H812" i="1"/>
  <c r="G812" i="1"/>
  <c r="F812" i="1"/>
  <c r="E812" i="1"/>
  <c r="D812" i="1"/>
  <c r="C812" i="1"/>
  <c r="B812" i="1"/>
  <c r="A812" i="1"/>
  <c r="R811" i="1"/>
  <c r="Q811" i="1"/>
  <c r="N811" i="1"/>
  <c r="J811" i="1"/>
  <c r="I811" i="1"/>
  <c r="H811" i="1"/>
  <c r="G811" i="1"/>
  <c r="F811" i="1"/>
  <c r="E811" i="1"/>
  <c r="D811" i="1"/>
  <c r="C811" i="1"/>
  <c r="B811" i="1"/>
  <c r="A811" i="1"/>
  <c r="R810" i="1"/>
  <c r="N810" i="1"/>
  <c r="J810" i="1"/>
  <c r="I810" i="1"/>
  <c r="H810" i="1"/>
  <c r="G810" i="1"/>
  <c r="F810" i="1"/>
  <c r="E810" i="1"/>
  <c r="D810" i="1"/>
  <c r="C810" i="1"/>
  <c r="B810" i="1"/>
  <c r="A810" i="1"/>
  <c r="R809" i="1"/>
  <c r="Q809" i="1"/>
  <c r="N809" i="1"/>
  <c r="J809" i="1"/>
  <c r="I809" i="1"/>
  <c r="H809" i="1"/>
  <c r="G809" i="1"/>
  <c r="F809" i="1"/>
  <c r="E809" i="1"/>
  <c r="D809" i="1"/>
  <c r="C809" i="1"/>
  <c r="B809" i="1"/>
  <c r="A809" i="1"/>
  <c r="R808" i="1"/>
  <c r="N808" i="1"/>
  <c r="J808" i="1"/>
  <c r="I808" i="1"/>
  <c r="H808" i="1"/>
  <c r="G808" i="1"/>
  <c r="F808" i="1"/>
  <c r="E808" i="1"/>
  <c r="D808" i="1"/>
  <c r="C808" i="1"/>
  <c r="B808" i="1"/>
  <c r="A808" i="1"/>
  <c r="R807" i="1"/>
  <c r="Q807" i="1"/>
  <c r="N807" i="1"/>
  <c r="J807" i="1"/>
  <c r="I807" i="1"/>
  <c r="H807" i="1"/>
  <c r="G807" i="1"/>
  <c r="F807" i="1"/>
  <c r="E807" i="1"/>
  <c r="D807" i="1"/>
  <c r="C807" i="1"/>
  <c r="B807" i="1"/>
  <c r="A807" i="1"/>
  <c r="R806" i="1"/>
  <c r="N806" i="1"/>
  <c r="J806" i="1"/>
  <c r="I806" i="1"/>
  <c r="H806" i="1"/>
  <c r="G806" i="1"/>
  <c r="F806" i="1"/>
  <c r="E806" i="1"/>
  <c r="D806" i="1"/>
  <c r="C806" i="1"/>
  <c r="B806" i="1"/>
  <c r="A806" i="1"/>
  <c r="R805" i="1"/>
  <c r="Q805" i="1"/>
  <c r="N805" i="1"/>
  <c r="J805" i="1"/>
  <c r="I805" i="1"/>
  <c r="H805" i="1"/>
  <c r="G805" i="1"/>
  <c r="F805" i="1"/>
  <c r="E805" i="1"/>
  <c r="D805" i="1"/>
  <c r="C805" i="1"/>
  <c r="B805" i="1"/>
  <c r="A805" i="1"/>
  <c r="R804" i="1"/>
  <c r="N804" i="1"/>
  <c r="J804" i="1"/>
  <c r="I804" i="1"/>
  <c r="H804" i="1"/>
  <c r="G804" i="1"/>
  <c r="F804" i="1"/>
  <c r="E804" i="1"/>
  <c r="D804" i="1"/>
  <c r="C804" i="1"/>
  <c r="B804" i="1"/>
  <c r="A804" i="1"/>
  <c r="R803" i="1"/>
  <c r="Q803" i="1"/>
  <c r="N803" i="1"/>
  <c r="J803" i="1"/>
  <c r="I803" i="1"/>
  <c r="H803" i="1"/>
  <c r="G803" i="1"/>
  <c r="F803" i="1"/>
  <c r="E803" i="1"/>
  <c r="D803" i="1"/>
  <c r="C803" i="1"/>
  <c r="B803" i="1"/>
  <c r="A803" i="1"/>
  <c r="R802" i="1"/>
  <c r="N802" i="1"/>
  <c r="J802" i="1"/>
  <c r="I802" i="1"/>
  <c r="H802" i="1"/>
  <c r="G802" i="1"/>
  <c r="F802" i="1"/>
  <c r="E802" i="1"/>
  <c r="D802" i="1"/>
  <c r="C802" i="1"/>
  <c r="B802" i="1"/>
  <c r="A802" i="1"/>
  <c r="R801" i="1"/>
  <c r="Q801" i="1"/>
  <c r="N801" i="1"/>
  <c r="J801" i="1"/>
  <c r="I801" i="1"/>
  <c r="H801" i="1"/>
  <c r="G801" i="1"/>
  <c r="F801" i="1"/>
  <c r="E801" i="1"/>
  <c r="D801" i="1"/>
  <c r="C801" i="1"/>
  <c r="B801" i="1"/>
  <c r="A801" i="1"/>
  <c r="R800" i="1"/>
  <c r="N800" i="1"/>
  <c r="J800" i="1"/>
  <c r="I800" i="1"/>
  <c r="H800" i="1"/>
  <c r="G800" i="1"/>
  <c r="F800" i="1"/>
  <c r="E800" i="1"/>
  <c r="D800" i="1"/>
  <c r="C800" i="1"/>
  <c r="B800" i="1"/>
  <c r="A800" i="1"/>
  <c r="R799" i="1"/>
  <c r="Q799" i="1"/>
  <c r="N799" i="1"/>
  <c r="J799" i="1"/>
  <c r="I799" i="1"/>
  <c r="H799" i="1"/>
  <c r="G799" i="1"/>
  <c r="F799" i="1"/>
  <c r="E799" i="1"/>
  <c r="D799" i="1"/>
  <c r="C799" i="1"/>
  <c r="B799" i="1"/>
  <c r="A799" i="1"/>
  <c r="R798" i="1"/>
  <c r="Q798" i="1"/>
  <c r="N798" i="1"/>
  <c r="J798" i="1"/>
  <c r="I798" i="1"/>
  <c r="H798" i="1"/>
  <c r="G798" i="1"/>
  <c r="F798" i="1"/>
  <c r="E798" i="1"/>
  <c r="D798" i="1"/>
  <c r="C798" i="1"/>
  <c r="B798" i="1"/>
  <c r="A798" i="1"/>
  <c r="R797" i="1"/>
  <c r="Q797" i="1"/>
  <c r="N797" i="1"/>
  <c r="J797" i="1"/>
  <c r="I797" i="1"/>
  <c r="H797" i="1"/>
  <c r="G797" i="1"/>
  <c r="F797" i="1"/>
  <c r="E797" i="1"/>
  <c r="D797" i="1"/>
  <c r="C797" i="1"/>
  <c r="B797" i="1"/>
  <c r="A797" i="1"/>
  <c r="R796" i="1"/>
  <c r="Q796" i="1"/>
  <c r="N796" i="1"/>
  <c r="J796" i="1"/>
  <c r="I796" i="1"/>
  <c r="H796" i="1"/>
  <c r="G796" i="1"/>
  <c r="F796" i="1"/>
  <c r="E796" i="1"/>
  <c r="D796" i="1"/>
  <c r="C796" i="1"/>
  <c r="B796" i="1"/>
  <c r="A796" i="1"/>
  <c r="R795" i="1"/>
  <c r="N795" i="1"/>
  <c r="J795" i="1"/>
  <c r="I795" i="1"/>
  <c r="H795" i="1"/>
  <c r="G795" i="1"/>
  <c r="F795" i="1"/>
  <c r="E795" i="1"/>
  <c r="D795" i="1"/>
  <c r="C795" i="1"/>
  <c r="B795" i="1"/>
  <c r="A795" i="1"/>
  <c r="R794" i="1"/>
  <c r="Q794" i="1"/>
  <c r="N794" i="1"/>
  <c r="J794" i="1"/>
  <c r="I794" i="1"/>
  <c r="H794" i="1"/>
  <c r="G794" i="1"/>
  <c r="F794" i="1"/>
  <c r="E794" i="1"/>
  <c r="D794" i="1"/>
  <c r="C794" i="1"/>
  <c r="B794" i="1"/>
  <c r="A794" i="1"/>
  <c r="R793" i="1"/>
  <c r="N793" i="1"/>
  <c r="J793" i="1"/>
  <c r="I793" i="1"/>
  <c r="H793" i="1"/>
  <c r="G793" i="1"/>
  <c r="F793" i="1"/>
  <c r="E793" i="1"/>
  <c r="D793" i="1"/>
  <c r="C793" i="1"/>
  <c r="B793" i="1"/>
  <c r="A793" i="1"/>
  <c r="R792" i="1"/>
  <c r="Q792" i="1"/>
  <c r="N792" i="1"/>
  <c r="J792" i="1"/>
  <c r="I792" i="1"/>
  <c r="H792" i="1"/>
  <c r="G792" i="1"/>
  <c r="F792" i="1"/>
  <c r="E792" i="1"/>
  <c r="D792" i="1"/>
  <c r="C792" i="1"/>
  <c r="B792" i="1"/>
  <c r="A792" i="1"/>
  <c r="R791" i="1"/>
  <c r="Q791" i="1"/>
  <c r="N791" i="1"/>
  <c r="J791" i="1"/>
  <c r="I791" i="1"/>
  <c r="H791" i="1"/>
  <c r="G791" i="1"/>
  <c r="F791" i="1"/>
  <c r="E791" i="1"/>
  <c r="D791" i="1"/>
  <c r="C791" i="1"/>
  <c r="B791" i="1"/>
  <c r="A791" i="1"/>
  <c r="R790" i="1"/>
  <c r="Q790" i="1"/>
  <c r="N790" i="1"/>
  <c r="J790" i="1"/>
  <c r="I790" i="1"/>
  <c r="H790" i="1"/>
  <c r="G790" i="1"/>
  <c r="F790" i="1"/>
  <c r="E790" i="1"/>
  <c r="D790" i="1"/>
  <c r="C790" i="1"/>
  <c r="B790" i="1"/>
  <c r="A790" i="1"/>
  <c r="R789" i="1"/>
  <c r="N789" i="1"/>
  <c r="J789" i="1"/>
  <c r="I789" i="1"/>
  <c r="H789" i="1"/>
  <c r="G789" i="1"/>
  <c r="F789" i="1"/>
  <c r="E789" i="1"/>
  <c r="D789" i="1"/>
  <c r="C789" i="1"/>
  <c r="B789" i="1"/>
  <c r="A789" i="1"/>
  <c r="R788" i="1"/>
  <c r="Q788" i="1"/>
  <c r="N788" i="1"/>
  <c r="J788" i="1"/>
  <c r="I788" i="1"/>
  <c r="H788" i="1"/>
  <c r="G788" i="1"/>
  <c r="F788" i="1"/>
  <c r="E788" i="1"/>
  <c r="D788" i="1"/>
  <c r="C788" i="1"/>
  <c r="B788" i="1"/>
  <c r="A788" i="1"/>
  <c r="R787" i="1"/>
  <c r="N787" i="1"/>
  <c r="J787" i="1"/>
  <c r="I787" i="1"/>
  <c r="H787" i="1"/>
  <c r="G787" i="1"/>
  <c r="F787" i="1"/>
  <c r="E787" i="1"/>
  <c r="D787" i="1"/>
  <c r="C787" i="1"/>
  <c r="B787" i="1"/>
  <c r="A787" i="1"/>
  <c r="R786" i="1"/>
  <c r="Q786" i="1"/>
  <c r="N786" i="1"/>
  <c r="J786" i="1"/>
  <c r="I786" i="1"/>
  <c r="H786" i="1"/>
  <c r="G786" i="1"/>
  <c r="F786" i="1"/>
  <c r="E786" i="1"/>
  <c r="D786" i="1"/>
  <c r="C786" i="1"/>
  <c r="B786" i="1"/>
  <c r="A786" i="1"/>
  <c r="R785" i="1"/>
  <c r="N785" i="1"/>
  <c r="J785" i="1"/>
  <c r="I785" i="1"/>
  <c r="H785" i="1"/>
  <c r="G785" i="1"/>
  <c r="F785" i="1"/>
  <c r="E785" i="1"/>
  <c r="D785" i="1"/>
  <c r="C785" i="1"/>
  <c r="B785" i="1"/>
  <c r="A785" i="1"/>
  <c r="R784" i="1"/>
  <c r="Q784" i="1"/>
  <c r="N784" i="1"/>
  <c r="J784" i="1"/>
  <c r="I784" i="1"/>
  <c r="H784" i="1"/>
  <c r="G784" i="1"/>
  <c r="F784" i="1"/>
  <c r="E784" i="1"/>
  <c r="D784" i="1"/>
  <c r="C784" i="1"/>
  <c r="B784" i="1"/>
  <c r="A784" i="1"/>
  <c r="R783" i="1"/>
  <c r="N783" i="1"/>
  <c r="J783" i="1"/>
  <c r="I783" i="1"/>
  <c r="H783" i="1"/>
  <c r="G783" i="1"/>
  <c r="F783" i="1"/>
  <c r="E783" i="1"/>
  <c r="D783" i="1"/>
  <c r="C783" i="1"/>
  <c r="B783" i="1"/>
  <c r="A783" i="1"/>
  <c r="R782" i="1"/>
  <c r="Q782" i="1"/>
  <c r="N782" i="1"/>
  <c r="J782" i="1"/>
  <c r="I782" i="1"/>
  <c r="H782" i="1"/>
  <c r="G782" i="1"/>
  <c r="F782" i="1"/>
  <c r="E782" i="1"/>
  <c r="D782" i="1"/>
  <c r="C782" i="1"/>
  <c r="B782" i="1"/>
  <c r="A782" i="1"/>
  <c r="R781" i="1"/>
  <c r="N781" i="1"/>
  <c r="J781" i="1"/>
  <c r="I781" i="1"/>
  <c r="H781" i="1"/>
  <c r="G781" i="1"/>
  <c r="F781" i="1"/>
  <c r="E781" i="1"/>
  <c r="D781" i="1"/>
  <c r="C781" i="1"/>
  <c r="B781" i="1"/>
  <c r="A781" i="1"/>
  <c r="R780" i="1"/>
  <c r="Q780" i="1"/>
  <c r="N780" i="1"/>
  <c r="J780" i="1"/>
  <c r="I780" i="1"/>
  <c r="H780" i="1"/>
  <c r="G780" i="1"/>
  <c r="F780" i="1"/>
  <c r="E780" i="1"/>
  <c r="D780" i="1"/>
  <c r="C780" i="1"/>
  <c r="B780" i="1"/>
  <c r="A780" i="1"/>
  <c r="R779" i="1"/>
  <c r="N779" i="1"/>
  <c r="J779" i="1"/>
  <c r="I779" i="1"/>
  <c r="H779" i="1"/>
  <c r="G779" i="1"/>
  <c r="F779" i="1"/>
  <c r="E779" i="1"/>
  <c r="D779" i="1"/>
  <c r="C779" i="1"/>
  <c r="B779" i="1"/>
  <c r="A779" i="1"/>
  <c r="R778" i="1"/>
  <c r="Q778" i="1"/>
  <c r="N778" i="1"/>
  <c r="J778" i="1"/>
  <c r="I778" i="1"/>
  <c r="H778" i="1"/>
  <c r="G778" i="1"/>
  <c r="F778" i="1"/>
  <c r="E778" i="1"/>
  <c r="D778" i="1"/>
  <c r="C778" i="1"/>
  <c r="B778" i="1"/>
  <c r="A778" i="1"/>
  <c r="R777" i="1"/>
  <c r="N777" i="1"/>
  <c r="J777" i="1"/>
  <c r="I777" i="1"/>
  <c r="H777" i="1"/>
  <c r="G777" i="1"/>
  <c r="F777" i="1"/>
  <c r="E777" i="1"/>
  <c r="D777" i="1"/>
  <c r="C777" i="1"/>
  <c r="B777" i="1"/>
  <c r="A777" i="1"/>
  <c r="R776" i="1"/>
  <c r="Q776" i="1"/>
  <c r="N776" i="1"/>
  <c r="J776" i="1"/>
  <c r="I776" i="1"/>
  <c r="H776" i="1"/>
  <c r="G776" i="1"/>
  <c r="F776" i="1"/>
  <c r="E776" i="1"/>
  <c r="D776" i="1"/>
  <c r="C776" i="1"/>
  <c r="B776" i="1"/>
  <c r="A776" i="1"/>
  <c r="R775" i="1"/>
  <c r="N775" i="1"/>
  <c r="J775" i="1"/>
  <c r="I775" i="1"/>
  <c r="H775" i="1"/>
  <c r="G775" i="1"/>
  <c r="F775" i="1"/>
  <c r="E775" i="1"/>
  <c r="D775" i="1"/>
  <c r="C775" i="1"/>
  <c r="B775" i="1"/>
  <c r="A775" i="1"/>
  <c r="R774" i="1"/>
  <c r="Q774" i="1"/>
  <c r="N774" i="1"/>
  <c r="J774" i="1"/>
  <c r="I774" i="1"/>
  <c r="H774" i="1"/>
  <c r="G774" i="1"/>
  <c r="F774" i="1"/>
  <c r="E774" i="1"/>
  <c r="D774" i="1"/>
  <c r="C774" i="1"/>
  <c r="B774" i="1"/>
  <c r="A774" i="1"/>
  <c r="R773" i="1"/>
  <c r="N773" i="1"/>
  <c r="J773" i="1"/>
  <c r="I773" i="1"/>
  <c r="H773" i="1"/>
  <c r="G773" i="1"/>
  <c r="F773" i="1"/>
  <c r="E773" i="1"/>
  <c r="D773" i="1"/>
  <c r="C773" i="1"/>
  <c r="B773" i="1"/>
  <c r="A773" i="1"/>
  <c r="R772" i="1"/>
  <c r="Q772" i="1"/>
  <c r="N772" i="1"/>
  <c r="J772" i="1"/>
  <c r="I772" i="1"/>
  <c r="H772" i="1"/>
  <c r="G772" i="1"/>
  <c r="F772" i="1"/>
  <c r="E772" i="1"/>
  <c r="D772" i="1"/>
  <c r="C772" i="1"/>
  <c r="B772" i="1"/>
  <c r="A772" i="1"/>
  <c r="R771" i="1"/>
  <c r="N771" i="1"/>
  <c r="J771" i="1"/>
  <c r="I771" i="1"/>
  <c r="H771" i="1"/>
  <c r="G771" i="1"/>
  <c r="F771" i="1"/>
  <c r="E771" i="1"/>
  <c r="D771" i="1"/>
  <c r="C771" i="1"/>
  <c r="B771" i="1"/>
  <c r="A771" i="1"/>
  <c r="R770" i="1"/>
  <c r="Q770" i="1"/>
  <c r="N770" i="1"/>
  <c r="J770" i="1"/>
  <c r="I770" i="1"/>
  <c r="H770" i="1"/>
  <c r="G770" i="1"/>
  <c r="F770" i="1"/>
  <c r="E770" i="1"/>
  <c r="D770" i="1"/>
  <c r="C770" i="1"/>
  <c r="B770" i="1"/>
  <c r="A770" i="1"/>
  <c r="R769" i="1"/>
  <c r="N769" i="1"/>
  <c r="J769" i="1"/>
  <c r="I769" i="1"/>
  <c r="H769" i="1"/>
  <c r="G769" i="1"/>
  <c r="F769" i="1"/>
  <c r="E769" i="1"/>
  <c r="D769" i="1"/>
  <c r="C769" i="1"/>
  <c r="B769" i="1"/>
  <c r="A769" i="1"/>
  <c r="R768" i="1"/>
  <c r="Q768" i="1"/>
  <c r="N768" i="1"/>
  <c r="J768" i="1"/>
  <c r="I768" i="1"/>
  <c r="H768" i="1"/>
  <c r="G768" i="1"/>
  <c r="F768" i="1"/>
  <c r="E768" i="1"/>
  <c r="D768" i="1"/>
  <c r="C768" i="1"/>
  <c r="B768" i="1"/>
  <c r="A768" i="1"/>
  <c r="R767" i="1"/>
  <c r="N767" i="1"/>
  <c r="J767" i="1"/>
  <c r="I767" i="1"/>
  <c r="H767" i="1"/>
  <c r="G767" i="1"/>
  <c r="F767" i="1"/>
  <c r="E767" i="1"/>
  <c r="D767" i="1"/>
  <c r="C767" i="1"/>
  <c r="B767" i="1"/>
  <c r="A767" i="1"/>
  <c r="R766" i="1"/>
  <c r="Q766" i="1"/>
  <c r="N766" i="1"/>
  <c r="J766" i="1"/>
  <c r="I766" i="1"/>
  <c r="H766" i="1"/>
  <c r="G766" i="1"/>
  <c r="F766" i="1"/>
  <c r="E766" i="1"/>
  <c r="D766" i="1"/>
  <c r="C766" i="1"/>
  <c r="B766" i="1"/>
  <c r="A766" i="1"/>
  <c r="R765" i="1"/>
  <c r="N765" i="1"/>
  <c r="J765" i="1"/>
  <c r="I765" i="1"/>
  <c r="H765" i="1"/>
  <c r="G765" i="1"/>
  <c r="F765" i="1"/>
  <c r="E765" i="1"/>
  <c r="D765" i="1"/>
  <c r="C765" i="1"/>
  <c r="B765" i="1"/>
  <c r="A765" i="1"/>
  <c r="R764" i="1"/>
  <c r="Q764" i="1"/>
  <c r="N764" i="1"/>
  <c r="J764" i="1"/>
  <c r="I764" i="1"/>
  <c r="H764" i="1"/>
  <c r="G764" i="1"/>
  <c r="F764" i="1"/>
  <c r="E764" i="1"/>
  <c r="D764" i="1"/>
  <c r="C764" i="1"/>
  <c r="B764" i="1"/>
  <c r="A764" i="1"/>
  <c r="R763" i="1"/>
  <c r="N763" i="1"/>
  <c r="J763" i="1"/>
  <c r="I763" i="1"/>
  <c r="H763" i="1"/>
  <c r="G763" i="1"/>
  <c r="F763" i="1"/>
  <c r="E763" i="1"/>
  <c r="D763" i="1"/>
  <c r="C763" i="1"/>
  <c r="B763" i="1"/>
  <c r="A763" i="1"/>
  <c r="R762" i="1"/>
  <c r="Q762" i="1"/>
  <c r="N762" i="1"/>
  <c r="J762" i="1"/>
  <c r="I762" i="1"/>
  <c r="H762" i="1"/>
  <c r="G762" i="1"/>
  <c r="F762" i="1"/>
  <c r="E762" i="1"/>
  <c r="D762" i="1"/>
  <c r="C762" i="1"/>
  <c r="B762" i="1"/>
  <c r="A762" i="1"/>
  <c r="R761" i="1"/>
  <c r="N761" i="1"/>
  <c r="J761" i="1"/>
  <c r="I761" i="1"/>
  <c r="H761" i="1"/>
  <c r="G761" i="1"/>
  <c r="F761" i="1"/>
  <c r="E761" i="1"/>
  <c r="D761" i="1"/>
  <c r="C761" i="1"/>
  <c r="B761" i="1"/>
  <c r="A761" i="1"/>
  <c r="R760" i="1"/>
  <c r="Q760" i="1"/>
  <c r="N760" i="1"/>
  <c r="J760" i="1"/>
  <c r="I760" i="1"/>
  <c r="H760" i="1"/>
  <c r="G760" i="1"/>
  <c r="F760" i="1"/>
  <c r="E760" i="1"/>
  <c r="D760" i="1"/>
  <c r="C760" i="1"/>
  <c r="B760" i="1"/>
  <c r="A760" i="1"/>
  <c r="R759" i="1"/>
  <c r="N759" i="1"/>
  <c r="J759" i="1"/>
  <c r="I759" i="1"/>
  <c r="H759" i="1"/>
  <c r="G759" i="1"/>
  <c r="F759" i="1"/>
  <c r="E759" i="1"/>
  <c r="D759" i="1"/>
  <c r="C759" i="1"/>
  <c r="B759" i="1"/>
  <c r="A759" i="1"/>
  <c r="R758" i="1"/>
  <c r="Q758" i="1"/>
  <c r="N758" i="1"/>
  <c r="J758" i="1"/>
  <c r="I758" i="1"/>
  <c r="H758" i="1"/>
  <c r="G758" i="1"/>
  <c r="F758" i="1"/>
  <c r="E758" i="1"/>
  <c r="D758" i="1"/>
  <c r="C758" i="1"/>
  <c r="B758" i="1"/>
  <c r="A758" i="1"/>
  <c r="R757" i="1"/>
  <c r="N757" i="1"/>
  <c r="J757" i="1"/>
  <c r="I757" i="1"/>
  <c r="H757" i="1"/>
  <c r="G757" i="1"/>
  <c r="F757" i="1"/>
  <c r="E757" i="1"/>
  <c r="D757" i="1"/>
  <c r="C757" i="1"/>
  <c r="B757" i="1"/>
  <c r="A757" i="1"/>
  <c r="R756" i="1"/>
  <c r="Q756" i="1"/>
  <c r="N756" i="1"/>
  <c r="J756" i="1"/>
  <c r="I756" i="1"/>
  <c r="H756" i="1"/>
  <c r="G756" i="1"/>
  <c r="F756" i="1"/>
  <c r="E756" i="1"/>
  <c r="D756" i="1"/>
  <c r="C756" i="1"/>
  <c r="B756" i="1"/>
  <c r="A756" i="1"/>
  <c r="R755" i="1"/>
  <c r="N755" i="1"/>
  <c r="J755" i="1"/>
  <c r="I755" i="1"/>
  <c r="H755" i="1"/>
  <c r="G755" i="1"/>
  <c r="F755" i="1"/>
  <c r="E755" i="1"/>
  <c r="D755" i="1"/>
  <c r="C755" i="1"/>
  <c r="B755" i="1"/>
  <c r="A755" i="1"/>
  <c r="R754" i="1"/>
  <c r="Q754" i="1"/>
  <c r="N754" i="1"/>
  <c r="J754" i="1"/>
  <c r="I754" i="1"/>
  <c r="H754" i="1"/>
  <c r="G754" i="1"/>
  <c r="F754" i="1"/>
  <c r="E754" i="1"/>
  <c r="D754" i="1"/>
  <c r="C754" i="1"/>
  <c r="B754" i="1"/>
  <c r="A754" i="1"/>
  <c r="R753" i="1"/>
  <c r="N753" i="1"/>
  <c r="J753" i="1"/>
  <c r="I753" i="1"/>
  <c r="H753" i="1"/>
  <c r="G753" i="1"/>
  <c r="F753" i="1"/>
  <c r="E753" i="1"/>
  <c r="D753" i="1"/>
  <c r="C753" i="1"/>
  <c r="B753" i="1"/>
  <c r="A753" i="1"/>
  <c r="R752" i="1"/>
  <c r="Q752" i="1"/>
  <c r="N752" i="1"/>
  <c r="J752" i="1"/>
  <c r="I752" i="1"/>
  <c r="H752" i="1"/>
  <c r="G752" i="1"/>
  <c r="F752" i="1"/>
  <c r="E752" i="1"/>
  <c r="D752" i="1"/>
  <c r="C752" i="1"/>
  <c r="B752" i="1"/>
  <c r="A752" i="1"/>
  <c r="R751" i="1"/>
  <c r="N751" i="1"/>
  <c r="J751" i="1"/>
  <c r="I751" i="1"/>
  <c r="H751" i="1"/>
  <c r="G751" i="1"/>
  <c r="F751" i="1"/>
  <c r="E751" i="1"/>
  <c r="D751" i="1"/>
  <c r="C751" i="1"/>
  <c r="B751" i="1"/>
  <c r="A751" i="1"/>
  <c r="R750" i="1"/>
  <c r="Q750" i="1"/>
  <c r="N750" i="1"/>
  <c r="J750" i="1"/>
  <c r="I750" i="1"/>
  <c r="H750" i="1"/>
  <c r="G750" i="1"/>
  <c r="F750" i="1"/>
  <c r="E750" i="1"/>
  <c r="D750" i="1"/>
  <c r="C750" i="1"/>
  <c r="B750" i="1"/>
  <c r="A750" i="1"/>
  <c r="R749" i="1"/>
  <c r="N749" i="1"/>
  <c r="J749" i="1"/>
  <c r="I749" i="1"/>
  <c r="H749" i="1"/>
  <c r="G749" i="1"/>
  <c r="F749" i="1"/>
  <c r="E749" i="1"/>
  <c r="D749" i="1"/>
  <c r="C749" i="1"/>
  <c r="B749" i="1"/>
  <c r="A749" i="1"/>
  <c r="R748" i="1"/>
  <c r="Q748" i="1"/>
  <c r="N748" i="1"/>
  <c r="J748" i="1"/>
  <c r="I748" i="1"/>
  <c r="H748" i="1"/>
  <c r="G748" i="1"/>
  <c r="F748" i="1"/>
  <c r="E748" i="1"/>
  <c r="D748" i="1"/>
  <c r="C748" i="1"/>
  <c r="B748" i="1"/>
  <c r="A748" i="1"/>
  <c r="R747" i="1"/>
  <c r="N747" i="1"/>
  <c r="J747" i="1"/>
  <c r="I747" i="1"/>
  <c r="H747" i="1"/>
  <c r="G747" i="1"/>
  <c r="F747" i="1"/>
  <c r="E747" i="1"/>
  <c r="D747" i="1"/>
  <c r="C747" i="1"/>
  <c r="B747" i="1"/>
  <c r="A747" i="1"/>
  <c r="R746" i="1"/>
  <c r="Q746" i="1"/>
  <c r="N746" i="1"/>
  <c r="J746" i="1"/>
  <c r="I746" i="1"/>
  <c r="H746" i="1"/>
  <c r="G746" i="1"/>
  <c r="F746" i="1"/>
  <c r="E746" i="1"/>
  <c r="D746" i="1"/>
  <c r="C746" i="1"/>
  <c r="B746" i="1"/>
  <c r="A746" i="1"/>
  <c r="R745" i="1"/>
  <c r="N745" i="1"/>
  <c r="J745" i="1"/>
  <c r="I745" i="1"/>
  <c r="H745" i="1"/>
  <c r="G745" i="1"/>
  <c r="F745" i="1"/>
  <c r="E745" i="1"/>
  <c r="D745" i="1"/>
  <c r="C745" i="1"/>
  <c r="B745" i="1"/>
  <c r="A745" i="1"/>
  <c r="R744" i="1"/>
  <c r="Q744" i="1"/>
  <c r="N744" i="1"/>
  <c r="J744" i="1"/>
  <c r="I744" i="1"/>
  <c r="H744" i="1"/>
  <c r="G744" i="1"/>
  <c r="F744" i="1"/>
  <c r="E744" i="1"/>
  <c r="D744" i="1"/>
  <c r="C744" i="1"/>
  <c r="B744" i="1"/>
  <c r="A744" i="1"/>
  <c r="R743" i="1"/>
  <c r="N743" i="1"/>
  <c r="J743" i="1"/>
  <c r="I743" i="1"/>
  <c r="H743" i="1"/>
  <c r="G743" i="1"/>
  <c r="F743" i="1"/>
  <c r="E743" i="1"/>
  <c r="D743" i="1"/>
  <c r="C743" i="1"/>
  <c r="B743" i="1"/>
  <c r="A743" i="1"/>
  <c r="R742" i="1"/>
  <c r="Q742" i="1"/>
  <c r="N742" i="1"/>
  <c r="J742" i="1"/>
  <c r="I742" i="1"/>
  <c r="H742" i="1"/>
  <c r="G742" i="1"/>
  <c r="F742" i="1"/>
  <c r="E742" i="1"/>
  <c r="D742" i="1"/>
  <c r="C742" i="1"/>
  <c r="B742" i="1"/>
  <c r="A742" i="1"/>
  <c r="R741" i="1"/>
  <c r="N741" i="1"/>
  <c r="J741" i="1"/>
  <c r="I741" i="1"/>
  <c r="H741" i="1"/>
  <c r="G741" i="1"/>
  <c r="F741" i="1"/>
  <c r="E741" i="1"/>
  <c r="D741" i="1"/>
  <c r="C741" i="1"/>
  <c r="B741" i="1"/>
  <c r="A741" i="1"/>
  <c r="R740" i="1"/>
  <c r="Q740" i="1"/>
  <c r="N740" i="1"/>
  <c r="J740" i="1"/>
  <c r="I740" i="1"/>
  <c r="H740" i="1"/>
  <c r="G740" i="1"/>
  <c r="F740" i="1"/>
  <c r="E740" i="1"/>
  <c r="D740" i="1"/>
  <c r="C740" i="1"/>
  <c r="B740" i="1"/>
  <c r="A740" i="1"/>
  <c r="R739" i="1"/>
  <c r="N739" i="1"/>
  <c r="J739" i="1"/>
  <c r="I739" i="1"/>
  <c r="H739" i="1"/>
  <c r="G739" i="1"/>
  <c r="F739" i="1"/>
  <c r="E739" i="1"/>
  <c r="D739" i="1"/>
  <c r="C739" i="1"/>
  <c r="B739" i="1"/>
  <c r="A739" i="1"/>
  <c r="R738" i="1"/>
  <c r="Q738" i="1"/>
  <c r="N738" i="1"/>
  <c r="J738" i="1"/>
  <c r="I738" i="1"/>
  <c r="H738" i="1"/>
  <c r="G738" i="1"/>
  <c r="F738" i="1"/>
  <c r="E738" i="1"/>
  <c r="D738" i="1"/>
  <c r="C738" i="1"/>
  <c r="B738" i="1"/>
  <c r="A738" i="1"/>
  <c r="R737" i="1"/>
  <c r="N737" i="1"/>
  <c r="J737" i="1"/>
  <c r="I737" i="1"/>
  <c r="H737" i="1"/>
  <c r="G737" i="1"/>
  <c r="F737" i="1"/>
  <c r="E737" i="1"/>
  <c r="D737" i="1"/>
  <c r="C737" i="1"/>
  <c r="B737" i="1"/>
  <c r="A737" i="1"/>
  <c r="R736" i="1"/>
  <c r="Q736" i="1"/>
  <c r="N736" i="1"/>
  <c r="J736" i="1"/>
  <c r="I736" i="1"/>
  <c r="H736" i="1"/>
  <c r="G736" i="1"/>
  <c r="F736" i="1"/>
  <c r="E736" i="1"/>
  <c r="D736" i="1"/>
  <c r="C736" i="1"/>
  <c r="B736" i="1"/>
  <c r="A736" i="1"/>
  <c r="R735" i="1"/>
  <c r="N735" i="1"/>
  <c r="J735" i="1"/>
  <c r="I735" i="1"/>
  <c r="H735" i="1"/>
  <c r="G735" i="1"/>
  <c r="F735" i="1"/>
  <c r="E735" i="1"/>
  <c r="D735" i="1"/>
  <c r="C735" i="1"/>
  <c r="B735" i="1"/>
  <c r="A735" i="1"/>
  <c r="R734" i="1"/>
  <c r="Q734" i="1"/>
  <c r="N734" i="1"/>
  <c r="J734" i="1"/>
  <c r="I734" i="1"/>
  <c r="H734" i="1"/>
  <c r="G734" i="1"/>
  <c r="F734" i="1"/>
  <c r="E734" i="1"/>
  <c r="D734" i="1"/>
  <c r="C734" i="1"/>
  <c r="B734" i="1"/>
  <c r="A734" i="1"/>
  <c r="R733" i="1"/>
  <c r="N733" i="1"/>
  <c r="J733" i="1"/>
  <c r="I733" i="1"/>
  <c r="H733" i="1"/>
  <c r="G733" i="1"/>
  <c r="F733" i="1"/>
  <c r="E733" i="1"/>
  <c r="D733" i="1"/>
  <c r="C733" i="1"/>
  <c r="B733" i="1"/>
  <c r="A733" i="1"/>
  <c r="R732" i="1"/>
  <c r="Q732" i="1"/>
  <c r="N732" i="1"/>
  <c r="J732" i="1"/>
  <c r="I732" i="1"/>
  <c r="H732" i="1"/>
  <c r="G732" i="1"/>
  <c r="F732" i="1"/>
  <c r="E732" i="1"/>
  <c r="D732" i="1"/>
  <c r="C732" i="1"/>
  <c r="B732" i="1"/>
  <c r="A732" i="1"/>
  <c r="R731" i="1"/>
  <c r="N731" i="1"/>
  <c r="J731" i="1"/>
  <c r="I731" i="1"/>
  <c r="H731" i="1"/>
  <c r="G731" i="1"/>
  <c r="F731" i="1"/>
  <c r="E731" i="1"/>
  <c r="D731" i="1"/>
  <c r="C731" i="1"/>
  <c r="B731" i="1"/>
  <c r="A731" i="1"/>
  <c r="R730" i="1"/>
  <c r="Q730" i="1"/>
  <c r="N730" i="1"/>
  <c r="J730" i="1"/>
  <c r="I730" i="1"/>
  <c r="H730" i="1"/>
  <c r="G730" i="1"/>
  <c r="F730" i="1"/>
  <c r="E730" i="1"/>
  <c r="D730" i="1"/>
  <c r="C730" i="1"/>
  <c r="B730" i="1"/>
  <c r="A730" i="1"/>
  <c r="R729" i="1"/>
  <c r="N729" i="1"/>
  <c r="J729" i="1"/>
  <c r="I729" i="1"/>
  <c r="H729" i="1"/>
  <c r="G729" i="1"/>
  <c r="F729" i="1"/>
  <c r="E729" i="1"/>
  <c r="D729" i="1"/>
  <c r="C729" i="1"/>
  <c r="B729" i="1"/>
  <c r="A729" i="1"/>
  <c r="R728" i="1"/>
  <c r="Q728" i="1"/>
  <c r="N728" i="1"/>
  <c r="J728" i="1"/>
  <c r="I728" i="1"/>
  <c r="H728" i="1"/>
  <c r="G728" i="1"/>
  <c r="F728" i="1"/>
  <c r="E728" i="1"/>
  <c r="D728" i="1"/>
  <c r="C728" i="1"/>
  <c r="B728" i="1"/>
  <c r="A728" i="1"/>
  <c r="R727" i="1"/>
  <c r="Q727" i="1"/>
  <c r="N727" i="1"/>
  <c r="J727" i="1"/>
  <c r="I727" i="1"/>
  <c r="H727" i="1"/>
  <c r="G727" i="1"/>
  <c r="F727" i="1"/>
  <c r="E727" i="1"/>
  <c r="D727" i="1"/>
  <c r="C727" i="1"/>
  <c r="B727" i="1"/>
  <c r="A727" i="1"/>
  <c r="R726" i="1"/>
  <c r="Q726" i="1"/>
  <c r="N726" i="1"/>
  <c r="J726" i="1"/>
  <c r="I726" i="1"/>
  <c r="H726" i="1"/>
  <c r="G726" i="1"/>
  <c r="F726" i="1"/>
  <c r="E726" i="1"/>
  <c r="D726" i="1"/>
  <c r="C726" i="1"/>
  <c r="B726" i="1"/>
  <c r="A726" i="1"/>
  <c r="R725" i="1"/>
  <c r="N725" i="1"/>
  <c r="J725" i="1"/>
  <c r="I725" i="1"/>
  <c r="H725" i="1"/>
  <c r="G725" i="1"/>
  <c r="F725" i="1"/>
  <c r="E725" i="1"/>
  <c r="D725" i="1"/>
  <c r="C725" i="1"/>
  <c r="B725" i="1"/>
  <c r="A725" i="1"/>
  <c r="R724" i="1"/>
  <c r="Q724" i="1"/>
  <c r="N724" i="1"/>
  <c r="J724" i="1"/>
  <c r="I724" i="1"/>
  <c r="H724" i="1"/>
  <c r="G724" i="1"/>
  <c r="F724" i="1"/>
  <c r="E724" i="1"/>
  <c r="D724" i="1"/>
  <c r="C724" i="1"/>
  <c r="B724" i="1"/>
  <c r="A724" i="1"/>
  <c r="R723" i="1"/>
  <c r="Q723" i="1"/>
  <c r="N723" i="1"/>
  <c r="J723" i="1"/>
  <c r="I723" i="1"/>
  <c r="H723" i="1"/>
  <c r="G723" i="1"/>
  <c r="F723" i="1"/>
  <c r="E723" i="1"/>
  <c r="D723" i="1"/>
  <c r="C723" i="1"/>
  <c r="B723" i="1"/>
  <c r="A723" i="1"/>
  <c r="R722" i="1"/>
  <c r="Q722" i="1"/>
  <c r="N722" i="1"/>
  <c r="J722" i="1"/>
  <c r="I722" i="1"/>
  <c r="H722" i="1"/>
  <c r="G722" i="1"/>
  <c r="F722" i="1"/>
  <c r="E722" i="1"/>
  <c r="D722" i="1"/>
  <c r="C722" i="1"/>
  <c r="B722" i="1"/>
  <c r="A722" i="1"/>
  <c r="R721" i="1"/>
  <c r="N721" i="1"/>
  <c r="J721" i="1"/>
  <c r="I721" i="1"/>
  <c r="H721" i="1"/>
  <c r="G721" i="1"/>
  <c r="F721" i="1"/>
  <c r="E721" i="1"/>
  <c r="D721" i="1"/>
  <c r="C721" i="1"/>
  <c r="B721" i="1"/>
  <c r="A721" i="1"/>
  <c r="R720" i="1"/>
  <c r="Q720" i="1"/>
  <c r="N720" i="1"/>
  <c r="J720" i="1"/>
  <c r="I720" i="1"/>
  <c r="H720" i="1"/>
  <c r="G720" i="1"/>
  <c r="F720" i="1"/>
  <c r="E720" i="1"/>
  <c r="D720" i="1"/>
  <c r="C720" i="1"/>
  <c r="B720" i="1"/>
  <c r="A720" i="1"/>
  <c r="R719" i="1"/>
  <c r="Q719" i="1"/>
  <c r="N719" i="1"/>
  <c r="J719" i="1"/>
  <c r="I719" i="1"/>
  <c r="H719" i="1"/>
  <c r="G719" i="1"/>
  <c r="F719" i="1"/>
  <c r="E719" i="1"/>
  <c r="D719" i="1"/>
  <c r="C719" i="1"/>
  <c r="B719" i="1"/>
  <c r="A719" i="1"/>
  <c r="R718" i="1"/>
  <c r="Q718" i="1"/>
  <c r="N718" i="1"/>
  <c r="J718" i="1"/>
  <c r="I718" i="1"/>
  <c r="H718" i="1"/>
  <c r="G718" i="1"/>
  <c r="F718" i="1"/>
  <c r="E718" i="1"/>
  <c r="D718" i="1"/>
  <c r="C718" i="1"/>
  <c r="B718" i="1"/>
  <c r="A718" i="1"/>
  <c r="R717" i="1"/>
  <c r="Q717" i="1"/>
  <c r="N717" i="1"/>
  <c r="J717" i="1"/>
  <c r="I717" i="1"/>
  <c r="H717" i="1"/>
  <c r="G717" i="1"/>
  <c r="F717" i="1"/>
  <c r="E717" i="1"/>
  <c r="D717" i="1"/>
  <c r="C717" i="1"/>
  <c r="B717" i="1"/>
  <c r="A717" i="1"/>
  <c r="R716" i="1"/>
  <c r="Q716" i="1"/>
  <c r="N716" i="1"/>
  <c r="J716" i="1"/>
  <c r="I716" i="1"/>
  <c r="H716" i="1"/>
  <c r="G716" i="1"/>
  <c r="F716" i="1"/>
  <c r="E716" i="1"/>
  <c r="D716" i="1"/>
  <c r="C716" i="1"/>
  <c r="B716" i="1"/>
  <c r="A716" i="1"/>
  <c r="R715" i="1"/>
  <c r="Q715" i="1"/>
  <c r="N715" i="1"/>
  <c r="J715" i="1"/>
  <c r="I715" i="1"/>
  <c r="H715" i="1"/>
  <c r="G715" i="1"/>
  <c r="F715" i="1"/>
  <c r="E715" i="1"/>
  <c r="D715" i="1"/>
  <c r="C715" i="1"/>
  <c r="B715" i="1"/>
  <c r="A715" i="1"/>
  <c r="R714" i="1"/>
  <c r="N714" i="1"/>
  <c r="J714" i="1"/>
  <c r="I714" i="1"/>
  <c r="H714" i="1"/>
  <c r="G714" i="1"/>
  <c r="F714" i="1"/>
  <c r="E714" i="1"/>
  <c r="D714" i="1"/>
  <c r="C714" i="1"/>
  <c r="B714" i="1"/>
  <c r="A714" i="1"/>
  <c r="R713" i="1"/>
  <c r="Q713" i="1"/>
  <c r="N713" i="1"/>
  <c r="J713" i="1"/>
  <c r="I713" i="1"/>
  <c r="H713" i="1"/>
  <c r="G713" i="1"/>
  <c r="F713" i="1"/>
  <c r="E713" i="1"/>
  <c r="D713" i="1"/>
  <c r="C713" i="1"/>
  <c r="B713" i="1"/>
  <c r="A713" i="1"/>
  <c r="R712" i="1"/>
  <c r="Q712" i="1"/>
  <c r="N712" i="1"/>
  <c r="J712" i="1"/>
  <c r="I712" i="1"/>
  <c r="H712" i="1"/>
  <c r="G712" i="1"/>
  <c r="F712" i="1"/>
  <c r="E712" i="1"/>
  <c r="D712" i="1"/>
  <c r="C712" i="1"/>
  <c r="B712" i="1"/>
  <c r="A712" i="1"/>
  <c r="R711" i="1"/>
  <c r="Q711" i="1"/>
  <c r="N711" i="1"/>
  <c r="J711" i="1"/>
  <c r="I711" i="1"/>
  <c r="H711" i="1"/>
  <c r="G711" i="1"/>
  <c r="F711" i="1"/>
  <c r="E711" i="1"/>
  <c r="D711" i="1"/>
  <c r="C711" i="1"/>
  <c r="B711" i="1"/>
  <c r="A711" i="1"/>
  <c r="R710" i="1"/>
  <c r="Q710" i="1"/>
  <c r="N710" i="1"/>
  <c r="J710" i="1"/>
  <c r="I710" i="1"/>
  <c r="H710" i="1"/>
  <c r="G710" i="1"/>
  <c r="F710" i="1"/>
  <c r="E710" i="1"/>
  <c r="D710" i="1"/>
  <c r="C710" i="1"/>
  <c r="B710" i="1"/>
  <c r="A710" i="1"/>
  <c r="R709" i="1"/>
  <c r="N709" i="1"/>
  <c r="J709" i="1"/>
  <c r="I709" i="1"/>
  <c r="H709" i="1"/>
  <c r="G709" i="1"/>
  <c r="F709" i="1"/>
  <c r="E709" i="1"/>
  <c r="D709" i="1"/>
  <c r="C709" i="1"/>
  <c r="B709" i="1"/>
  <c r="A709" i="1"/>
  <c r="R708" i="1"/>
  <c r="Q708" i="1"/>
  <c r="N708" i="1"/>
  <c r="J708" i="1"/>
  <c r="I708" i="1"/>
  <c r="H708" i="1"/>
  <c r="G708" i="1"/>
  <c r="F708" i="1"/>
  <c r="E708" i="1"/>
  <c r="D708" i="1"/>
  <c r="C708" i="1"/>
  <c r="B708" i="1"/>
  <c r="A708" i="1"/>
  <c r="R707" i="1"/>
  <c r="Q707" i="1"/>
  <c r="N707" i="1"/>
  <c r="J707" i="1"/>
  <c r="I707" i="1"/>
  <c r="H707" i="1"/>
  <c r="G707" i="1"/>
  <c r="F707" i="1"/>
  <c r="E707" i="1"/>
  <c r="D707" i="1"/>
  <c r="C707" i="1"/>
  <c r="B707" i="1"/>
  <c r="A707" i="1"/>
  <c r="R706" i="1"/>
  <c r="N706" i="1"/>
  <c r="J706" i="1"/>
  <c r="I706" i="1"/>
  <c r="H706" i="1"/>
  <c r="G706" i="1"/>
  <c r="F706" i="1"/>
  <c r="E706" i="1"/>
  <c r="D706" i="1"/>
  <c r="C706" i="1"/>
  <c r="B706" i="1"/>
  <c r="A706" i="1"/>
  <c r="R705" i="1"/>
  <c r="Q705" i="1"/>
  <c r="N705" i="1"/>
  <c r="J705" i="1"/>
  <c r="I705" i="1"/>
  <c r="H705" i="1"/>
  <c r="G705" i="1"/>
  <c r="F705" i="1"/>
  <c r="E705" i="1"/>
  <c r="D705" i="1"/>
  <c r="C705" i="1"/>
  <c r="B705" i="1"/>
  <c r="A705" i="1"/>
  <c r="R704" i="1"/>
  <c r="Q704" i="1"/>
  <c r="N704" i="1"/>
  <c r="J704" i="1"/>
  <c r="I704" i="1"/>
  <c r="H704" i="1"/>
  <c r="G704" i="1"/>
  <c r="F704" i="1"/>
  <c r="E704" i="1"/>
  <c r="D704" i="1"/>
  <c r="C704" i="1"/>
  <c r="B704" i="1"/>
  <c r="A704" i="1"/>
  <c r="R703" i="1"/>
  <c r="N703" i="1"/>
  <c r="J703" i="1"/>
  <c r="I703" i="1"/>
  <c r="H703" i="1"/>
  <c r="G703" i="1"/>
  <c r="F703" i="1"/>
  <c r="E703" i="1"/>
  <c r="D703" i="1"/>
  <c r="C703" i="1"/>
  <c r="B703" i="1"/>
  <c r="A703" i="1"/>
  <c r="R702" i="1"/>
  <c r="Q702" i="1"/>
  <c r="N702" i="1"/>
  <c r="J702" i="1"/>
  <c r="I702" i="1"/>
  <c r="H702" i="1"/>
  <c r="G702" i="1"/>
  <c r="F702" i="1"/>
  <c r="E702" i="1"/>
  <c r="D702" i="1"/>
  <c r="C702" i="1"/>
  <c r="B702" i="1"/>
  <c r="A702" i="1"/>
  <c r="R701" i="1"/>
  <c r="Q701" i="1"/>
  <c r="N701" i="1"/>
  <c r="J701" i="1"/>
  <c r="I701" i="1"/>
  <c r="H701" i="1"/>
  <c r="G701" i="1"/>
  <c r="F701" i="1"/>
  <c r="E701" i="1"/>
  <c r="D701" i="1"/>
  <c r="C701" i="1"/>
  <c r="B701" i="1"/>
  <c r="A701" i="1"/>
  <c r="R700" i="1"/>
  <c r="Q700" i="1"/>
  <c r="N700" i="1"/>
  <c r="J700" i="1"/>
  <c r="I700" i="1"/>
  <c r="H700" i="1"/>
  <c r="G700" i="1"/>
  <c r="F700" i="1"/>
  <c r="E700" i="1"/>
  <c r="D700" i="1"/>
  <c r="C700" i="1"/>
  <c r="B700" i="1"/>
  <c r="A700" i="1"/>
  <c r="R699" i="1"/>
  <c r="Q699" i="1"/>
  <c r="N699" i="1"/>
  <c r="J699" i="1"/>
  <c r="I699" i="1"/>
  <c r="H699" i="1"/>
  <c r="G699" i="1"/>
  <c r="F699" i="1"/>
  <c r="E699" i="1"/>
  <c r="D699" i="1"/>
  <c r="C699" i="1"/>
  <c r="B699" i="1"/>
  <c r="A699" i="1"/>
  <c r="R698" i="1"/>
  <c r="Q698" i="1"/>
  <c r="N698" i="1"/>
  <c r="J698" i="1"/>
  <c r="I698" i="1"/>
  <c r="H698" i="1"/>
  <c r="G698" i="1"/>
  <c r="F698" i="1"/>
  <c r="E698" i="1"/>
  <c r="D698" i="1"/>
  <c r="C698" i="1"/>
  <c r="B698" i="1"/>
  <c r="A698" i="1"/>
  <c r="R697" i="1"/>
  <c r="N697" i="1"/>
  <c r="J697" i="1"/>
  <c r="I697" i="1"/>
  <c r="H697" i="1"/>
  <c r="G697" i="1"/>
  <c r="F697" i="1"/>
  <c r="E697" i="1"/>
  <c r="D697" i="1"/>
  <c r="C697" i="1"/>
  <c r="B697" i="1"/>
  <c r="A697" i="1"/>
  <c r="R696" i="1"/>
  <c r="Q696" i="1"/>
  <c r="N696" i="1"/>
  <c r="J696" i="1"/>
  <c r="I696" i="1"/>
  <c r="H696" i="1"/>
  <c r="G696" i="1"/>
  <c r="F696" i="1"/>
  <c r="E696" i="1"/>
  <c r="D696" i="1"/>
  <c r="C696" i="1"/>
  <c r="B696" i="1"/>
  <c r="A696" i="1"/>
  <c r="R695" i="1"/>
  <c r="N695" i="1"/>
  <c r="J695" i="1"/>
  <c r="I695" i="1"/>
  <c r="H695" i="1"/>
  <c r="G695" i="1"/>
  <c r="F695" i="1"/>
  <c r="E695" i="1"/>
  <c r="D695" i="1"/>
  <c r="C695" i="1"/>
  <c r="B695" i="1"/>
  <c r="A695" i="1"/>
  <c r="R694" i="1"/>
  <c r="Q694" i="1"/>
  <c r="N694" i="1"/>
  <c r="J694" i="1"/>
  <c r="I694" i="1"/>
  <c r="H694" i="1"/>
  <c r="G694" i="1"/>
  <c r="F694" i="1"/>
  <c r="E694" i="1"/>
  <c r="D694" i="1"/>
  <c r="C694" i="1"/>
  <c r="B694" i="1"/>
  <c r="A694" i="1"/>
  <c r="R693" i="1"/>
  <c r="N693" i="1"/>
  <c r="J693" i="1"/>
  <c r="I693" i="1"/>
  <c r="H693" i="1"/>
  <c r="G693" i="1"/>
  <c r="F693" i="1"/>
  <c r="E693" i="1"/>
  <c r="D693" i="1"/>
  <c r="C693" i="1"/>
  <c r="B693" i="1"/>
  <c r="A693" i="1"/>
  <c r="R692" i="1"/>
  <c r="Q692" i="1"/>
  <c r="N692" i="1"/>
  <c r="J692" i="1"/>
  <c r="I692" i="1"/>
  <c r="H692" i="1"/>
  <c r="G692" i="1"/>
  <c r="F692" i="1"/>
  <c r="E692" i="1"/>
  <c r="D692" i="1"/>
  <c r="C692" i="1"/>
  <c r="B692" i="1"/>
  <c r="A692" i="1"/>
  <c r="R691" i="1"/>
  <c r="N691" i="1"/>
  <c r="J691" i="1"/>
  <c r="I691" i="1"/>
  <c r="H691" i="1"/>
  <c r="G691" i="1"/>
  <c r="F691" i="1"/>
  <c r="E691" i="1"/>
  <c r="D691" i="1"/>
  <c r="C691" i="1"/>
  <c r="B691" i="1"/>
  <c r="A691" i="1"/>
  <c r="R690" i="1"/>
  <c r="Q690" i="1"/>
  <c r="N690" i="1"/>
  <c r="J690" i="1"/>
  <c r="I690" i="1"/>
  <c r="H690" i="1"/>
  <c r="G690" i="1"/>
  <c r="F690" i="1"/>
  <c r="E690" i="1"/>
  <c r="D690" i="1"/>
  <c r="C690" i="1"/>
  <c r="B690" i="1"/>
  <c r="A690" i="1"/>
  <c r="R689" i="1"/>
  <c r="N689" i="1"/>
  <c r="J689" i="1"/>
  <c r="I689" i="1"/>
  <c r="H689" i="1"/>
  <c r="G689" i="1"/>
  <c r="F689" i="1"/>
  <c r="E689" i="1"/>
  <c r="D689" i="1"/>
  <c r="C689" i="1"/>
  <c r="B689" i="1"/>
  <c r="A689" i="1"/>
  <c r="R688" i="1"/>
  <c r="Q688" i="1"/>
  <c r="N688" i="1"/>
  <c r="J688" i="1"/>
  <c r="I688" i="1"/>
  <c r="H688" i="1"/>
  <c r="G688" i="1"/>
  <c r="F688" i="1"/>
  <c r="E688" i="1"/>
  <c r="D688" i="1"/>
  <c r="C688" i="1"/>
  <c r="B688" i="1"/>
  <c r="A688" i="1"/>
  <c r="R687" i="1"/>
  <c r="N687" i="1"/>
  <c r="J687" i="1"/>
  <c r="I687" i="1"/>
  <c r="H687" i="1"/>
  <c r="G687" i="1"/>
  <c r="F687" i="1"/>
  <c r="E687" i="1"/>
  <c r="D687" i="1"/>
  <c r="C687" i="1"/>
  <c r="B687" i="1"/>
  <c r="A687" i="1"/>
  <c r="R686" i="1"/>
  <c r="Q686" i="1"/>
  <c r="N686" i="1"/>
  <c r="J686" i="1"/>
  <c r="I686" i="1"/>
  <c r="H686" i="1"/>
  <c r="G686" i="1"/>
  <c r="F686" i="1"/>
  <c r="E686" i="1"/>
  <c r="D686" i="1"/>
  <c r="C686" i="1"/>
  <c r="B686" i="1"/>
  <c r="A686" i="1"/>
  <c r="R685" i="1"/>
  <c r="N685" i="1"/>
  <c r="J685" i="1"/>
  <c r="I685" i="1"/>
  <c r="H685" i="1"/>
  <c r="G685" i="1"/>
  <c r="F685" i="1"/>
  <c r="E685" i="1"/>
  <c r="D685" i="1"/>
  <c r="C685" i="1"/>
  <c r="B685" i="1"/>
  <c r="A685" i="1"/>
  <c r="R684" i="1"/>
  <c r="Q684" i="1"/>
  <c r="N684" i="1"/>
  <c r="J684" i="1"/>
  <c r="I684" i="1"/>
  <c r="H684" i="1"/>
  <c r="G684" i="1"/>
  <c r="F684" i="1"/>
  <c r="E684" i="1"/>
  <c r="D684" i="1"/>
  <c r="C684" i="1"/>
  <c r="B684" i="1"/>
  <c r="A684" i="1"/>
  <c r="R683" i="1"/>
  <c r="N683" i="1"/>
  <c r="J683" i="1"/>
  <c r="I683" i="1"/>
  <c r="H683" i="1"/>
  <c r="G683" i="1"/>
  <c r="F683" i="1"/>
  <c r="E683" i="1"/>
  <c r="D683" i="1"/>
  <c r="C683" i="1"/>
  <c r="B683" i="1"/>
  <c r="A683" i="1"/>
  <c r="R682" i="1"/>
  <c r="Q682" i="1"/>
  <c r="N682" i="1"/>
  <c r="J682" i="1"/>
  <c r="I682" i="1"/>
  <c r="H682" i="1"/>
  <c r="G682" i="1"/>
  <c r="F682" i="1"/>
  <c r="E682" i="1"/>
  <c r="D682" i="1"/>
  <c r="C682" i="1"/>
  <c r="B682" i="1"/>
  <c r="A682" i="1"/>
  <c r="R681" i="1"/>
  <c r="Q681" i="1"/>
  <c r="N681" i="1"/>
  <c r="J681" i="1"/>
  <c r="I681" i="1"/>
  <c r="H681" i="1"/>
  <c r="G681" i="1"/>
  <c r="F681" i="1"/>
  <c r="E681" i="1"/>
  <c r="D681" i="1"/>
  <c r="C681" i="1"/>
  <c r="B681" i="1"/>
  <c r="A681" i="1"/>
  <c r="R680" i="1"/>
  <c r="N680" i="1"/>
  <c r="J680" i="1"/>
  <c r="I680" i="1"/>
  <c r="H680" i="1"/>
  <c r="G680" i="1"/>
  <c r="F680" i="1"/>
  <c r="E680" i="1"/>
  <c r="D680" i="1"/>
  <c r="C680" i="1"/>
  <c r="B680" i="1"/>
  <c r="A680" i="1"/>
  <c r="R679" i="1"/>
  <c r="Q679" i="1"/>
  <c r="N679" i="1"/>
  <c r="J679" i="1"/>
  <c r="I679" i="1"/>
  <c r="H679" i="1"/>
  <c r="G679" i="1"/>
  <c r="F679" i="1"/>
  <c r="E679" i="1"/>
  <c r="D679" i="1"/>
  <c r="C679" i="1"/>
  <c r="B679" i="1"/>
  <c r="A679" i="1"/>
  <c r="R678" i="1"/>
  <c r="Q678" i="1"/>
  <c r="N678" i="1"/>
  <c r="J678" i="1"/>
  <c r="I678" i="1"/>
  <c r="H678" i="1"/>
  <c r="G678" i="1"/>
  <c r="F678" i="1"/>
  <c r="E678" i="1"/>
  <c r="D678" i="1"/>
  <c r="C678" i="1"/>
  <c r="B678" i="1"/>
  <c r="A678" i="1"/>
  <c r="R677" i="1"/>
  <c r="Q677" i="1"/>
  <c r="N677" i="1"/>
  <c r="J677" i="1"/>
  <c r="I677" i="1"/>
  <c r="H677" i="1"/>
  <c r="G677" i="1"/>
  <c r="F677" i="1"/>
  <c r="E677" i="1"/>
  <c r="D677" i="1"/>
  <c r="C677" i="1"/>
  <c r="B677" i="1"/>
  <c r="A677" i="1"/>
  <c r="R676" i="1"/>
  <c r="Q676" i="1"/>
  <c r="N676" i="1"/>
  <c r="J676" i="1"/>
  <c r="I676" i="1"/>
  <c r="H676" i="1"/>
  <c r="G676" i="1"/>
  <c r="F676" i="1"/>
  <c r="E676" i="1"/>
  <c r="D676" i="1"/>
  <c r="C676" i="1"/>
  <c r="B676" i="1"/>
  <c r="A676" i="1"/>
  <c r="R675" i="1"/>
  <c r="Q675" i="1"/>
  <c r="N675" i="1"/>
  <c r="J675" i="1"/>
  <c r="I675" i="1"/>
  <c r="H675" i="1"/>
  <c r="G675" i="1"/>
  <c r="F675" i="1"/>
  <c r="E675" i="1"/>
  <c r="D675" i="1"/>
  <c r="C675" i="1"/>
  <c r="B675" i="1"/>
  <c r="A675" i="1"/>
  <c r="R674" i="1"/>
  <c r="Q674" i="1"/>
  <c r="N674" i="1"/>
  <c r="J674" i="1"/>
  <c r="I674" i="1"/>
  <c r="H674" i="1"/>
  <c r="G674" i="1"/>
  <c r="F674" i="1"/>
  <c r="E674" i="1"/>
  <c r="D674" i="1"/>
  <c r="C674" i="1"/>
  <c r="B674" i="1"/>
  <c r="A674" i="1"/>
  <c r="R673" i="1"/>
  <c r="Q673" i="1"/>
  <c r="N673" i="1"/>
  <c r="J673" i="1"/>
  <c r="I673" i="1"/>
  <c r="H673" i="1"/>
  <c r="G673" i="1"/>
  <c r="F673" i="1"/>
  <c r="E673" i="1"/>
  <c r="D673" i="1"/>
  <c r="C673" i="1"/>
  <c r="B673" i="1"/>
  <c r="A673" i="1"/>
  <c r="R672" i="1"/>
  <c r="Q672" i="1"/>
  <c r="N672" i="1"/>
  <c r="J672" i="1"/>
  <c r="I672" i="1"/>
  <c r="H672" i="1"/>
  <c r="G672" i="1"/>
  <c r="F672" i="1"/>
  <c r="E672" i="1"/>
  <c r="D672" i="1"/>
  <c r="C672" i="1"/>
  <c r="B672" i="1"/>
  <c r="A672" i="1"/>
  <c r="R671" i="1"/>
  <c r="Q671" i="1"/>
  <c r="N671" i="1"/>
  <c r="J671" i="1"/>
  <c r="I671" i="1"/>
  <c r="H671" i="1"/>
  <c r="G671" i="1"/>
  <c r="F671" i="1"/>
  <c r="E671" i="1"/>
  <c r="D671" i="1"/>
  <c r="C671" i="1"/>
  <c r="B671" i="1"/>
  <c r="A671" i="1"/>
  <c r="R670" i="1"/>
  <c r="Q670" i="1"/>
  <c r="N670" i="1"/>
  <c r="J670" i="1"/>
  <c r="I670" i="1"/>
  <c r="H670" i="1"/>
  <c r="G670" i="1"/>
  <c r="F670" i="1"/>
  <c r="E670" i="1"/>
  <c r="D670" i="1"/>
  <c r="C670" i="1"/>
  <c r="B670" i="1"/>
  <c r="A670" i="1"/>
  <c r="R669" i="1"/>
  <c r="N669" i="1"/>
  <c r="J669" i="1"/>
  <c r="I669" i="1"/>
  <c r="H669" i="1"/>
  <c r="G669" i="1"/>
  <c r="F669" i="1"/>
  <c r="E669" i="1"/>
  <c r="D669" i="1"/>
  <c r="C669" i="1"/>
  <c r="B669" i="1"/>
  <c r="A669" i="1"/>
  <c r="R668" i="1"/>
  <c r="Q668" i="1"/>
  <c r="N668" i="1"/>
  <c r="J668" i="1"/>
  <c r="I668" i="1"/>
  <c r="H668" i="1"/>
  <c r="G668" i="1"/>
  <c r="F668" i="1"/>
  <c r="E668" i="1"/>
  <c r="D668" i="1"/>
  <c r="C668" i="1"/>
  <c r="B668" i="1"/>
  <c r="A668" i="1"/>
  <c r="R667" i="1"/>
  <c r="Q667" i="1"/>
  <c r="N667" i="1"/>
  <c r="J667" i="1"/>
  <c r="I667" i="1"/>
  <c r="H667" i="1"/>
  <c r="G667" i="1"/>
  <c r="F667" i="1"/>
  <c r="E667" i="1"/>
  <c r="D667" i="1"/>
  <c r="C667" i="1"/>
  <c r="B667" i="1"/>
  <c r="A667" i="1"/>
  <c r="R666" i="1"/>
  <c r="Q666" i="1"/>
  <c r="N666" i="1"/>
  <c r="J666" i="1"/>
  <c r="I666" i="1"/>
  <c r="H666" i="1"/>
  <c r="G666" i="1"/>
  <c r="F666" i="1"/>
  <c r="E666" i="1"/>
  <c r="D666" i="1"/>
  <c r="C666" i="1"/>
  <c r="B666" i="1"/>
  <c r="A666" i="1"/>
  <c r="R665" i="1"/>
  <c r="Q665" i="1"/>
  <c r="N665" i="1"/>
  <c r="J665" i="1"/>
  <c r="I665" i="1"/>
  <c r="H665" i="1"/>
  <c r="G665" i="1"/>
  <c r="F665" i="1"/>
  <c r="E665" i="1"/>
  <c r="D665" i="1"/>
  <c r="C665" i="1"/>
  <c r="B665" i="1"/>
  <c r="A665" i="1"/>
  <c r="R664" i="1"/>
  <c r="Q664" i="1"/>
  <c r="N664" i="1"/>
  <c r="J664" i="1"/>
  <c r="I664" i="1"/>
  <c r="H664" i="1"/>
  <c r="G664" i="1"/>
  <c r="F664" i="1"/>
  <c r="E664" i="1"/>
  <c r="D664" i="1"/>
  <c r="C664" i="1"/>
  <c r="B664" i="1"/>
  <c r="A664" i="1"/>
  <c r="R663" i="1"/>
  <c r="Q663" i="1"/>
  <c r="N663" i="1"/>
  <c r="J663" i="1"/>
  <c r="I663" i="1"/>
  <c r="H663" i="1"/>
  <c r="G663" i="1"/>
  <c r="F663" i="1"/>
  <c r="E663" i="1"/>
  <c r="D663" i="1"/>
  <c r="C663" i="1"/>
  <c r="B663" i="1"/>
  <c r="A663" i="1"/>
  <c r="R662" i="1"/>
  <c r="Q662" i="1"/>
  <c r="N662" i="1"/>
  <c r="J662" i="1"/>
  <c r="I662" i="1"/>
  <c r="H662" i="1"/>
  <c r="G662" i="1"/>
  <c r="F662" i="1"/>
  <c r="E662" i="1"/>
  <c r="D662" i="1"/>
  <c r="C662" i="1"/>
  <c r="B662" i="1"/>
  <c r="A662" i="1"/>
  <c r="R661" i="1"/>
  <c r="Q661" i="1"/>
  <c r="N661" i="1"/>
  <c r="J661" i="1"/>
  <c r="I661" i="1"/>
  <c r="H661" i="1"/>
  <c r="G661" i="1"/>
  <c r="F661" i="1"/>
  <c r="E661" i="1"/>
  <c r="D661" i="1"/>
  <c r="C661" i="1"/>
  <c r="B661" i="1"/>
  <c r="A661" i="1"/>
  <c r="R660" i="1"/>
  <c r="Q660" i="1"/>
  <c r="N660" i="1"/>
  <c r="J660" i="1"/>
  <c r="I660" i="1"/>
  <c r="H660" i="1"/>
  <c r="G660" i="1"/>
  <c r="F660" i="1"/>
  <c r="E660" i="1"/>
  <c r="D660" i="1"/>
  <c r="C660" i="1"/>
  <c r="B660" i="1"/>
  <c r="A660" i="1"/>
  <c r="R659" i="1"/>
  <c r="Q659" i="1"/>
  <c r="N659" i="1"/>
  <c r="J659" i="1"/>
  <c r="I659" i="1"/>
  <c r="H659" i="1"/>
  <c r="G659" i="1"/>
  <c r="F659" i="1"/>
  <c r="E659" i="1"/>
  <c r="D659" i="1"/>
  <c r="C659" i="1"/>
  <c r="B659" i="1"/>
  <c r="A659" i="1"/>
  <c r="R658" i="1"/>
  <c r="Q658" i="1"/>
  <c r="N658" i="1"/>
  <c r="J658" i="1"/>
  <c r="I658" i="1"/>
  <c r="H658" i="1"/>
  <c r="G658" i="1"/>
  <c r="F658" i="1"/>
  <c r="E658" i="1"/>
  <c r="D658" i="1"/>
  <c r="C658" i="1"/>
  <c r="B658" i="1"/>
  <c r="A658" i="1"/>
  <c r="R657" i="1"/>
  <c r="Q657" i="1"/>
  <c r="N657" i="1"/>
  <c r="J657" i="1"/>
  <c r="I657" i="1"/>
  <c r="H657" i="1"/>
  <c r="G657" i="1"/>
  <c r="F657" i="1"/>
  <c r="E657" i="1"/>
  <c r="D657" i="1"/>
  <c r="C657" i="1"/>
  <c r="B657" i="1"/>
  <c r="A657" i="1"/>
  <c r="R656" i="1"/>
  <c r="N656" i="1"/>
  <c r="J656" i="1"/>
  <c r="I656" i="1"/>
  <c r="H656" i="1"/>
  <c r="G656" i="1"/>
  <c r="F656" i="1"/>
  <c r="E656" i="1"/>
  <c r="D656" i="1"/>
  <c r="C656" i="1"/>
  <c r="B656" i="1"/>
  <c r="A656" i="1"/>
  <c r="R655" i="1"/>
  <c r="Q655" i="1"/>
  <c r="N655" i="1"/>
  <c r="J655" i="1"/>
  <c r="I655" i="1"/>
  <c r="H655" i="1"/>
  <c r="G655" i="1"/>
  <c r="F655" i="1"/>
  <c r="E655" i="1"/>
  <c r="D655" i="1"/>
  <c r="C655" i="1"/>
  <c r="B655" i="1"/>
  <c r="A655" i="1"/>
  <c r="R654" i="1"/>
  <c r="Q654" i="1"/>
  <c r="N654" i="1"/>
  <c r="J654" i="1"/>
  <c r="I654" i="1"/>
  <c r="H654" i="1"/>
  <c r="G654" i="1"/>
  <c r="F654" i="1"/>
  <c r="E654" i="1"/>
  <c r="D654" i="1"/>
  <c r="C654" i="1"/>
  <c r="B654" i="1"/>
  <c r="A654" i="1"/>
  <c r="R653" i="1"/>
  <c r="Q653" i="1"/>
  <c r="N653" i="1"/>
  <c r="J653" i="1"/>
  <c r="I653" i="1"/>
  <c r="H653" i="1"/>
  <c r="G653" i="1"/>
  <c r="F653" i="1"/>
  <c r="E653" i="1"/>
  <c r="D653" i="1"/>
  <c r="C653" i="1"/>
  <c r="B653" i="1"/>
  <c r="A653" i="1"/>
  <c r="R652" i="1"/>
  <c r="Q652" i="1"/>
  <c r="N652" i="1"/>
  <c r="J652" i="1"/>
  <c r="I652" i="1"/>
  <c r="H652" i="1"/>
  <c r="G652" i="1"/>
  <c r="F652" i="1"/>
  <c r="E652" i="1"/>
  <c r="D652" i="1"/>
  <c r="C652" i="1"/>
  <c r="B652" i="1"/>
  <c r="A652" i="1"/>
  <c r="R651" i="1"/>
  <c r="Q651" i="1"/>
  <c r="N651" i="1"/>
  <c r="J651" i="1"/>
  <c r="I651" i="1"/>
  <c r="H651" i="1"/>
  <c r="G651" i="1"/>
  <c r="F651" i="1"/>
  <c r="E651" i="1"/>
  <c r="D651" i="1"/>
  <c r="C651" i="1"/>
  <c r="B651" i="1"/>
  <c r="A651" i="1"/>
  <c r="R650" i="1"/>
  <c r="Q650" i="1"/>
  <c r="N650" i="1"/>
  <c r="J650" i="1"/>
  <c r="I650" i="1"/>
  <c r="H650" i="1"/>
  <c r="G650" i="1"/>
  <c r="F650" i="1"/>
  <c r="E650" i="1"/>
  <c r="D650" i="1"/>
  <c r="C650" i="1"/>
  <c r="B650" i="1"/>
  <c r="A650" i="1"/>
  <c r="R649" i="1"/>
  <c r="Q649" i="1"/>
  <c r="N649" i="1"/>
  <c r="J649" i="1"/>
  <c r="I649" i="1"/>
  <c r="H649" i="1"/>
  <c r="G649" i="1"/>
  <c r="F649" i="1"/>
  <c r="E649" i="1"/>
  <c r="D649" i="1"/>
  <c r="C649" i="1"/>
  <c r="B649" i="1"/>
  <c r="A649" i="1"/>
  <c r="R648" i="1"/>
  <c r="Q648" i="1"/>
  <c r="N648" i="1"/>
  <c r="J648" i="1"/>
  <c r="I648" i="1"/>
  <c r="H648" i="1"/>
  <c r="G648" i="1"/>
  <c r="F648" i="1"/>
  <c r="E648" i="1"/>
  <c r="D648" i="1"/>
  <c r="C648" i="1"/>
  <c r="B648" i="1"/>
  <c r="A648" i="1"/>
  <c r="R647" i="1"/>
  <c r="Q647" i="1"/>
  <c r="N647" i="1"/>
  <c r="J647" i="1"/>
  <c r="I647" i="1"/>
  <c r="H647" i="1"/>
  <c r="G647" i="1"/>
  <c r="F647" i="1"/>
  <c r="E647" i="1"/>
  <c r="D647" i="1"/>
  <c r="C647" i="1"/>
  <c r="B647" i="1"/>
  <c r="A647" i="1"/>
  <c r="R646" i="1"/>
  <c r="Q646" i="1"/>
  <c r="N646" i="1"/>
  <c r="J646" i="1"/>
  <c r="I646" i="1"/>
  <c r="H646" i="1"/>
  <c r="G646" i="1"/>
  <c r="F646" i="1"/>
  <c r="E646" i="1"/>
  <c r="D646" i="1"/>
  <c r="C646" i="1"/>
  <c r="B646" i="1"/>
  <c r="A646" i="1"/>
  <c r="R645" i="1"/>
  <c r="Q645" i="1"/>
  <c r="N645" i="1"/>
  <c r="J645" i="1"/>
  <c r="I645" i="1"/>
  <c r="H645" i="1"/>
  <c r="G645" i="1"/>
  <c r="F645" i="1"/>
  <c r="E645" i="1"/>
  <c r="D645" i="1"/>
  <c r="C645" i="1"/>
  <c r="B645" i="1"/>
  <c r="A645" i="1"/>
  <c r="R644" i="1"/>
  <c r="Q644" i="1"/>
  <c r="N644" i="1"/>
  <c r="J644" i="1"/>
  <c r="I644" i="1"/>
  <c r="H644" i="1"/>
  <c r="G644" i="1"/>
  <c r="F644" i="1"/>
  <c r="E644" i="1"/>
  <c r="D644" i="1"/>
  <c r="C644" i="1"/>
  <c r="B644" i="1"/>
  <c r="A644" i="1"/>
  <c r="R643" i="1"/>
  <c r="Q643" i="1"/>
  <c r="N643" i="1"/>
  <c r="J643" i="1"/>
  <c r="I643" i="1"/>
  <c r="H643" i="1"/>
  <c r="G643" i="1"/>
  <c r="F643" i="1"/>
  <c r="E643" i="1"/>
  <c r="D643" i="1"/>
  <c r="C643" i="1"/>
  <c r="B643" i="1"/>
  <c r="A643" i="1"/>
  <c r="R642" i="1"/>
  <c r="Q642" i="1"/>
  <c r="N642" i="1"/>
  <c r="J642" i="1"/>
  <c r="I642" i="1"/>
  <c r="H642" i="1"/>
  <c r="G642" i="1"/>
  <c r="F642" i="1"/>
  <c r="E642" i="1"/>
  <c r="D642" i="1"/>
  <c r="C642" i="1"/>
  <c r="B642" i="1"/>
  <c r="A642" i="1"/>
  <c r="R641" i="1"/>
  <c r="Q641" i="1"/>
  <c r="N641" i="1"/>
  <c r="J641" i="1"/>
  <c r="I641" i="1"/>
  <c r="H641" i="1"/>
  <c r="G641" i="1"/>
  <c r="F641" i="1"/>
  <c r="E641" i="1"/>
  <c r="D641" i="1"/>
  <c r="C641" i="1"/>
  <c r="B641" i="1"/>
  <c r="A641" i="1"/>
  <c r="R640" i="1"/>
  <c r="Q640" i="1"/>
  <c r="N640" i="1"/>
  <c r="J640" i="1"/>
  <c r="I640" i="1"/>
  <c r="H640" i="1"/>
  <c r="G640" i="1"/>
  <c r="F640" i="1"/>
  <c r="E640" i="1"/>
  <c r="D640" i="1"/>
  <c r="C640" i="1"/>
  <c r="B640" i="1"/>
  <c r="A640" i="1"/>
  <c r="R639" i="1"/>
  <c r="Q639" i="1"/>
  <c r="N639" i="1"/>
  <c r="J639" i="1"/>
  <c r="I639" i="1"/>
  <c r="H639" i="1"/>
  <c r="G639" i="1"/>
  <c r="F639" i="1"/>
  <c r="E639" i="1"/>
  <c r="D639" i="1"/>
  <c r="C639" i="1"/>
  <c r="B639" i="1"/>
  <c r="A639" i="1"/>
  <c r="R638" i="1"/>
  <c r="Q638" i="1"/>
  <c r="N638" i="1"/>
  <c r="J638" i="1"/>
  <c r="I638" i="1"/>
  <c r="H638" i="1"/>
  <c r="G638" i="1"/>
  <c r="F638" i="1"/>
  <c r="E638" i="1"/>
  <c r="D638" i="1"/>
  <c r="C638" i="1"/>
  <c r="B638" i="1"/>
  <c r="A638" i="1"/>
  <c r="R637" i="1"/>
  <c r="Q637" i="1"/>
  <c r="N637" i="1"/>
  <c r="J637" i="1"/>
  <c r="I637" i="1"/>
  <c r="H637" i="1"/>
  <c r="G637" i="1"/>
  <c r="F637" i="1"/>
  <c r="E637" i="1"/>
  <c r="D637" i="1"/>
  <c r="C637" i="1"/>
  <c r="B637" i="1"/>
  <c r="A637" i="1"/>
  <c r="R636" i="1"/>
  <c r="Q636" i="1"/>
  <c r="N636" i="1"/>
  <c r="J636" i="1"/>
  <c r="I636" i="1"/>
  <c r="H636" i="1"/>
  <c r="G636" i="1"/>
  <c r="F636" i="1"/>
  <c r="E636" i="1"/>
  <c r="D636" i="1"/>
  <c r="C636" i="1"/>
  <c r="B636" i="1"/>
  <c r="A636" i="1"/>
  <c r="R635" i="1"/>
  <c r="Q635" i="1"/>
  <c r="N635" i="1"/>
  <c r="J635" i="1"/>
  <c r="I635" i="1"/>
  <c r="H635" i="1"/>
  <c r="G635" i="1"/>
  <c r="F635" i="1"/>
  <c r="E635" i="1"/>
  <c r="D635" i="1"/>
  <c r="C635" i="1"/>
  <c r="B635" i="1"/>
  <c r="A635" i="1"/>
  <c r="R634" i="1"/>
  <c r="Q634" i="1"/>
  <c r="N634" i="1"/>
  <c r="J634" i="1"/>
  <c r="I634" i="1"/>
  <c r="H634" i="1"/>
  <c r="G634" i="1"/>
  <c r="F634" i="1"/>
  <c r="E634" i="1"/>
  <c r="D634" i="1"/>
  <c r="C634" i="1"/>
  <c r="B634" i="1"/>
  <c r="A634" i="1"/>
  <c r="R633" i="1"/>
  <c r="Q633" i="1"/>
  <c r="N633" i="1"/>
  <c r="J633" i="1"/>
  <c r="I633" i="1"/>
  <c r="H633" i="1"/>
  <c r="G633" i="1"/>
  <c r="F633" i="1"/>
  <c r="E633" i="1"/>
  <c r="D633" i="1"/>
  <c r="C633" i="1"/>
  <c r="B633" i="1"/>
  <c r="A633" i="1"/>
  <c r="R632" i="1"/>
  <c r="Q632" i="1"/>
  <c r="N632" i="1"/>
  <c r="J632" i="1"/>
  <c r="I632" i="1"/>
  <c r="H632" i="1"/>
  <c r="G632" i="1"/>
  <c r="F632" i="1"/>
  <c r="E632" i="1"/>
  <c r="D632" i="1"/>
  <c r="C632" i="1"/>
  <c r="B632" i="1"/>
  <c r="A632" i="1"/>
  <c r="R631" i="1"/>
  <c r="Q631" i="1"/>
  <c r="N631" i="1"/>
  <c r="J631" i="1"/>
  <c r="I631" i="1"/>
  <c r="H631" i="1"/>
  <c r="G631" i="1"/>
  <c r="F631" i="1"/>
  <c r="E631" i="1"/>
  <c r="D631" i="1"/>
  <c r="C631" i="1"/>
  <c r="B631" i="1"/>
  <c r="A631" i="1"/>
  <c r="R630" i="1"/>
  <c r="Q630" i="1"/>
  <c r="N630" i="1"/>
  <c r="J630" i="1"/>
  <c r="I630" i="1"/>
  <c r="H630" i="1"/>
  <c r="G630" i="1"/>
  <c r="F630" i="1"/>
  <c r="E630" i="1"/>
  <c r="D630" i="1"/>
  <c r="C630" i="1"/>
  <c r="B630" i="1"/>
  <c r="A630" i="1"/>
  <c r="R629" i="1"/>
  <c r="Q629" i="1"/>
  <c r="N629" i="1"/>
  <c r="J629" i="1"/>
  <c r="I629" i="1"/>
  <c r="H629" i="1"/>
  <c r="G629" i="1"/>
  <c r="F629" i="1"/>
  <c r="E629" i="1"/>
  <c r="D629" i="1"/>
  <c r="C629" i="1"/>
  <c r="B629" i="1"/>
  <c r="A629" i="1"/>
  <c r="R628" i="1"/>
  <c r="Q628" i="1"/>
  <c r="N628" i="1"/>
  <c r="J628" i="1"/>
  <c r="I628" i="1"/>
  <c r="H628" i="1"/>
  <c r="G628" i="1"/>
  <c r="F628" i="1"/>
  <c r="E628" i="1"/>
  <c r="D628" i="1"/>
  <c r="C628" i="1"/>
  <c r="B628" i="1"/>
  <c r="A628" i="1"/>
  <c r="R627" i="1"/>
  <c r="Q627" i="1"/>
  <c r="N627" i="1"/>
  <c r="J627" i="1"/>
  <c r="I627" i="1"/>
  <c r="H627" i="1"/>
  <c r="G627" i="1"/>
  <c r="F627" i="1"/>
  <c r="E627" i="1"/>
  <c r="D627" i="1"/>
  <c r="C627" i="1"/>
  <c r="B627" i="1"/>
  <c r="A627" i="1"/>
  <c r="R626" i="1"/>
  <c r="Q626" i="1"/>
  <c r="N626" i="1"/>
  <c r="J626" i="1"/>
  <c r="I626" i="1"/>
  <c r="H626" i="1"/>
  <c r="G626" i="1"/>
  <c r="F626" i="1"/>
  <c r="E626" i="1"/>
  <c r="D626" i="1"/>
  <c r="C626" i="1"/>
  <c r="B626" i="1"/>
  <c r="A626" i="1"/>
  <c r="R625" i="1"/>
  <c r="Q625" i="1"/>
  <c r="N625" i="1"/>
  <c r="J625" i="1"/>
  <c r="I625" i="1"/>
  <c r="H625" i="1"/>
  <c r="G625" i="1"/>
  <c r="F625" i="1"/>
  <c r="E625" i="1"/>
  <c r="D625" i="1"/>
  <c r="C625" i="1"/>
  <c r="B625" i="1"/>
  <c r="A625" i="1"/>
  <c r="R624" i="1"/>
  <c r="Q624" i="1"/>
  <c r="N624" i="1"/>
  <c r="J624" i="1"/>
  <c r="I624" i="1"/>
  <c r="H624" i="1"/>
  <c r="G624" i="1"/>
  <c r="F624" i="1"/>
  <c r="E624" i="1"/>
  <c r="D624" i="1"/>
  <c r="C624" i="1"/>
  <c r="B624" i="1"/>
  <c r="A624" i="1"/>
  <c r="R623" i="1"/>
  <c r="Q623" i="1"/>
  <c r="N623" i="1"/>
  <c r="J623" i="1"/>
  <c r="I623" i="1"/>
  <c r="H623" i="1"/>
  <c r="G623" i="1"/>
  <c r="F623" i="1"/>
  <c r="E623" i="1"/>
  <c r="D623" i="1"/>
  <c r="C623" i="1"/>
  <c r="B623" i="1"/>
  <c r="A623" i="1"/>
  <c r="R622" i="1"/>
  <c r="Q622" i="1"/>
  <c r="N622" i="1"/>
  <c r="J622" i="1"/>
  <c r="I622" i="1"/>
  <c r="H622" i="1"/>
  <c r="G622" i="1"/>
  <c r="F622" i="1"/>
  <c r="E622" i="1"/>
  <c r="D622" i="1"/>
  <c r="C622" i="1"/>
  <c r="B622" i="1"/>
  <c r="A622" i="1"/>
  <c r="R621" i="1"/>
  <c r="Q621" i="1"/>
  <c r="N621" i="1"/>
  <c r="J621" i="1"/>
  <c r="I621" i="1"/>
  <c r="H621" i="1"/>
  <c r="G621" i="1"/>
  <c r="F621" i="1"/>
  <c r="E621" i="1"/>
  <c r="D621" i="1"/>
  <c r="C621" i="1"/>
  <c r="B621" i="1"/>
  <c r="A621" i="1"/>
  <c r="R620" i="1"/>
  <c r="Q620" i="1"/>
  <c r="N620" i="1"/>
  <c r="J620" i="1"/>
  <c r="I620" i="1"/>
  <c r="H620" i="1"/>
  <c r="G620" i="1"/>
  <c r="F620" i="1"/>
  <c r="E620" i="1"/>
  <c r="D620" i="1"/>
  <c r="C620" i="1"/>
  <c r="B620" i="1"/>
  <c r="A620" i="1"/>
  <c r="R619" i="1"/>
  <c r="Q619" i="1"/>
  <c r="N619" i="1"/>
  <c r="J619" i="1"/>
  <c r="I619" i="1"/>
  <c r="H619" i="1"/>
  <c r="G619" i="1"/>
  <c r="F619" i="1"/>
  <c r="E619" i="1"/>
  <c r="D619" i="1"/>
  <c r="C619" i="1"/>
  <c r="B619" i="1"/>
  <c r="A619" i="1"/>
  <c r="R618" i="1"/>
  <c r="Q618" i="1"/>
  <c r="N618" i="1"/>
  <c r="J618" i="1"/>
  <c r="I618" i="1"/>
  <c r="H618" i="1"/>
  <c r="G618" i="1"/>
  <c r="F618" i="1"/>
  <c r="E618" i="1"/>
  <c r="D618" i="1"/>
  <c r="C618" i="1"/>
  <c r="B618" i="1"/>
  <c r="A618" i="1"/>
  <c r="R617" i="1"/>
  <c r="Q617" i="1"/>
  <c r="N617" i="1"/>
  <c r="J617" i="1"/>
  <c r="I617" i="1"/>
  <c r="H617" i="1"/>
  <c r="G617" i="1"/>
  <c r="F617" i="1"/>
  <c r="E617" i="1"/>
  <c r="D617" i="1"/>
  <c r="C617" i="1"/>
  <c r="B617" i="1"/>
  <c r="A617" i="1"/>
  <c r="R616" i="1"/>
  <c r="Q616" i="1"/>
  <c r="N616" i="1"/>
  <c r="J616" i="1"/>
  <c r="I616" i="1"/>
  <c r="H616" i="1"/>
  <c r="G616" i="1"/>
  <c r="F616" i="1"/>
  <c r="E616" i="1"/>
  <c r="D616" i="1"/>
  <c r="C616" i="1"/>
  <c r="B616" i="1"/>
  <c r="A616" i="1"/>
  <c r="R615" i="1"/>
  <c r="Q615" i="1"/>
  <c r="N615" i="1"/>
  <c r="J615" i="1"/>
  <c r="I615" i="1"/>
  <c r="H615" i="1"/>
  <c r="G615" i="1"/>
  <c r="F615" i="1"/>
  <c r="E615" i="1"/>
  <c r="D615" i="1"/>
  <c r="C615" i="1"/>
  <c r="B615" i="1"/>
  <c r="A615" i="1"/>
  <c r="R614" i="1"/>
  <c r="Q614" i="1"/>
  <c r="N614" i="1"/>
  <c r="J614" i="1"/>
  <c r="I614" i="1"/>
  <c r="H614" i="1"/>
  <c r="G614" i="1"/>
  <c r="F614" i="1"/>
  <c r="E614" i="1"/>
  <c r="D614" i="1"/>
  <c r="C614" i="1"/>
  <c r="B614" i="1"/>
  <c r="A614" i="1"/>
  <c r="R613" i="1"/>
  <c r="Q613" i="1"/>
  <c r="N613" i="1"/>
  <c r="J613" i="1"/>
  <c r="I613" i="1"/>
  <c r="H613" i="1"/>
  <c r="G613" i="1"/>
  <c r="F613" i="1"/>
  <c r="E613" i="1"/>
  <c r="D613" i="1"/>
  <c r="C613" i="1"/>
  <c r="B613" i="1"/>
  <c r="A613" i="1"/>
  <c r="R612" i="1"/>
  <c r="Q612" i="1"/>
  <c r="N612" i="1"/>
  <c r="J612" i="1"/>
  <c r="I612" i="1"/>
  <c r="H612" i="1"/>
  <c r="G612" i="1"/>
  <c r="F612" i="1"/>
  <c r="E612" i="1"/>
  <c r="D612" i="1"/>
  <c r="C612" i="1"/>
  <c r="B612" i="1"/>
  <c r="A612" i="1"/>
  <c r="R611" i="1"/>
  <c r="Q611" i="1"/>
  <c r="N611" i="1"/>
  <c r="J611" i="1"/>
  <c r="I611" i="1"/>
  <c r="H611" i="1"/>
  <c r="G611" i="1"/>
  <c r="F611" i="1"/>
  <c r="E611" i="1"/>
  <c r="D611" i="1"/>
  <c r="C611" i="1"/>
  <c r="B611" i="1"/>
  <c r="A611" i="1"/>
  <c r="R610" i="1"/>
  <c r="Q610" i="1"/>
  <c r="N610" i="1"/>
  <c r="J610" i="1"/>
  <c r="I610" i="1"/>
  <c r="H610" i="1"/>
  <c r="G610" i="1"/>
  <c r="F610" i="1"/>
  <c r="E610" i="1"/>
  <c r="D610" i="1"/>
  <c r="C610" i="1"/>
  <c r="B610" i="1"/>
  <c r="A610" i="1"/>
  <c r="R609" i="1"/>
  <c r="Q609" i="1"/>
  <c r="N609" i="1"/>
  <c r="J609" i="1"/>
  <c r="I609" i="1"/>
  <c r="H609" i="1"/>
  <c r="G609" i="1"/>
  <c r="F609" i="1"/>
  <c r="E609" i="1"/>
  <c r="D609" i="1"/>
  <c r="C609" i="1"/>
  <c r="B609" i="1"/>
  <c r="A609" i="1"/>
  <c r="R608" i="1"/>
  <c r="N608" i="1"/>
  <c r="J608" i="1"/>
  <c r="I608" i="1"/>
  <c r="H608" i="1"/>
  <c r="G608" i="1"/>
  <c r="F608" i="1"/>
  <c r="E608" i="1"/>
  <c r="D608" i="1"/>
  <c r="C608" i="1"/>
  <c r="B608" i="1"/>
  <c r="A608" i="1"/>
  <c r="R607" i="1"/>
  <c r="Q607" i="1"/>
  <c r="N607" i="1"/>
  <c r="J607" i="1"/>
  <c r="I607" i="1"/>
  <c r="H607" i="1"/>
  <c r="G607" i="1"/>
  <c r="F607" i="1"/>
  <c r="E607" i="1"/>
  <c r="D607" i="1"/>
  <c r="C607" i="1"/>
  <c r="B607" i="1"/>
  <c r="A607" i="1"/>
  <c r="R606" i="1"/>
  <c r="Q606" i="1"/>
  <c r="N606" i="1"/>
  <c r="J606" i="1"/>
  <c r="I606" i="1"/>
  <c r="H606" i="1"/>
  <c r="G606" i="1"/>
  <c r="F606" i="1"/>
  <c r="E606" i="1"/>
  <c r="D606" i="1"/>
  <c r="C606" i="1"/>
  <c r="B606" i="1"/>
  <c r="A606" i="1"/>
  <c r="R605" i="1"/>
  <c r="N605" i="1"/>
  <c r="J605" i="1"/>
  <c r="I605" i="1"/>
  <c r="H605" i="1"/>
  <c r="G605" i="1"/>
  <c r="F605" i="1"/>
  <c r="E605" i="1"/>
  <c r="D605" i="1"/>
  <c r="C605" i="1"/>
  <c r="B605" i="1"/>
  <c r="A605" i="1"/>
  <c r="R604" i="1"/>
  <c r="Q604" i="1"/>
  <c r="N604" i="1"/>
  <c r="J604" i="1"/>
  <c r="I604" i="1"/>
  <c r="H604" i="1"/>
  <c r="G604" i="1"/>
  <c r="F604" i="1"/>
  <c r="E604" i="1"/>
  <c r="D604" i="1"/>
  <c r="C604" i="1"/>
  <c r="B604" i="1"/>
  <c r="A604" i="1"/>
  <c r="R603" i="1"/>
  <c r="Q603" i="1"/>
  <c r="N603" i="1"/>
  <c r="J603" i="1"/>
  <c r="I603" i="1"/>
  <c r="H603" i="1"/>
  <c r="G603" i="1"/>
  <c r="F603" i="1"/>
  <c r="E603" i="1"/>
  <c r="D603" i="1"/>
  <c r="C603" i="1"/>
  <c r="B603" i="1"/>
  <c r="A603" i="1"/>
  <c r="R602" i="1"/>
  <c r="N602" i="1"/>
  <c r="J602" i="1"/>
  <c r="I602" i="1"/>
  <c r="H602" i="1"/>
  <c r="G602" i="1"/>
  <c r="F602" i="1"/>
  <c r="E602" i="1"/>
  <c r="D602" i="1"/>
  <c r="C602" i="1"/>
  <c r="B602" i="1"/>
  <c r="A602" i="1"/>
  <c r="R601" i="1"/>
  <c r="Q601" i="1"/>
  <c r="N601" i="1"/>
  <c r="J601" i="1"/>
  <c r="I601" i="1"/>
  <c r="H601" i="1"/>
  <c r="G601" i="1"/>
  <c r="F601" i="1"/>
  <c r="E601" i="1"/>
  <c r="D601" i="1"/>
  <c r="C601" i="1"/>
  <c r="B601" i="1"/>
  <c r="A601" i="1"/>
  <c r="R600" i="1"/>
  <c r="N600" i="1"/>
  <c r="J600" i="1"/>
  <c r="I600" i="1"/>
  <c r="H600" i="1"/>
  <c r="G600" i="1"/>
  <c r="F600" i="1"/>
  <c r="E600" i="1"/>
  <c r="D600" i="1"/>
  <c r="C600" i="1"/>
  <c r="B600" i="1"/>
  <c r="A600" i="1"/>
  <c r="R599" i="1"/>
  <c r="Q599" i="1"/>
  <c r="N599" i="1"/>
  <c r="J599" i="1"/>
  <c r="I599" i="1"/>
  <c r="H599" i="1"/>
  <c r="G599" i="1"/>
  <c r="F599" i="1"/>
  <c r="E599" i="1"/>
  <c r="D599" i="1"/>
  <c r="C599" i="1"/>
  <c r="B599" i="1"/>
  <c r="A599" i="1"/>
  <c r="R598" i="1"/>
  <c r="N598" i="1"/>
  <c r="J598" i="1"/>
  <c r="I598" i="1"/>
  <c r="H598" i="1"/>
  <c r="G598" i="1"/>
  <c r="F598" i="1"/>
  <c r="E598" i="1"/>
  <c r="D598" i="1"/>
  <c r="C598" i="1"/>
  <c r="B598" i="1"/>
  <c r="A598" i="1"/>
  <c r="R597" i="1"/>
  <c r="N597" i="1"/>
  <c r="J597" i="1"/>
  <c r="I597" i="1"/>
  <c r="H597" i="1"/>
  <c r="G597" i="1"/>
  <c r="F597" i="1"/>
  <c r="E597" i="1"/>
  <c r="D597" i="1"/>
  <c r="C597" i="1"/>
  <c r="B597" i="1"/>
  <c r="A597" i="1"/>
  <c r="R596" i="1"/>
  <c r="Q596" i="1"/>
  <c r="N596" i="1"/>
  <c r="J596" i="1"/>
  <c r="I596" i="1"/>
  <c r="H596" i="1"/>
  <c r="G596" i="1"/>
  <c r="F596" i="1"/>
  <c r="E596" i="1"/>
  <c r="D596" i="1"/>
  <c r="C596" i="1"/>
  <c r="B596" i="1"/>
  <c r="A596" i="1"/>
  <c r="R595" i="1"/>
  <c r="N595" i="1"/>
  <c r="J595" i="1"/>
  <c r="I595" i="1"/>
  <c r="H595" i="1"/>
  <c r="G595" i="1"/>
  <c r="F595" i="1"/>
  <c r="E595" i="1"/>
  <c r="D595" i="1"/>
  <c r="C595" i="1"/>
  <c r="B595" i="1"/>
  <c r="A595" i="1"/>
  <c r="R594" i="1"/>
  <c r="Q594" i="1"/>
  <c r="N594" i="1"/>
  <c r="J594" i="1"/>
  <c r="I594" i="1"/>
  <c r="H594" i="1"/>
  <c r="G594" i="1"/>
  <c r="F594" i="1"/>
  <c r="E594" i="1"/>
  <c r="D594" i="1"/>
  <c r="C594" i="1"/>
  <c r="B594" i="1"/>
  <c r="A594" i="1"/>
  <c r="R593" i="1"/>
  <c r="N593" i="1"/>
  <c r="J593" i="1"/>
  <c r="I593" i="1"/>
  <c r="H593" i="1"/>
  <c r="G593" i="1"/>
  <c r="F593" i="1"/>
  <c r="E593" i="1"/>
  <c r="D593" i="1"/>
  <c r="C593" i="1"/>
  <c r="B593" i="1"/>
  <c r="A593" i="1"/>
  <c r="R592" i="1"/>
  <c r="Q592" i="1"/>
  <c r="N592" i="1"/>
  <c r="J592" i="1"/>
  <c r="I592" i="1"/>
  <c r="H592" i="1"/>
  <c r="G592" i="1"/>
  <c r="F592" i="1"/>
  <c r="E592" i="1"/>
  <c r="D592" i="1"/>
  <c r="C592" i="1"/>
  <c r="B592" i="1"/>
  <c r="A592" i="1"/>
  <c r="R591" i="1"/>
  <c r="Q591" i="1"/>
  <c r="N591" i="1"/>
  <c r="J591" i="1"/>
  <c r="I591" i="1"/>
  <c r="H591" i="1"/>
  <c r="G591" i="1"/>
  <c r="F591" i="1"/>
  <c r="E591" i="1"/>
  <c r="D591" i="1"/>
  <c r="C591" i="1"/>
  <c r="B591" i="1"/>
  <c r="A591" i="1"/>
  <c r="R590" i="1"/>
  <c r="Q590" i="1"/>
  <c r="N590" i="1"/>
  <c r="J590" i="1"/>
  <c r="I590" i="1"/>
  <c r="H590" i="1"/>
  <c r="G590" i="1"/>
  <c r="F590" i="1"/>
  <c r="E590" i="1"/>
  <c r="D590" i="1"/>
  <c r="C590" i="1"/>
  <c r="B590" i="1"/>
  <c r="A590" i="1"/>
  <c r="R589" i="1"/>
  <c r="Q589" i="1"/>
  <c r="N589" i="1"/>
  <c r="J589" i="1"/>
  <c r="I589" i="1"/>
  <c r="H589" i="1"/>
  <c r="G589" i="1"/>
  <c r="F589" i="1"/>
  <c r="E589" i="1"/>
  <c r="D589" i="1"/>
  <c r="C589" i="1"/>
  <c r="B589" i="1"/>
  <c r="A589" i="1"/>
  <c r="R588" i="1"/>
  <c r="Q588" i="1"/>
  <c r="N588" i="1"/>
  <c r="J588" i="1"/>
  <c r="I588" i="1"/>
  <c r="H588" i="1"/>
  <c r="G588" i="1"/>
  <c r="F588" i="1"/>
  <c r="E588" i="1"/>
  <c r="D588" i="1"/>
  <c r="C588" i="1"/>
  <c r="B588" i="1"/>
  <c r="A588" i="1"/>
  <c r="R587" i="1"/>
  <c r="N587" i="1"/>
  <c r="J587" i="1"/>
  <c r="I587" i="1"/>
  <c r="H587" i="1"/>
  <c r="G587" i="1"/>
  <c r="F587" i="1"/>
  <c r="E587" i="1"/>
  <c r="D587" i="1"/>
  <c r="C587" i="1"/>
  <c r="B587" i="1"/>
  <c r="A587" i="1"/>
  <c r="R586" i="1"/>
  <c r="Q586" i="1"/>
  <c r="N586" i="1"/>
  <c r="J586" i="1"/>
  <c r="I586" i="1"/>
  <c r="H586" i="1"/>
  <c r="G586" i="1"/>
  <c r="F586" i="1"/>
  <c r="E586" i="1"/>
  <c r="D586" i="1"/>
  <c r="C586" i="1"/>
  <c r="B586" i="1"/>
  <c r="A586" i="1"/>
  <c r="R585" i="1"/>
  <c r="Q585" i="1"/>
  <c r="N585" i="1"/>
  <c r="J585" i="1"/>
  <c r="I585" i="1"/>
  <c r="H585" i="1"/>
  <c r="G585" i="1"/>
  <c r="F585" i="1"/>
  <c r="E585" i="1"/>
  <c r="D585" i="1"/>
  <c r="C585" i="1"/>
  <c r="B585" i="1"/>
  <c r="A585" i="1"/>
  <c r="R584" i="1"/>
  <c r="Q584" i="1"/>
  <c r="N584" i="1"/>
  <c r="J584" i="1"/>
  <c r="I584" i="1"/>
  <c r="H584" i="1"/>
  <c r="G584" i="1"/>
  <c r="F584" i="1"/>
  <c r="E584" i="1"/>
  <c r="D584" i="1"/>
  <c r="C584" i="1"/>
  <c r="B584" i="1"/>
  <c r="A584" i="1"/>
  <c r="R583" i="1"/>
  <c r="Q583" i="1"/>
  <c r="N583" i="1"/>
  <c r="J583" i="1"/>
  <c r="I583" i="1"/>
  <c r="H583" i="1"/>
  <c r="G583" i="1"/>
  <c r="F583" i="1"/>
  <c r="E583" i="1"/>
  <c r="D583" i="1"/>
  <c r="C583" i="1"/>
  <c r="B583" i="1"/>
  <c r="A583" i="1"/>
  <c r="R582" i="1"/>
  <c r="Q582" i="1"/>
  <c r="N582" i="1"/>
  <c r="J582" i="1"/>
  <c r="I582" i="1"/>
  <c r="H582" i="1"/>
  <c r="G582" i="1"/>
  <c r="F582" i="1"/>
  <c r="E582" i="1"/>
  <c r="D582" i="1"/>
  <c r="C582" i="1"/>
  <c r="B582" i="1"/>
  <c r="A582" i="1"/>
  <c r="R581" i="1"/>
  <c r="N581" i="1"/>
  <c r="J581" i="1"/>
  <c r="I581" i="1"/>
  <c r="H581" i="1"/>
  <c r="G581" i="1"/>
  <c r="F581" i="1"/>
  <c r="E581" i="1"/>
  <c r="D581" i="1"/>
  <c r="C581" i="1"/>
  <c r="B581" i="1"/>
  <c r="A581" i="1"/>
  <c r="R580" i="1"/>
  <c r="Q580" i="1"/>
  <c r="N580" i="1"/>
  <c r="J580" i="1"/>
  <c r="I580" i="1"/>
  <c r="H580" i="1"/>
  <c r="G580" i="1"/>
  <c r="F580" i="1"/>
  <c r="E580" i="1"/>
  <c r="D580" i="1"/>
  <c r="C580" i="1"/>
  <c r="B580" i="1"/>
  <c r="A580" i="1"/>
  <c r="R579" i="1"/>
  <c r="N579" i="1"/>
  <c r="J579" i="1"/>
  <c r="I579" i="1"/>
  <c r="H579" i="1"/>
  <c r="G579" i="1"/>
  <c r="F579" i="1"/>
  <c r="E579" i="1"/>
  <c r="D579" i="1"/>
  <c r="C579" i="1"/>
  <c r="B579" i="1"/>
  <c r="A579" i="1"/>
  <c r="R578" i="1"/>
  <c r="Q578" i="1"/>
  <c r="N578" i="1"/>
  <c r="J578" i="1"/>
  <c r="I578" i="1"/>
  <c r="H578" i="1"/>
  <c r="G578" i="1"/>
  <c r="F578" i="1"/>
  <c r="E578" i="1"/>
  <c r="D578" i="1"/>
  <c r="C578" i="1"/>
  <c r="B578" i="1"/>
  <c r="A578" i="1"/>
  <c r="R577" i="1"/>
  <c r="N577" i="1"/>
  <c r="J577" i="1"/>
  <c r="I577" i="1"/>
  <c r="H577" i="1"/>
  <c r="G577" i="1"/>
  <c r="F577" i="1"/>
  <c r="E577" i="1"/>
  <c r="D577" i="1"/>
  <c r="C577" i="1"/>
  <c r="B577" i="1"/>
  <c r="A577" i="1"/>
  <c r="R576" i="1"/>
  <c r="Q576" i="1"/>
  <c r="N576" i="1"/>
  <c r="J576" i="1"/>
  <c r="I576" i="1"/>
  <c r="H576" i="1"/>
  <c r="G576" i="1"/>
  <c r="F576" i="1"/>
  <c r="E576" i="1"/>
  <c r="D576" i="1"/>
  <c r="C576" i="1"/>
  <c r="B576" i="1"/>
  <c r="A576" i="1"/>
  <c r="R575" i="1"/>
  <c r="N575" i="1"/>
  <c r="J575" i="1"/>
  <c r="I575" i="1"/>
  <c r="H575" i="1"/>
  <c r="G575" i="1"/>
  <c r="F575" i="1"/>
  <c r="E575" i="1"/>
  <c r="D575" i="1"/>
  <c r="C575" i="1"/>
  <c r="B575" i="1"/>
  <c r="A575" i="1"/>
  <c r="R574" i="1"/>
  <c r="Q574" i="1"/>
  <c r="N574" i="1"/>
  <c r="J574" i="1"/>
  <c r="I574" i="1"/>
  <c r="H574" i="1"/>
  <c r="G574" i="1"/>
  <c r="F574" i="1"/>
  <c r="E574" i="1"/>
  <c r="D574" i="1"/>
  <c r="C574" i="1"/>
  <c r="B574" i="1"/>
  <c r="A574" i="1"/>
  <c r="R573" i="1"/>
  <c r="N573" i="1"/>
  <c r="J573" i="1"/>
  <c r="I573" i="1"/>
  <c r="H573" i="1"/>
  <c r="G573" i="1"/>
  <c r="F573" i="1"/>
  <c r="E573" i="1"/>
  <c r="D573" i="1"/>
  <c r="C573" i="1"/>
  <c r="B573" i="1"/>
  <c r="A573" i="1"/>
  <c r="R572" i="1"/>
  <c r="N572" i="1"/>
  <c r="J572" i="1"/>
  <c r="I572" i="1"/>
  <c r="H572" i="1"/>
  <c r="G572" i="1"/>
  <c r="F572" i="1"/>
  <c r="E572" i="1"/>
  <c r="D572" i="1"/>
  <c r="C572" i="1"/>
  <c r="B572" i="1"/>
  <c r="A572" i="1"/>
  <c r="R571" i="1"/>
  <c r="Q571" i="1"/>
  <c r="N571" i="1"/>
  <c r="J571" i="1"/>
  <c r="I571" i="1"/>
  <c r="H571" i="1"/>
  <c r="G571" i="1"/>
  <c r="F571" i="1"/>
  <c r="E571" i="1"/>
  <c r="D571" i="1"/>
  <c r="C571" i="1"/>
  <c r="B571" i="1"/>
  <c r="A571" i="1"/>
  <c r="R570" i="1"/>
  <c r="N570" i="1"/>
  <c r="J570" i="1"/>
  <c r="I570" i="1"/>
  <c r="H570" i="1"/>
  <c r="G570" i="1"/>
  <c r="F570" i="1"/>
  <c r="E570" i="1"/>
  <c r="D570" i="1"/>
  <c r="C570" i="1"/>
  <c r="B570" i="1"/>
  <c r="A570" i="1"/>
  <c r="R569" i="1"/>
  <c r="Q569" i="1"/>
  <c r="N569" i="1"/>
  <c r="J569" i="1"/>
  <c r="I569" i="1"/>
  <c r="H569" i="1"/>
  <c r="G569" i="1"/>
  <c r="F569" i="1"/>
  <c r="E569" i="1"/>
  <c r="D569" i="1"/>
  <c r="C569" i="1"/>
  <c r="B569" i="1"/>
  <c r="A569" i="1"/>
  <c r="R568" i="1"/>
  <c r="N568" i="1"/>
  <c r="J568" i="1"/>
  <c r="I568" i="1"/>
  <c r="H568" i="1"/>
  <c r="G568" i="1"/>
  <c r="F568" i="1"/>
  <c r="E568" i="1"/>
  <c r="D568" i="1"/>
  <c r="C568" i="1"/>
  <c r="B568" i="1"/>
  <c r="A568" i="1"/>
  <c r="R567" i="1"/>
  <c r="Q567" i="1"/>
  <c r="N567" i="1"/>
  <c r="J567" i="1"/>
  <c r="I567" i="1"/>
  <c r="H567" i="1"/>
  <c r="G567" i="1"/>
  <c r="F567" i="1"/>
  <c r="E567" i="1"/>
  <c r="D567" i="1"/>
  <c r="C567" i="1"/>
  <c r="B567" i="1"/>
  <c r="A567" i="1"/>
  <c r="R566" i="1"/>
  <c r="N566" i="1"/>
  <c r="J566" i="1"/>
  <c r="I566" i="1"/>
  <c r="H566" i="1"/>
  <c r="G566" i="1"/>
  <c r="F566" i="1"/>
  <c r="E566" i="1"/>
  <c r="D566" i="1"/>
  <c r="C566" i="1"/>
  <c r="B566" i="1"/>
  <c r="A566" i="1"/>
  <c r="R565" i="1"/>
  <c r="Q565" i="1"/>
  <c r="N565" i="1"/>
  <c r="J565" i="1"/>
  <c r="I565" i="1"/>
  <c r="H565" i="1"/>
  <c r="G565" i="1"/>
  <c r="F565" i="1"/>
  <c r="E565" i="1"/>
  <c r="D565" i="1"/>
  <c r="C565" i="1"/>
  <c r="B565" i="1"/>
  <c r="A565" i="1"/>
  <c r="R564" i="1"/>
  <c r="N564" i="1"/>
  <c r="J564" i="1"/>
  <c r="I564" i="1"/>
  <c r="H564" i="1"/>
  <c r="G564" i="1"/>
  <c r="F564" i="1"/>
  <c r="E564" i="1"/>
  <c r="D564" i="1"/>
  <c r="C564" i="1"/>
  <c r="B564" i="1"/>
  <c r="A564" i="1"/>
  <c r="R563" i="1"/>
  <c r="Q563" i="1"/>
  <c r="N563" i="1"/>
  <c r="J563" i="1"/>
  <c r="I563" i="1"/>
  <c r="H563" i="1"/>
  <c r="G563" i="1"/>
  <c r="F563" i="1"/>
  <c r="E563" i="1"/>
  <c r="D563" i="1"/>
  <c r="C563" i="1"/>
  <c r="B563" i="1"/>
  <c r="A563" i="1"/>
  <c r="R562" i="1"/>
  <c r="N562" i="1"/>
  <c r="J562" i="1"/>
  <c r="I562" i="1"/>
  <c r="H562" i="1"/>
  <c r="G562" i="1"/>
  <c r="F562" i="1"/>
  <c r="E562" i="1"/>
  <c r="D562" i="1"/>
  <c r="C562" i="1"/>
  <c r="B562" i="1"/>
  <c r="A562" i="1"/>
  <c r="R561" i="1"/>
  <c r="Q561" i="1"/>
  <c r="N561" i="1"/>
  <c r="J561" i="1"/>
  <c r="I561" i="1"/>
  <c r="H561" i="1"/>
  <c r="G561" i="1"/>
  <c r="F561" i="1"/>
  <c r="E561" i="1"/>
  <c r="D561" i="1"/>
  <c r="C561" i="1"/>
  <c r="B561" i="1"/>
  <c r="A561" i="1"/>
  <c r="R560" i="1"/>
  <c r="N560" i="1"/>
  <c r="J560" i="1"/>
  <c r="I560" i="1"/>
  <c r="H560" i="1"/>
  <c r="G560" i="1"/>
  <c r="F560" i="1"/>
  <c r="E560" i="1"/>
  <c r="D560" i="1"/>
  <c r="C560" i="1"/>
  <c r="B560" i="1"/>
  <c r="A560" i="1"/>
  <c r="R559" i="1"/>
  <c r="N559" i="1"/>
  <c r="J559" i="1"/>
  <c r="I559" i="1"/>
  <c r="H559" i="1"/>
  <c r="G559" i="1"/>
  <c r="F559" i="1"/>
  <c r="E559" i="1"/>
  <c r="D559" i="1"/>
  <c r="C559" i="1"/>
  <c r="B559" i="1"/>
  <c r="A559" i="1"/>
  <c r="R558" i="1"/>
  <c r="N558" i="1"/>
  <c r="J558" i="1"/>
  <c r="I558" i="1"/>
  <c r="H558" i="1"/>
  <c r="G558" i="1"/>
  <c r="F558" i="1"/>
  <c r="E558" i="1"/>
  <c r="D558" i="1"/>
  <c r="C558" i="1"/>
  <c r="B558" i="1"/>
  <c r="A558" i="1"/>
  <c r="R557" i="1"/>
  <c r="N557" i="1"/>
  <c r="J557" i="1"/>
  <c r="I557" i="1"/>
  <c r="H557" i="1"/>
  <c r="G557" i="1"/>
  <c r="F557" i="1"/>
  <c r="E557" i="1"/>
  <c r="D557" i="1"/>
  <c r="C557" i="1"/>
  <c r="B557" i="1"/>
  <c r="A557" i="1"/>
  <c r="R556" i="1"/>
  <c r="N556" i="1"/>
  <c r="J556" i="1"/>
  <c r="I556" i="1"/>
  <c r="H556" i="1"/>
  <c r="G556" i="1"/>
  <c r="F556" i="1"/>
  <c r="E556" i="1"/>
  <c r="D556" i="1"/>
  <c r="C556" i="1"/>
  <c r="B556" i="1"/>
  <c r="A556" i="1"/>
  <c r="R555" i="1"/>
  <c r="N555" i="1"/>
  <c r="J555" i="1"/>
  <c r="I555" i="1"/>
  <c r="H555" i="1"/>
  <c r="G555" i="1"/>
  <c r="F555" i="1"/>
  <c r="E555" i="1"/>
  <c r="D555" i="1"/>
  <c r="C555" i="1"/>
  <c r="B555" i="1"/>
  <c r="A555" i="1"/>
  <c r="R554" i="1"/>
  <c r="N554" i="1"/>
  <c r="J554" i="1"/>
  <c r="I554" i="1"/>
  <c r="H554" i="1"/>
  <c r="G554" i="1"/>
  <c r="F554" i="1"/>
  <c r="E554" i="1"/>
  <c r="D554" i="1"/>
  <c r="C554" i="1"/>
  <c r="B554" i="1"/>
  <c r="A554" i="1"/>
  <c r="R553" i="1"/>
  <c r="N553" i="1"/>
  <c r="J553" i="1"/>
  <c r="I553" i="1"/>
  <c r="H553" i="1"/>
  <c r="G553" i="1"/>
  <c r="F553" i="1"/>
  <c r="E553" i="1"/>
  <c r="D553" i="1"/>
  <c r="C553" i="1"/>
  <c r="B553" i="1"/>
  <c r="A553" i="1"/>
  <c r="R552" i="1"/>
  <c r="N552" i="1"/>
  <c r="J552" i="1"/>
  <c r="I552" i="1"/>
  <c r="H552" i="1"/>
  <c r="G552" i="1"/>
  <c r="F552" i="1"/>
  <c r="E552" i="1"/>
  <c r="D552" i="1"/>
  <c r="C552" i="1"/>
  <c r="B552" i="1"/>
  <c r="A552" i="1"/>
  <c r="R551" i="1"/>
  <c r="N551" i="1"/>
  <c r="J551" i="1"/>
  <c r="I551" i="1"/>
  <c r="H551" i="1"/>
  <c r="G551" i="1"/>
  <c r="F551" i="1"/>
  <c r="E551" i="1"/>
  <c r="D551" i="1"/>
  <c r="C551" i="1"/>
  <c r="B551" i="1"/>
  <c r="A551" i="1"/>
  <c r="R550" i="1"/>
  <c r="N550" i="1"/>
  <c r="J550" i="1"/>
  <c r="I550" i="1"/>
  <c r="H550" i="1"/>
  <c r="G550" i="1"/>
  <c r="F550" i="1"/>
  <c r="E550" i="1"/>
  <c r="D550" i="1"/>
  <c r="C550" i="1"/>
  <c r="B550" i="1"/>
  <c r="A550" i="1"/>
  <c r="R549" i="1"/>
  <c r="N549" i="1"/>
  <c r="J549" i="1"/>
  <c r="I549" i="1"/>
  <c r="H549" i="1"/>
  <c r="G549" i="1"/>
  <c r="F549" i="1"/>
  <c r="E549" i="1"/>
  <c r="D549" i="1"/>
  <c r="C549" i="1"/>
  <c r="B549" i="1"/>
  <c r="A549" i="1"/>
  <c r="R548" i="1"/>
  <c r="N548" i="1"/>
  <c r="J548" i="1"/>
  <c r="I548" i="1"/>
  <c r="H548" i="1"/>
  <c r="G548" i="1"/>
  <c r="F548" i="1"/>
  <c r="E548" i="1"/>
  <c r="D548" i="1"/>
  <c r="C548" i="1"/>
  <c r="B548" i="1"/>
  <c r="A548" i="1"/>
  <c r="R547" i="1"/>
  <c r="N547" i="1"/>
  <c r="J547" i="1"/>
  <c r="I547" i="1"/>
  <c r="H547" i="1"/>
  <c r="G547" i="1"/>
  <c r="F547" i="1"/>
  <c r="E547" i="1"/>
  <c r="D547" i="1"/>
  <c r="C547" i="1"/>
  <c r="B547" i="1"/>
  <c r="A547" i="1"/>
  <c r="R546" i="1"/>
  <c r="N546" i="1"/>
  <c r="J546" i="1"/>
  <c r="I546" i="1"/>
  <c r="H546" i="1"/>
  <c r="G546" i="1"/>
  <c r="F546" i="1"/>
  <c r="E546" i="1"/>
  <c r="D546" i="1"/>
  <c r="C546" i="1"/>
  <c r="B546" i="1"/>
  <c r="A546" i="1"/>
  <c r="R545" i="1"/>
  <c r="N545" i="1"/>
  <c r="J545" i="1"/>
  <c r="I545" i="1"/>
  <c r="H545" i="1"/>
  <c r="G545" i="1"/>
  <c r="F545" i="1"/>
  <c r="E545" i="1"/>
  <c r="D545" i="1"/>
  <c r="C545" i="1"/>
  <c r="B545" i="1"/>
  <c r="A545" i="1"/>
  <c r="R544" i="1"/>
  <c r="N544" i="1"/>
  <c r="J544" i="1"/>
  <c r="I544" i="1"/>
  <c r="H544" i="1"/>
  <c r="G544" i="1"/>
  <c r="F544" i="1"/>
  <c r="E544" i="1"/>
  <c r="D544" i="1"/>
  <c r="C544" i="1"/>
  <c r="B544" i="1"/>
  <c r="A544" i="1"/>
  <c r="R543" i="1"/>
  <c r="N543" i="1"/>
  <c r="J543" i="1"/>
  <c r="I543" i="1"/>
  <c r="H543" i="1"/>
  <c r="G543" i="1"/>
  <c r="F543" i="1"/>
  <c r="E543" i="1"/>
  <c r="D543" i="1"/>
  <c r="C543" i="1"/>
  <c r="B543" i="1"/>
  <c r="A543" i="1"/>
  <c r="R542" i="1"/>
  <c r="N542" i="1"/>
  <c r="J542" i="1"/>
  <c r="I542" i="1"/>
  <c r="H542" i="1"/>
  <c r="G542" i="1"/>
  <c r="F542" i="1"/>
  <c r="E542" i="1"/>
  <c r="D542" i="1"/>
  <c r="C542" i="1"/>
  <c r="B542" i="1"/>
  <c r="A542" i="1"/>
  <c r="R541" i="1"/>
  <c r="N541" i="1"/>
  <c r="J541" i="1"/>
  <c r="I541" i="1"/>
  <c r="H541" i="1"/>
  <c r="G541" i="1"/>
  <c r="F541" i="1"/>
  <c r="E541" i="1"/>
  <c r="D541" i="1"/>
  <c r="C541" i="1"/>
  <c r="B541" i="1"/>
  <c r="A541" i="1"/>
  <c r="R540" i="1"/>
  <c r="N540" i="1"/>
  <c r="J540" i="1"/>
  <c r="I540" i="1"/>
  <c r="H540" i="1"/>
  <c r="G540" i="1"/>
  <c r="F540" i="1"/>
  <c r="E540" i="1"/>
  <c r="D540" i="1"/>
  <c r="C540" i="1"/>
  <c r="B540" i="1"/>
  <c r="A540" i="1"/>
  <c r="R539" i="1"/>
  <c r="N539" i="1"/>
  <c r="J539" i="1"/>
  <c r="I539" i="1"/>
  <c r="H539" i="1"/>
  <c r="G539" i="1"/>
  <c r="F539" i="1"/>
  <c r="E539" i="1"/>
  <c r="D539" i="1"/>
  <c r="C539" i="1"/>
  <c r="B539" i="1"/>
  <c r="A539" i="1"/>
  <c r="R538" i="1"/>
  <c r="N538" i="1"/>
  <c r="J538" i="1"/>
  <c r="I538" i="1"/>
  <c r="H538" i="1"/>
  <c r="G538" i="1"/>
  <c r="F538" i="1"/>
  <c r="E538" i="1"/>
  <c r="D538" i="1"/>
  <c r="C538" i="1"/>
  <c r="B538" i="1"/>
  <c r="A538" i="1"/>
  <c r="R537" i="1"/>
  <c r="N537" i="1"/>
  <c r="J537" i="1"/>
  <c r="I537" i="1"/>
  <c r="H537" i="1"/>
  <c r="G537" i="1"/>
  <c r="F537" i="1"/>
  <c r="E537" i="1"/>
  <c r="D537" i="1"/>
  <c r="C537" i="1"/>
  <c r="B537" i="1"/>
  <c r="A537" i="1"/>
  <c r="R536" i="1"/>
  <c r="N536" i="1"/>
  <c r="J536" i="1"/>
  <c r="I536" i="1"/>
  <c r="H536" i="1"/>
  <c r="G536" i="1"/>
  <c r="F536" i="1"/>
  <c r="E536" i="1"/>
  <c r="D536" i="1"/>
  <c r="C536" i="1"/>
  <c r="B536" i="1"/>
  <c r="A536" i="1"/>
  <c r="R535" i="1"/>
  <c r="N535" i="1"/>
  <c r="J535" i="1"/>
  <c r="I535" i="1"/>
  <c r="H535" i="1"/>
  <c r="G535" i="1"/>
  <c r="F535" i="1"/>
  <c r="E535" i="1"/>
  <c r="D535" i="1"/>
  <c r="C535" i="1"/>
  <c r="B535" i="1"/>
  <c r="A535" i="1"/>
  <c r="R534" i="1"/>
  <c r="N534" i="1"/>
  <c r="J534" i="1"/>
  <c r="I534" i="1"/>
  <c r="H534" i="1"/>
  <c r="G534" i="1"/>
  <c r="F534" i="1"/>
  <c r="E534" i="1"/>
  <c r="D534" i="1"/>
  <c r="C534" i="1"/>
  <c r="B534" i="1"/>
  <c r="A534" i="1"/>
  <c r="R533" i="1"/>
  <c r="N533" i="1"/>
  <c r="J533" i="1"/>
  <c r="I533" i="1"/>
  <c r="H533" i="1"/>
  <c r="G533" i="1"/>
  <c r="F533" i="1"/>
  <c r="E533" i="1"/>
  <c r="D533" i="1"/>
  <c r="C533" i="1"/>
  <c r="B533" i="1"/>
  <c r="A533" i="1"/>
  <c r="R532" i="1"/>
  <c r="N532" i="1"/>
  <c r="J532" i="1"/>
  <c r="I532" i="1"/>
  <c r="H532" i="1"/>
  <c r="G532" i="1"/>
  <c r="F532" i="1"/>
  <c r="E532" i="1"/>
  <c r="D532" i="1"/>
  <c r="C532" i="1"/>
  <c r="B532" i="1"/>
  <c r="A532" i="1"/>
  <c r="R531" i="1"/>
  <c r="N531" i="1"/>
  <c r="J531" i="1"/>
  <c r="I531" i="1"/>
  <c r="H531" i="1"/>
  <c r="G531" i="1"/>
  <c r="F531" i="1"/>
  <c r="E531" i="1"/>
  <c r="D531" i="1"/>
  <c r="C531" i="1"/>
  <c r="B531" i="1"/>
  <c r="A531" i="1"/>
  <c r="R530" i="1"/>
  <c r="N530" i="1"/>
  <c r="J530" i="1"/>
  <c r="I530" i="1"/>
  <c r="H530" i="1"/>
  <c r="G530" i="1"/>
  <c r="F530" i="1"/>
  <c r="E530" i="1"/>
  <c r="D530" i="1"/>
  <c r="C530" i="1"/>
  <c r="B530" i="1"/>
  <c r="A530" i="1"/>
  <c r="R529" i="1"/>
  <c r="Q529" i="1"/>
  <c r="N529" i="1"/>
  <c r="J529" i="1"/>
  <c r="I529" i="1"/>
  <c r="H529" i="1"/>
  <c r="G529" i="1"/>
  <c r="F529" i="1"/>
  <c r="E529" i="1"/>
  <c r="D529" i="1"/>
  <c r="C529" i="1"/>
  <c r="B529" i="1"/>
  <c r="A529" i="1"/>
  <c r="R528" i="1"/>
  <c r="N528" i="1"/>
  <c r="J528" i="1"/>
  <c r="I528" i="1"/>
  <c r="H528" i="1"/>
  <c r="G528" i="1"/>
  <c r="F528" i="1"/>
  <c r="E528" i="1"/>
  <c r="D528" i="1"/>
  <c r="C528" i="1"/>
  <c r="B528" i="1"/>
  <c r="A528" i="1"/>
  <c r="R527" i="1"/>
  <c r="Q527" i="1"/>
  <c r="N527" i="1"/>
  <c r="J527" i="1"/>
  <c r="I527" i="1"/>
  <c r="H527" i="1"/>
  <c r="G527" i="1"/>
  <c r="F527" i="1"/>
  <c r="E527" i="1"/>
  <c r="D527" i="1"/>
  <c r="C527" i="1"/>
  <c r="B527" i="1"/>
  <c r="A527" i="1"/>
  <c r="R526" i="1"/>
  <c r="N526" i="1"/>
  <c r="J526" i="1"/>
  <c r="I526" i="1"/>
  <c r="H526" i="1"/>
  <c r="G526" i="1"/>
  <c r="F526" i="1"/>
  <c r="E526" i="1"/>
  <c r="D526" i="1"/>
  <c r="C526" i="1"/>
  <c r="B526" i="1"/>
  <c r="A526" i="1"/>
  <c r="R525" i="1"/>
  <c r="Q525" i="1"/>
  <c r="N525" i="1"/>
  <c r="J525" i="1"/>
  <c r="I525" i="1"/>
  <c r="H525" i="1"/>
  <c r="G525" i="1"/>
  <c r="F525" i="1"/>
  <c r="E525" i="1"/>
  <c r="D525" i="1"/>
  <c r="C525" i="1"/>
  <c r="B525" i="1"/>
  <c r="A525" i="1"/>
  <c r="R524" i="1"/>
  <c r="Q524" i="1"/>
  <c r="N524" i="1"/>
  <c r="J524" i="1"/>
  <c r="I524" i="1"/>
  <c r="H524" i="1"/>
  <c r="G524" i="1"/>
  <c r="F524" i="1"/>
  <c r="E524" i="1"/>
  <c r="D524" i="1"/>
  <c r="C524" i="1"/>
  <c r="B524" i="1"/>
  <c r="A524" i="1"/>
  <c r="R523" i="1"/>
  <c r="Q523" i="1"/>
  <c r="N523" i="1"/>
  <c r="J523" i="1"/>
  <c r="I523" i="1"/>
  <c r="H523" i="1"/>
  <c r="G523" i="1"/>
  <c r="F523" i="1"/>
  <c r="E523" i="1"/>
  <c r="D523" i="1"/>
  <c r="C523" i="1"/>
  <c r="B523" i="1"/>
  <c r="A523" i="1"/>
  <c r="R522" i="1"/>
  <c r="Q522" i="1"/>
  <c r="N522" i="1"/>
  <c r="J522" i="1"/>
  <c r="I522" i="1"/>
  <c r="H522" i="1"/>
  <c r="G522" i="1"/>
  <c r="F522" i="1"/>
  <c r="E522" i="1"/>
  <c r="D522" i="1"/>
  <c r="C522" i="1"/>
  <c r="B522" i="1"/>
  <c r="A522" i="1"/>
  <c r="R521" i="1"/>
  <c r="Q521" i="1"/>
  <c r="N521" i="1"/>
  <c r="J521" i="1"/>
  <c r="I521" i="1"/>
  <c r="H521" i="1"/>
  <c r="G521" i="1"/>
  <c r="F521" i="1"/>
  <c r="E521" i="1"/>
  <c r="D521" i="1"/>
  <c r="C521" i="1"/>
  <c r="B521" i="1"/>
  <c r="A521" i="1"/>
  <c r="R520" i="1"/>
  <c r="N520" i="1"/>
  <c r="J520" i="1"/>
  <c r="I520" i="1"/>
  <c r="H520" i="1"/>
  <c r="G520" i="1"/>
  <c r="F520" i="1"/>
  <c r="E520" i="1"/>
  <c r="D520" i="1"/>
  <c r="C520" i="1"/>
  <c r="B520" i="1"/>
  <c r="A520" i="1"/>
  <c r="R519" i="1"/>
  <c r="Q519" i="1"/>
  <c r="N519" i="1"/>
  <c r="J519" i="1"/>
  <c r="I519" i="1"/>
  <c r="H519" i="1"/>
  <c r="G519" i="1"/>
  <c r="F519" i="1"/>
  <c r="E519" i="1"/>
  <c r="D519" i="1"/>
  <c r="C519" i="1"/>
  <c r="B519" i="1"/>
  <c r="A519" i="1"/>
  <c r="R518" i="1"/>
  <c r="Q518" i="1"/>
  <c r="N518" i="1"/>
  <c r="J518" i="1"/>
  <c r="I518" i="1"/>
  <c r="H518" i="1"/>
  <c r="G518" i="1"/>
  <c r="F518" i="1"/>
  <c r="E518" i="1"/>
  <c r="D518" i="1"/>
  <c r="C518" i="1"/>
  <c r="B518" i="1"/>
  <c r="A518" i="1"/>
  <c r="R517" i="1"/>
  <c r="Q517" i="1"/>
  <c r="N517" i="1"/>
  <c r="J517" i="1"/>
  <c r="I517" i="1"/>
  <c r="H517" i="1"/>
  <c r="G517" i="1"/>
  <c r="F517" i="1"/>
  <c r="E517" i="1"/>
  <c r="D517" i="1"/>
  <c r="C517" i="1"/>
  <c r="B517" i="1"/>
  <c r="A517" i="1"/>
  <c r="R516" i="1"/>
  <c r="N516" i="1"/>
  <c r="J516" i="1"/>
  <c r="I516" i="1"/>
  <c r="H516" i="1"/>
  <c r="G516" i="1"/>
  <c r="F516" i="1"/>
  <c r="E516" i="1"/>
  <c r="D516" i="1"/>
  <c r="C516" i="1"/>
  <c r="B516" i="1"/>
  <c r="A516" i="1"/>
  <c r="R515" i="1"/>
  <c r="Q515" i="1"/>
  <c r="N515" i="1"/>
  <c r="J515" i="1"/>
  <c r="I515" i="1"/>
  <c r="H515" i="1"/>
  <c r="G515" i="1"/>
  <c r="F515" i="1"/>
  <c r="E515" i="1"/>
  <c r="D515" i="1"/>
  <c r="C515" i="1"/>
  <c r="B515" i="1"/>
  <c r="A515" i="1"/>
  <c r="R514" i="1"/>
  <c r="Q514" i="1"/>
  <c r="N514" i="1"/>
  <c r="J514" i="1"/>
  <c r="I514" i="1"/>
  <c r="H514" i="1"/>
  <c r="G514" i="1"/>
  <c r="F514" i="1"/>
  <c r="E514" i="1"/>
  <c r="D514" i="1"/>
  <c r="C514" i="1"/>
  <c r="B514" i="1"/>
  <c r="A514" i="1"/>
  <c r="R513" i="1"/>
  <c r="Q513" i="1"/>
  <c r="N513" i="1"/>
  <c r="J513" i="1"/>
  <c r="I513" i="1"/>
  <c r="H513" i="1"/>
  <c r="G513" i="1"/>
  <c r="F513" i="1"/>
  <c r="E513" i="1"/>
  <c r="D513" i="1"/>
  <c r="C513" i="1"/>
  <c r="B513" i="1"/>
  <c r="A513" i="1"/>
  <c r="R512" i="1"/>
  <c r="N512" i="1"/>
  <c r="J512" i="1"/>
  <c r="I512" i="1"/>
  <c r="H512" i="1"/>
  <c r="G512" i="1"/>
  <c r="F512" i="1"/>
  <c r="E512" i="1"/>
  <c r="D512" i="1"/>
  <c r="C512" i="1"/>
  <c r="B512" i="1"/>
  <c r="A512" i="1"/>
  <c r="R511" i="1"/>
  <c r="Q511" i="1"/>
  <c r="N511" i="1"/>
  <c r="J511" i="1"/>
  <c r="I511" i="1"/>
  <c r="H511" i="1"/>
  <c r="G511" i="1"/>
  <c r="F511" i="1"/>
  <c r="E511" i="1"/>
  <c r="D511" i="1"/>
  <c r="C511" i="1"/>
  <c r="B511" i="1"/>
  <c r="A511" i="1"/>
  <c r="R510" i="1"/>
  <c r="N510" i="1"/>
  <c r="J510" i="1"/>
  <c r="I510" i="1"/>
  <c r="H510" i="1"/>
  <c r="G510" i="1"/>
  <c r="F510" i="1"/>
  <c r="E510" i="1"/>
  <c r="D510" i="1"/>
  <c r="C510" i="1"/>
  <c r="B510" i="1"/>
  <c r="A510" i="1"/>
  <c r="R509" i="1"/>
  <c r="Q509" i="1"/>
  <c r="N509" i="1"/>
  <c r="J509" i="1"/>
  <c r="I509" i="1"/>
  <c r="H509" i="1"/>
  <c r="G509" i="1"/>
  <c r="F509" i="1"/>
  <c r="E509" i="1"/>
  <c r="D509" i="1"/>
  <c r="C509" i="1"/>
  <c r="B509" i="1"/>
  <c r="A509" i="1"/>
  <c r="R508" i="1"/>
  <c r="N508" i="1"/>
  <c r="J508" i="1"/>
  <c r="I508" i="1"/>
  <c r="H508" i="1"/>
  <c r="G508" i="1"/>
  <c r="F508" i="1"/>
  <c r="E508" i="1"/>
  <c r="D508" i="1"/>
  <c r="C508" i="1"/>
  <c r="B508" i="1"/>
  <c r="A508" i="1"/>
  <c r="R507" i="1"/>
  <c r="Q507" i="1"/>
  <c r="N507" i="1"/>
  <c r="J507" i="1"/>
  <c r="I507" i="1"/>
  <c r="H507" i="1"/>
  <c r="G507" i="1"/>
  <c r="F507" i="1"/>
  <c r="E507" i="1"/>
  <c r="D507" i="1"/>
  <c r="C507" i="1"/>
  <c r="B507" i="1"/>
  <c r="A507" i="1"/>
  <c r="R506" i="1"/>
  <c r="Q506" i="1"/>
  <c r="N506" i="1"/>
  <c r="J506" i="1"/>
  <c r="I506" i="1"/>
  <c r="H506" i="1"/>
  <c r="G506" i="1"/>
  <c r="F506" i="1"/>
  <c r="E506" i="1"/>
  <c r="D506" i="1"/>
  <c r="C506" i="1"/>
  <c r="B506" i="1"/>
  <c r="A506" i="1"/>
  <c r="R505" i="1"/>
  <c r="Q505" i="1"/>
  <c r="N505" i="1"/>
  <c r="J505" i="1"/>
  <c r="I505" i="1"/>
  <c r="H505" i="1"/>
  <c r="G505" i="1"/>
  <c r="F505" i="1"/>
  <c r="E505" i="1"/>
  <c r="D505" i="1"/>
  <c r="C505" i="1"/>
  <c r="B505" i="1"/>
  <c r="A505" i="1"/>
  <c r="R504" i="1"/>
  <c r="Q504" i="1"/>
  <c r="N504" i="1"/>
  <c r="J504" i="1"/>
  <c r="I504" i="1"/>
  <c r="H504" i="1"/>
  <c r="G504" i="1"/>
  <c r="F504" i="1"/>
  <c r="E504" i="1"/>
  <c r="D504" i="1"/>
  <c r="C504" i="1"/>
  <c r="B504" i="1"/>
  <c r="A504" i="1"/>
  <c r="R503" i="1"/>
  <c r="N503" i="1"/>
  <c r="J503" i="1"/>
  <c r="I503" i="1"/>
  <c r="H503" i="1"/>
  <c r="G503" i="1"/>
  <c r="F503" i="1"/>
  <c r="E503" i="1"/>
  <c r="D503" i="1"/>
  <c r="C503" i="1"/>
  <c r="B503" i="1"/>
  <c r="A503" i="1"/>
  <c r="R502" i="1"/>
  <c r="Q502" i="1"/>
  <c r="N502" i="1"/>
  <c r="J502" i="1"/>
  <c r="I502" i="1"/>
  <c r="H502" i="1"/>
  <c r="G502" i="1"/>
  <c r="F502" i="1"/>
  <c r="E502" i="1"/>
  <c r="D502" i="1"/>
  <c r="C502" i="1"/>
  <c r="B502" i="1"/>
  <c r="A502" i="1"/>
  <c r="R501" i="1"/>
  <c r="Q501" i="1"/>
  <c r="N501" i="1"/>
  <c r="J501" i="1"/>
  <c r="I501" i="1"/>
  <c r="H501" i="1"/>
  <c r="G501" i="1"/>
  <c r="F501" i="1"/>
  <c r="E501" i="1"/>
  <c r="D501" i="1"/>
  <c r="C501" i="1"/>
  <c r="B501" i="1"/>
  <c r="A501" i="1"/>
  <c r="R500" i="1"/>
  <c r="N500" i="1"/>
  <c r="J500" i="1"/>
  <c r="I500" i="1"/>
  <c r="H500" i="1"/>
  <c r="G500" i="1"/>
  <c r="F500" i="1"/>
  <c r="E500" i="1"/>
  <c r="D500" i="1"/>
  <c r="C500" i="1"/>
  <c r="B500" i="1"/>
  <c r="A500" i="1"/>
  <c r="R499" i="1"/>
  <c r="Q499" i="1"/>
  <c r="N499" i="1"/>
  <c r="J499" i="1"/>
  <c r="I499" i="1"/>
  <c r="H499" i="1"/>
  <c r="G499" i="1"/>
  <c r="F499" i="1"/>
  <c r="E499" i="1"/>
  <c r="D499" i="1"/>
  <c r="C499" i="1"/>
  <c r="B499" i="1"/>
  <c r="A499" i="1"/>
  <c r="R498" i="1"/>
  <c r="Q498" i="1"/>
  <c r="N498" i="1"/>
  <c r="J498" i="1"/>
  <c r="I498" i="1"/>
  <c r="H498" i="1"/>
  <c r="G498" i="1"/>
  <c r="F498" i="1"/>
  <c r="E498" i="1"/>
  <c r="D498" i="1"/>
  <c r="C498" i="1"/>
  <c r="B498" i="1"/>
  <c r="A498" i="1"/>
  <c r="R497" i="1"/>
  <c r="Q497" i="1"/>
  <c r="N497" i="1"/>
  <c r="J497" i="1"/>
  <c r="I497" i="1"/>
  <c r="H497" i="1"/>
  <c r="G497" i="1"/>
  <c r="F497" i="1"/>
  <c r="E497" i="1"/>
  <c r="D497" i="1"/>
  <c r="C497" i="1"/>
  <c r="B497" i="1"/>
  <c r="A497" i="1"/>
  <c r="R496" i="1"/>
  <c r="Q496" i="1"/>
  <c r="N496" i="1"/>
  <c r="J496" i="1"/>
  <c r="I496" i="1"/>
  <c r="H496" i="1"/>
  <c r="G496" i="1"/>
  <c r="F496" i="1"/>
  <c r="E496" i="1"/>
  <c r="D496" i="1"/>
  <c r="C496" i="1"/>
  <c r="B496" i="1"/>
  <c r="A496" i="1"/>
  <c r="R495" i="1"/>
  <c r="Q495" i="1"/>
  <c r="N495" i="1"/>
  <c r="J495" i="1"/>
  <c r="I495" i="1"/>
  <c r="H495" i="1"/>
  <c r="G495" i="1"/>
  <c r="F495" i="1"/>
  <c r="E495" i="1"/>
  <c r="D495" i="1"/>
  <c r="C495" i="1"/>
  <c r="B495" i="1"/>
  <c r="A495" i="1"/>
  <c r="R494" i="1"/>
  <c r="Q494" i="1"/>
  <c r="N494" i="1"/>
  <c r="J494" i="1"/>
  <c r="I494" i="1"/>
  <c r="H494" i="1"/>
  <c r="G494" i="1"/>
  <c r="F494" i="1"/>
  <c r="E494" i="1"/>
  <c r="D494" i="1"/>
  <c r="C494" i="1"/>
  <c r="B494" i="1"/>
  <c r="A494" i="1"/>
  <c r="R493" i="1"/>
  <c r="N493" i="1"/>
  <c r="J493" i="1"/>
  <c r="I493" i="1"/>
  <c r="H493" i="1"/>
  <c r="G493" i="1"/>
  <c r="F493" i="1"/>
  <c r="E493" i="1"/>
  <c r="D493" i="1"/>
  <c r="C493" i="1"/>
  <c r="B493" i="1"/>
  <c r="A493" i="1"/>
  <c r="R492" i="1"/>
  <c r="Q492" i="1"/>
  <c r="N492" i="1"/>
  <c r="J492" i="1"/>
  <c r="I492" i="1"/>
  <c r="H492" i="1"/>
  <c r="G492" i="1"/>
  <c r="F492" i="1"/>
  <c r="E492" i="1"/>
  <c r="D492" i="1"/>
  <c r="C492" i="1"/>
  <c r="B492" i="1"/>
  <c r="A492" i="1"/>
  <c r="R491" i="1"/>
  <c r="Q491" i="1"/>
  <c r="N491" i="1"/>
  <c r="J491" i="1"/>
  <c r="I491" i="1"/>
  <c r="H491" i="1"/>
  <c r="G491" i="1"/>
  <c r="F491" i="1"/>
  <c r="E491" i="1"/>
  <c r="D491" i="1"/>
  <c r="C491" i="1"/>
  <c r="B491" i="1"/>
  <c r="A491" i="1"/>
  <c r="R490" i="1"/>
  <c r="Q490" i="1"/>
  <c r="N490" i="1"/>
  <c r="J490" i="1"/>
  <c r="I490" i="1"/>
  <c r="H490" i="1"/>
  <c r="G490" i="1"/>
  <c r="F490" i="1"/>
  <c r="E490" i="1"/>
  <c r="D490" i="1"/>
  <c r="C490" i="1"/>
  <c r="B490" i="1"/>
  <c r="A490" i="1"/>
  <c r="R489" i="1"/>
  <c r="N489" i="1"/>
  <c r="J489" i="1"/>
  <c r="I489" i="1"/>
  <c r="H489" i="1"/>
  <c r="G489" i="1"/>
  <c r="F489" i="1"/>
  <c r="E489" i="1"/>
  <c r="D489" i="1"/>
  <c r="C489" i="1"/>
  <c r="B489" i="1"/>
  <c r="A489" i="1"/>
  <c r="R488" i="1"/>
  <c r="Q488" i="1"/>
  <c r="N488" i="1"/>
  <c r="J488" i="1"/>
  <c r="I488" i="1"/>
  <c r="H488" i="1"/>
  <c r="G488" i="1"/>
  <c r="F488" i="1"/>
  <c r="E488" i="1"/>
  <c r="D488" i="1"/>
  <c r="C488" i="1"/>
  <c r="B488" i="1"/>
  <c r="A488" i="1"/>
  <c r="R487" i="1"/>
  <c r="N487" i="1"/>
  <c r="J487" i="1"/>
  <c r="I487" i="1"/>
  <c r="H487" i="1"/>
  <c r="G487" i="1"/>
  <c r="F487" i="1"/>
  <c r="E487" i="1"/>
  <c r="D487" i="1"/>
  <c r="C487" i="1"/>
  <c r="B487" i="1"/>
  <c r="A487" i="1"/>
  <c r="R486" i="1"/>
  <c r="Q486" i="1"/>
  <c r="N486" i="1"/>
  <c r="J486" i="1"/>
  <c r="I486" i="1"/>
  <c r="H486" i="1"/>
  <c r="G486" i="1"/>
  <c r="F486" i="1"/>
  <c r="E486" i="1"/>
  <c r="D486" i="1"/>
  <c r="C486" i="1"/>
  <c r="B486" i="1"/>
  <c r="A486" i="1"/>
  <c r="R485" i="1"/>
  <c r="N485" i="1"/>
  <c r="J485" i="1"/>
  <c r="I485" i="1"/>
  <c r="H485" i="1"/>
  <c r="G485" i="1"/>
  <c r="F485" i="1"/>
  <c r="E485" i="1"/>
  <c r="D485" i="1"/>
  <c r="C485" i="1"/>
  <c r="B485" i="1"/>
  <c r="A485" i="1"/>
  <c r="R484" i="1"/>
  <c r="Q484" i="1"/>
  <c r="N484" i="1"/>
  <c r="J484" i="1"/>
  <c r="I484" i="1"/>
  <c r="H484" i="1"/>
  <c r="G484" i="1"/>
  <c r="F484" i="1"/>
  <c r="E484" i="1"/>
  <c r="D484" i="1"/>
  <c r="C484" i="1"/>
  <c r="B484" i="1"/>
  <c r="A484" i="1"/>
  <c r="R483" i="1"/>
  <c r="N483" i="1"/>
  <c r="J483" i="1"/>
  <c r="I483" i="1"/>
  <c r="H483" i="1"/>
  <c r="G483" i="1"/>
  <c r="F483" i="1"/>
  <c r="E483" i="1"/>
  <c r="D483" i="1"/>
  <c r="C483" i="1"/>
  <c r="B483" i="1"/>
  <c r="A483" i="1"/>
  <c r="R482" i="1"/>
  <c r="Q482" i="1"/>
  <c r="N482" i="1"/>
  <c r="J482" i="1"/>
  <c r="I482" i="1"/>
  <c r="H482" i="1"/>
  <c r="G482" i="1"/>
  <c r="F482" i="1"/>
  <c r="E482" i="1"/>
  <c r="D482" i="1"/>
  <c r="C482" i="1"/>
  <c r="B482" i="1"/>
  <c r="A482" i="1"/>
  <c r="R481" i="1"/>
  <c r="Q481" i="1"/>
  <c r="N481" i="1"/>
  <c r="J481" i="1"/>
  <c r="I481" i="1"/>
  <c r="H481" i="1"/>
  <c r="G481" i="1"/>
  <c r="F481" i="1"/>
  <c r="E481" i="1"/>
  <c r="D481" i="1"/>
  <c r="C481" i="1"/>
  <c r="B481" i="1"/>
  <c r="A481" i="1"/>
  <c r="R480" i="1"/>
  <c r="N480" i="1"/>
  <c r="J480" i="1"/>
  <c r="I480" i="1"/>
  <c r="H480" i="1"/>
  <c r="G480" i="1"/>
  <c r="F480" i="1"/>
  <c r="E480" i="1"/>
  <c r="D480" i="1"/>
  <c r="C480" i="1"/>
  <c r="B480" i="1"/>
  <c r="A480" i="1"/>
  <c r="R479" i="1"/>
  <c r="Q479" i="1"/>
  <c r="N479" i="1"/>
  <c r="J479" i="1"/>
  <c r="I479" i="1"/>
  <c r="H479" i="1"/>
  <c r="G479" i="1"/>
  <c r="F479" i="1"/>
  <c r="E479" i="1"/>
  <c r="D479" i="1"/>
  <c r="C479" i="1"/>
  <c r="B479" i="1"/>
  <c r="A479" i="1"/>
  <c r="R478" i="1"/>
  <c r="N478" i="1"/>
  <c r="J478" i="1"/>
  <c r="I478" i="1"/>
  <c r="H478" i="1"/>
  <c r="G478" i="1"/>
  <c r="F478" i="1"/>
  <c r="E478" i="1"/>
  <c r="D478" i="1"/>
  <c r="C478" i="1"/>
  <c r="B478" i="1"/>
  <c r="A478" i="1"/>
  <c r="R477" i="1"/>
  <c r="Q477" i="1"/>
  <c r="N477" i="1"/>
  <c r="J477" i="1"/>
  <c r="I477" i="1"/>
  <c r="H477" i="1"/>
  <c r="G477" i="1"/>
  <c r="F477" i="1"/>
  <c r="E477" i="1"/>
  <c r="D477" i="1"/>
  <c r="C477" i="1"/>
  <c r="B477" i="1"/>
  <c r="A477" i="1"/>
  <c r="R476" i="1"/>
  <c r="N476" i="1"/>
  <c r="J476" i="1"/>
  <c r="I476" i="1"/>
  <c r="H476" i="1"/>
  <c r="G476" i="1"/>
  <c r="F476" i="1"/>
  <c r="E476" i="1"/>
  <c r="D476" i="1"/>
  <c r="C476" i="1"/>
  <c r="B476" i="1"/>
  <c r="A476" i="1"/>
  <c r="R475" i="1"/>
  <c r="Q475" i="1"/>
  <c r="N475" i="1"/>
  <c r="J475" i="1"/>
  <c r="I475" i="1"/>
  <c r="H475" i="1"/>
  <c r="G475" i="1"/>
  <c r="F475" i="1"/>
  <c r="E475" i="1"/>
  <c r="D475" i="1"/>
  <c r="C475" i="1"/>
  <c r="B475" i="1"/>
  <c r="A475" i="1"/>
  <c r="R474" i="1"/>
  <c r="Q474" i="1"/>
  <c r="N474" i="1"/>
  <c r="J474" i="1"/>
  <c r="I474" i="1"/>
  <c r="H474" i="1"/>
  <c r="G474" i="1"/>
  <c r="F474" i="1"/>
  <c r="E474" i="1"/>
  <c r="D474" i="1"/>
  <c r="C474" i="1"/>
  <c r="B474" i="1"/>
  <c r="A474" i="1"/>
  <c r="R473" i="1"/>
  <c r="N473" i="1"/>
  <c r="J473" i="1"/>
  <c r="I473" i="1"/>
  <c r="H473" i="1"/>
  <c r="G473" i="1"/>
  <c r="F473" i="1"/>
  <c r="E473" i="1"/>
  <c r="D473" i="1"/>
  <c r="C473" i="1"/>
  <c r="B473" i="1"/>
  <c r="A473" i="1"/>
  <c r="R472" i="1"/>
  <c r="Q472" i="1"/>
  <c r="N472" i="1"/>
  <c r="J472" i="1"/>
  <c r="I472" i="1"/>
  <c r="H472" i="1"/>
  <c r="G472" i="1"/>
  <c r="F472" i="1"/>
  <c r="E472" i="1"/>
  <c r="D472" i="1"/>
  <c r="C472" i="1"/>
  <c r="B472" i="1"/>
  <c r="A472" i="1"/>
  <c r="R471" i="1"/>
  <c r="Q471" i="1"/>
  <c r="N471" i="1"/>
  <c r="J471" i="1"/>
  <c r="I471" i="1"/>
  <c r="H471" i="1"/>
  <c r="G471" i="1"/>
  <c r="F471" i="1"/>
  <c r="E471" i="1"/>
  <c r="D471" i="1"/>
  <c r="C471" i="1"/>
  <c r="B471" i="1"/>
  <c r="A471" i="1"/>
  <c r="R470" i="1"/>
  <c r="Q470" i="1"/>
  <c r="N470" i="1"/>
  <c r="J470" i="1"/>
  <c r="I470" i="1"/>
  <c r="H470" i="1"/>
  <c r="G470" i="1"/>
  <c r="F470" i="1"/>
  <c r="E470" i="1"/>
  <c r="D470" i="1"/>
  <c r="C470" i="1"/>
  <c r="B470" i="1"/>
  <c r="A470" i="1"/>
  <c r="R469" i="1"/>
  <c r="Q469" i="1"/>
  <c r="N469" i="1"/>
  <c r="J469" i="1"/>
  <c r="I469" i="1"/>
  <c r="H469" i="1"/>
  <c r="G469" i="1"/>
  <c r="F469" i="1"/>
  <c r="E469" i="1"/>
  <c r="D469" i="1"/>
  <c r="C469" i="1"/>
  <c r="B469" i="1"/>
  <c r="A469" i="1"/>
  <c r="R468" i="1"/>
  <c r="N468" i="1"/>
  <c r="J468" i="1"/>
  <c r="I468" i="1"/>
  <c r="H468" i="1"/>
  <c r="G468" i="1"/>
  <c r="F468" i="1"/>
  <c r="E468" i="1"/>
  <c r="D468" i="1"/>
  <c r="C468" i="1"/>
  <c r="B468" i="1"/>
  <c r="A468" i="1"/>
  <c r="R467" i="1"/>
  <c r="Q467" i="1"/>
  <c r="N467" i="1"/>
  <c r="J467" i="1"/>
  <c r="I467" i="1"/>
  <c r="H467" i="1"/>
  <c r="G467" i="1"/>
  <c r="F467" i="1"/>
  <c r="E467" i="1"/>
  <c r="D467" i="1"/>
  <c r="C467" i="1"/>
  <c r="B467" i="1"/>
  <c r="A467" i="1"/>
  <c r="R466" i="1"/>
  <c r="N466" i="1"/>
  <c r="J466" i="1"/>
  <c r="I466" i="1"/>
  <c r="H466" i="1"/>
  <c r="G466" i="1"/>
  <c r="F466" i="1"/>
  <c r="E466" i="1"/>
  <c r="D466" i="1"/>
  <c r="C466" i="1"/>
  <c r="B466" i="1"/>
  <c r="A466" i="1"/>
  <c r="R465" i="1"/>
  <c r="Q465" i="1"/>
  <c r="N465" i="1"/>
  <c r="J465" i="1"/>
  <c r="I465" i="1"/>
  <c r="H465" i="1"/>
  <c r="G465" i="1"/>
  <c r="F465" i="1"/>
  <c r="E465" i="1"/>
  <c r="D465" i="1"/>
  <c r="C465" i="1"/>
  <c r="B465" i="1"/>
  <c r="A465" i="1"/>
  <c r="R464" i="1"/>
  <c r="Q464" i="1"/>
  <c r="N464" i="1"/>
  <c r="J464" i="1"/>
  <c r="I464" i="1"/>
  <c r="H464" i="1"/>
  <c r="G464" i="1"/>
  <c r="F464" i="1"/>
  <c r="E464" i="1"/>
  <c r="D464" i="1"/>
  <c r="C464" i="1"/>
  <c r="B464" i="1"/>
  <c r="A464" i="1"/>
  <c r="R463" i="1"/>
  <c r="N463" i="1"/>
  <c r="J463" i="1"/>
  <c r="I463" i="1"/>
  <c r="H463" i="1"/>
  <c r="G463" i="1"/>
  <c r="F463" i="1"/>
  <c r="E463" i="1"/>
  <c r="D463" i="1"/>
  <c r="C463" i="1"/>
  <c r="B463" i="1"/>
  <c r="A463" i="1"/>
  <c r="R462" i="1"/>
  <c r="Q462" i="1"/>
  <c r="N462" i="1"/>
  <c r="J462" i="1"/>
  <c r="I462" i="1"/>
  <c r="H462" i="1"/>
  <c r="G462" i="1"/>
  <c r="F462" i="1"/>
  <c r="E462" i="1"/>
  <c r="D462" i="1"/>
  <c r="C462" i="1"/>
  <c r="B462" i="1"/>
  <c r="A462" i="1"/>
  <c r="R461" i="1"/>
  <c r="N461" i="1"/>
  <c r="J461" i="1"/>
  <c r="I461" i="1"/>
  <c r="H461" i="1"/>
  <c r="G461" i="1"/>
  <c r="F461" i="1"/>
  <c r="E461" i="1"/>
  <c r="D461" i="1"/>
  <c r="C461" i="1"/>
  <c r="B461" i="1"/>
  <c r="A461" i="1"/>
  <c r="R460" i="1"/>
  <c r="Q460" i="1"/>
  <c r="N460" i="1"/>
  <c r="J460" i="1"/>
  <c r="I460" i="1"/>
  <c r="H460" i="1"/>
  <c r="G460" i="1"/>
  <c r="F460" i="1"/>
  <c r="E460" i="1"/>
  <c r="D460" i="1"/>
  <c r="C460" i="1"/>
  <c r="B460" i="1"/>
  <c r="A460" i="1"/>
  <c r="R459" i="1"/>
  <c r="N459" i="1"/>
  <c r="J459" i="1"/>
  <c r="I459" i="1"/>
  <c r="H459" i="1"/>
  <c r="G459" i="1"/>
  <c r="F459" i="1"/>
  <c r="E459" i="1"/>
  <c r="D459" i="1"/>
  <c r="C459" i="1"/>
  <c r="B459" i="1"/>
  <c r="A459" i="1"/>
  <c r="R458" i="1"/>
  <c r="Q458" i="1"/>
  <c r="N458" i="1"/>
  <c r="J458" i="1"/>
  <c r="I458" i="1"/>
  <c r="H458" i="1"/>
  <c r="G458" i="1"/>
  <c r="F458" i="1"/>
  <c r="E458" i="1"/>
  <c r="D458" i="1"/>
  <c r="C458" i="1"/>
  <c r="B458" i="1"/>
  <c r="A458" i="1"/>
  <c r="R457" i="1"/>
  <c r="N457" i="1"/>
  <c r="J457" i="1"/>
  <c r="I457" i="1"/>
  <c r="H457" i="1"/>
  <c r="G457" i="1"/>
  <c r="F457" i="1"/>
  <c r="E457" i="1"/>
  <c r="D457" i="1"/>
  <c r="C457" i="1"/>
  <c r="B457" i="1"/>
  <c r="A457" i="1"/>
  <c r="R456" i="1"/>
  <c r="Q456" i="1"/>
  <c r="N456" i="1"/>
  <c r="J456" i="1"/>
  <c r="I456" i="1"/>
  <c r="H456" i="1"/>
  <c r="G456" i="1"/>
  <c r="F456" i="1"/>
  <c r="E456" i="1"/>
  <c r="D456" i="1"/>
  <c r="C456" i="1"/>
  <c r="B456" i="1"/>
  <c r="A456" i="1"/>
  <c r="R455" i="1"/>
  <c r="N455" i="1"/>
  <c r="J455" i="1"/>
  <c r="I455" i="1"/>
  <c r="H455" i="1"/>
  <c r="G455" i="1"/>
  <c r="F455" i="1"/>
  <c r="E455" i="1"/>
  <c r="D455" i="1"/>
  <c r="C455" i="1"/>
  <c r="B455" i="1"/>
  <c r="A455" i="1"/>
  <c r="R454" i="1"/>
  <c r="Q454" i="1"/>
  <c r="N454" i="1"/>
  <c r="J454" i="1"/>
  <c r="I454" i="1"/>
  <c r="H454" i="1"/>
  <c r="G454" i="1"/>
  <c r="F454" i="1"/>
  <c r="E454" i="1"/>
  <c r="D454" i="1"/>
  <c r="C454" i="1"/>
  <c r="B454" i="1"/>
  <c r="A454" i="1"/>
  <c r="R453" i="1"/>
  <c r="N453" i="1"/>
  <c r="J453" i="1"/>
  <c r="I453" i="1"/>
  <c r="H453" i="1"/>
  <c r="G453" i="1"/>
  <c r="F453" i="1"/>
  <c r="E453" i="1"/>
  <c r="D453" i="1"/>
  <c r="C453" i="1"/>
  <c r="B453" i="1"/>
  <c r="A453" i="1"/>
  <c r="R452" i="1"/>
  <c r="Q452" i="1"/>
  <c r="N452" i="1"/>
  <c r="J452" i="1"/>
  <c r="I452" i="1"/>
  <c r="H452" i="1"/>
  <c r="G452" i="1"/>
  <c r="F452" i="1"/>
  <c r="E452" i="1"/>
  <c r="D452" i="1"/>
  <c r="C452" i="1"/>
  <c r="B452" i="1"/>
  <c r="A452" i="1"/>
  <c r="R451" i="1"/>
  <c r="N451" i="1"/>
  <c r="J451" i="1"/>
  <c r="I451" i="1"/>
  <c r="H451" i="1"/>
  <c r="G451" i="1"/>
  <c r="F451" i="1"/>
  <c r="E451" i="1"/>
  <c r="D451" i="1"/>
  <c r="C451" i="1"/>
  <c r="B451" i="1"/>
  <c r="A451" i="1"/>
  <c r="R450" i="1"/>
  <c r="Q450" i="1"/>
  <c r="N450" i="1"/>
  <c r="J450" i="1"/>
  <c r="I450" i="1"/>
  <c r="H450" i="1"/>
  <c r="G450" i="1"/>
  <c r="F450" i="1"/>
  <c r="E450" i="1"/>
  <c r="D450" i="1"/>
  <c r="C450" i="1"/>
  <c r="B450" i="1"/>
  <c r="A450" i="1"/>
  <c r="R449" i="1"/>
  <c r="N449" i="1"/>
  <c r="J449" i="1"/>
  <c r="I449" i="1"/>
  <c r="H449" i="1"/>
  <c r="G449" i="1"/>
  <c r="F449" i="1"/>
  <c r="E449" i="1"/>
  <c r="D449" i="1"/>
  <c r="C449" i="1"/>
  <c r="B449" i="1"/>
  <c r="A449" i="1"/>
  <c r="R448" i="1"/>
  <c r="Q448" i="1"/>
  <c r="N448" i="1"/>
  <c r="J448" i="1"/>
  <c r="I448" i="1"/>
  <c r="H448" i="1"/>
  <c r="G448" i="1"/>
  <c r="F448" i="1"/>
  <c r="E448" i="1"/>
  <c r="D448" i="1"/>
  <c r="C448" i="1"/>
  <c r="B448" i="1"/>
  <c r="A448" i="1"/>
  <c r="R447" i="1"/>
  <c r="N447" i="1"/>
  <c r="J447" i="1"/>
  <c r="I447" i="1"/>
  <c r="H447" i="1"/>
  <c r="G447" i="1"/>
  <c r="F447" i="1"/>
  <c r="E447" i="1"/>
  <c r="D447" i="1"/>
  <c r="C447" i="1"/>
  <c r="B447" i="1"/>
  <c r="A447" i="1"/>
  <c r="R446" i="1"/>
  <c r="Q446" i="1"/>
  <c r="N446" i="1"/>
  <c r="J446" i="1"/>
  <c r="I446" i="1"/>
  <c r="H446" i="1"/>
  <c r="G446" i="1"/>
  <c r="F446" i="1"/>
  <c r="E446" i="1"/>
  <c r="D446" i="1"/>
  <c r="C446" i="1"/>
  <c r="B446" i="1"/>
  <c r="A446" i="1"/>
  <c r="R445" i="1"/>
  <c r="N445" i="1"/>
  <c r="J445" i="1"/>
  <c r="I445" i="1"/>
  <c r="H445" i="1"/>
  <c r="G445" i="1"/>
  <c r="F445" i="1"/>
  <c r="E445" i="1"/>
  <c r="D445" i="1"/>
  <c r="C445" i="1"/>
  <c r="B445" i="1"/>
  <c r="A445" i="1"/>
  <c r="R444" i="1"/>
  <c r="Q444" i="1"/>
  <c r="N444" i="1"/>
  <c r="J444" i="1"/>
  <c r="I444" i="1"/>
  <c r="H444" i="1"/>
  <c r="G444" i="1"/>
  <c r="F444" i="1"/>
  <c r="E444" i="1"/>
  <c r="D444" i="1"/>
  <c r="C444" i="1"/>
  <c r="B444" i="1"/>
  <c r="A444" i="1"/>
  <c r="R443" i="1"/>
  <c r="N443" i="1"/>
  <c r="J443" i="1"/>
  <c r="I443" i="1"/>
  <c r="H443" i="1"/>
  <c r="G443" i="1"/>
  <c r="F443" i="1"/>
  <c r="E443" i="1"/>
  <c r="D443" i="1"/>
  <c r="C443" i="1"/>
  <c r="B443" i="1"/>
  <c r="A443" i="1"/>
  <c r="R442" i="1"/>
  <c r="Q442" i="1"/>
  <c r="N442" i="1"/>
  <c r="J442" i="1"/>
  <c r="I442" i="1"/>
  <c r="H442" i="1"/>
  <c r="G442" i="1"/>
  <c r="F442" i="1"/>
  <c r="E442" i="1"/>
  <c r="D442" i="1"/>
  <c r="C442" i="1"/>
  <c r="B442" i="1"/>
  <c r="A442" i="1"/>
  <c r="R441" i="1"/>
  <c r="Q441" i="1"/>
  <c r="N441" i="1"/>
  <c r="J441" i="1"/>
  <c r="I441" i="1"/>
  <c r="H441" i="1"/>
  <c r="G441" i="1"/>
  <c r="F441" i="1"/>
  <c r="E441" i="1"/>
  <c r="D441" i="1"/>
  <c r="C441" i="1"/>
  <c r="B441" i="1"/>
  <c r="A441" i="1"/>
  <c r="R440" i="1"/>
  <c r="N440" i="1"/>
  <c r="J440" i="1"/>
  <c r="I440" i="1"/>
  <c r="H440" i="1"/>
  <c r="G440" i="1"/>
  <c r="F440" i="1"/>
  <c r="E440" i="1"/>
  <c r="D440" i="1"/>
  <c r="C440" i="1"/>
  <c r="B440" i="1"/>
  <c r="A440" i="1"/>
  <c r="R439" i="1"/>
  <c r="Q439" i="1"/>
  <c r="N439" i="1"/>
  <c r="J439" i="1"/>
  <c r="I439" i="1"/>
  <c r="H439" i="1"/>
  <c r="G439" i="1"/>
  <c r="F439" i="1"/>
  <c r="E439" i="1"/>
  <c r="D439" i="1"/>
  <c r="C439" i="1"/>
  <c r="B439" i="1"/>
  <c r="A439" i="1"/>
  <c r="R438" i="1"/>
  <c r="N438" i="1"/>
  <c r="J438" i="1"/>
  <c r="I438" i="1"/>
  <c r="H438" i="1"/>
  <c r="G438" i="1"/>
  <c r="F438" i="1"/>
  <c r="E438" i="1"/>
  <c r="D438" i="1"/>
  <c r="C438" i="1"/>
  <c r="B438" i="1"/>
  <c r="A438" i="1"/>
  <c r="R437" i="1"/>
  <c r="Q437" i="1"/>
  <c r="N437" i="1"/>
  <c r="J437" i="1"/>
  <c r="I437" i="1"/>
  <c r="H437" i="1"/>
  <c r="G437" i="1"/>
  <c r="F437" i="1"/>
  <c r="E437" i="1"/>
  <c r="D437" i="1"/>
  <c r="C437" i="1"/>
  <c r="B437" i="1"/>
  <c r="A437" i="1"/>
  <c r="R436" i="1"/>
  <c r="N436" i="1"/>
  <c r="J436" i="1"/>
  <c r="I436" i="1"/>
  <c r="H436" i="1"/>
  <c r="G436" i="1"/>
  <c r="F436" i="1"/>
  <c r="E436" i="1"/>
  <c r="D436" i="1"/>
  <c r="C436" i="1"/>
  <c r="B436" i="1"/>
  <c r="A436" i="1"/>
  <c r="R435" i="1"/>
  <c r="Q435" i="1"/>
  <c r="N435" i="1"/>
  <c r="J435" i="1"/>
  <c r="I435" i="1"/>
  <c r="H435" i="1"/>
  <c r="G435" i="1"/>
  <c r="F435" i="1"/>
  <c r="E435" i="1"/>
  <c r="D435" i="1"/>
  <c r="C435" i="1"/>
  <c r="B435" i="1"/>
  <c r="A435" i="1"/>
  <c r="R434" i="1"/>
  <c r="N434" i="1"/>
  <c r="J434" i="1"/>
  <c r="I434" i="1"/>
  <c r="H434" i="1"/>
  <c r="G434" i="1"/>
  <c r="F434" i="1"/>
  <c r="E434" i="1"/>
  <c r="D434" i="1"/>
  <c r="C434" i="1"/>
  <c r="B434" i="1"/>
  <c r="A434" i="1"/>
  <c r="R433" i="1"/>
  <c r="Q433" i="1"/>
  <c r="N433" i="1"/>
  <c r="J433" i="1"/>
  <c r="I433" i="1"/>
  <c r="H433" i="1"/>
  <c r="G433" i="1"/>
  <c r="F433" i="1"/>
  <c r="E433" i="1"/>
  <c r="D433" i="1"/>
  <c r="C433" i="1"/>
  <c r="B433" i="1"/>
  <c r="A433" i="1"/>
  <c r="R432" i="1"/>
  <c r="N432" i="1"/>
  <c r="J432" i="1"/>
  <c r="I432" i="1"/>
  <c r="H432" i="1"/>
  <c r="G432" i="1"/>
  <c r="F432" i="1"/>
  <c r="E432" i="1"/>
  <c r="D432" i="1"/>
  <c r="C432" i="1"/>
  <c r="B432" i="1"/>
  <c r="A432" i="1"/>
  <c r="R431" i="1"/>
  <c r="Q431" i="1"/>
  <c r="N431" i="1"/>
  <c r="J431" i="1"/>
  <c r="I431" i="1"/>
  <c r="H431" i="1"/>
  <c r="G431" i="1"/>
  <c r="F431" i="1"/>
  <c r="E431" i="1"/>
  <c r="D431" i="1"/>
  <c r="C431" i="1"/>
  <c r="B431" i="1"/>
  <c r="A431" i="1"/>
  <c r="R430" i="1"/>
  <c r="N430" i="1"/>
  <c r="J430" i="1"/>
  <c r="I430" i="1"/>
  <c r="H430" i="1"/>
  <c r="G430" i="1"/>
  <c r="F430" i="1"/>
  <c r="E430" i="1"/>
  <c r="D430" i="1"/>
  <c r="C430" i="1"/>
  <c r="B430" i="1"/>
  <c r="A430" i="1"/>
  <c r="R429" i="1"/>
  <c r="Q429" i="1"/>
  <c r="N429" i="1"/>
  <c r="J429" i="1"/>
  <c r="I429" i="1"/>
  <c r="H429" i="1"/>
  <c r="G429" i="1"/>
  <c r="F429" i="1"/>
  <c r="E429" i="1"/>
  <c r="D429" i="1"/>
  <c r="C429" i="1"/>
  <c r="B429" i="1"/>
  <c r="A429" i="1"/>
  <c r="R428" i="1"/>
  <c r="N428" i="1"/>
  <c r="J428" i="1"/>
  <c r="I428" i="1"/>
  <c r="H428" i="1"/>
  <c r="G428" i="1"/>
  <c r="F428" i="1"/>
  <c r="E428" i="1"/>
  <c r="D428" i="1"/>
  <c r="C428" i="1"/>
  <c r="B428" i="1"/>
  <c r="A428" i="1"/>
  <c r="R427" i="1"/>
  <c r="Q427" i="1"/>
  <c r="N427" i="1"/>
  <c r="J427" i="1"/>
  <c r="I427" i="1"/>
  <c r="H427" i="1"/>
  <c r="G427" i="1"/>
  <c r="F427" i="1"/>
  <c r="E427" i="1"/>
  <c r="D427" i="1"/>
  <c r="C427" i="1"/>
  <c r="B427" i="1"/>
  <c r="A427" i="1"/>
  <c r="R426" i="1"/>
  <c r="N426" i="1"/>
  <c r="J426" i="1"/>
  <c r="I426" i="1"/>
  <c r="H426" i="1"/>
  <c r="G426" i="1"/>
  <c r="F426" i="1"/>
  <c r="E426" i="1"/>
  <c r="D426" i="1"/>
  <c r="C426" i="1"/>
  <c r="B426" i="1"/>
  <c r="A426" i="1"/>
  <c r="R425" i="1"/>
  <c r="Q425" i="1"/>
  <c r="N425" i="1"/>
  <c r="J425" i="1"/>
  <c r="I425" i="1"/>
  <c r="H425" i="1"/>
  <c r="G425" i="1"/>
  <c r="F425" i="1"/>
  <c r="E425" i="1"/>
  <c r="D425" i="1"/>
  <c r="C425" i="1"/>
  <c r="B425" i="1"/>
  <c r="A425" i="1"/>
  <c r="R424" i="1"/>
  <c r="N424" i="1"/>
  <c r="J424" i="1"/>
  <c r="I424" i="1"/>
  <c r="H424" i="1"/>
  <c r="G424" i="1"/>
  <c r="F424" i="1"/>
  <c r="E424" i="1"/>
  <c r="D424" i="1"/>
  <c r="C424" i="1"/>
  <c r="B424" i="1"/>
  <c r="A424" i="1"/>
  <c r="R423" i="1"/>
  <c r="Q423" i="1"/>
  <c r="N423" i="1"/>
  <c r="J423" i="1"/>
  <c r="I423" i="1"/>
  <c r="H423" i="1"/>
  <c r="G423" i="1"/>
  <c r="F423" i="1"/>
  <c r="E423" i="1"/>
  <c r="D423" i="1"/>
  <c r="C423" i="1"/>
  <c r="B423" i="1"/>
  <c r="A423" i="1"/>
  <c r="R422" i="1"/>
  <c r="N422" i="1"/>
  <c r="J422" i="1"/>
  <c r="I422" i="1"/>
  <c r="H422" i="1"/>
  <c r="G422" i="1"/>
  <c r="F422" i="1"/>
  <c r="E422" i="1"/>
  <c r="D422" i="1"/>
  <c r="C422" i="1"/>
  <c r="B422" i="1"/>
  <c r="A422" i="1"/>
  <c r="R421" i="1"/>
  <c r="Q421" i="1"/>
  <c r="N421" i="1"/>
  <c r="J421" i="1"/>
  <c r="I421" i="1"/>
  <c r="H421" i="1"/>
  <c r="G421" i="1"/>
  <c r="F421" i="1"/>
  <c r="E421" i="1"/>
  <c r="D421" i="1"/>
  <c r="C421" i="1"/>
  <c r="B421" i="1"/>
  <c r="A421" i="1"/>
  <c r="R420" i="1"/>
  <c r="N420" i="1"/>
  <c r="J420" i="1"/>
  <c r="I420" i="1"/>
  <c r="H420" i="1"/>
  <c r="G420" i="1"/>
  <c r="F420" i="1"/>
  <c r="E420" i="1"/>
  <c r="D420" i="1"/>
  <c r="C420" i="1"/>
  <c r="B420" i="1"/>
  <c r="A420" i="1"/>
  <c r="R419" i="1"/>
  <c r="Q419" i="1"/>
  <c r="N419" i="1"/>
  <c r="J419" i="1"/>
  <c r="I419" i="1"/>
  <c r="H419" i="1"/>
  <c r="G419" i="1"/>
  <c r="F419" i="1"/>
  <c r="E419" i="1"/>
  <c r="D419" i="1"/>
  <c r="C419" i="1"/>
  <c r="B419" i="1"/>
  <c r="A419" i="1"/>
  <c r="R418" i="1"/>
  <c r="Q418" i="1"/>
  <c r="N418" i="1"/>
  <c r="J418" i="1"/>
  <c r="I418" i="1"/>
  <c r="H418" i="1"/>
  <c r="G418" i="1"/>
  <c r="F418" i="1"/>
  <c r="E418" i="1"/>
  <c r="D418" i="1"/>
  <c r="C418" i="1"/>
  <c r="B418" i="1"/>
  <c r="A418" i="1"/>
  <c r="R417" i="1"/>
  <c r="Q417" i="1"/>
  <c r="N417" i="1"/>
  <c r="J417" i="1"/>
  <c r="I417" i="1"/>
  <c r="H417" i="1"/>
  <c r="G417" i="1"/>
  <c r="F417" i="1"/>
  <c r="E417" i="1"/>
  <c r="D417" i="1"/>
  <c r="C417" i="1"/>
  <c r="B417" i="1"/>
  <c r="A417" i="1"/>
  <c r="R416" i="1"/>
  <c r="Q416" i="1"/>
  <c r="N416" i="1"/>
  <c r="J416" i="1"/>
  <c r="I416" i="1"/>
  <c r="H416" i="1"/>
  <c r="G416" i="1"/>
  <c r="F416" i="1"/>
  <c r="E416" i="1"/>
  <c r="D416" i="1"/>
  <c r="C416" i="1"/>
  <c r="B416" i="1"/>
  <c r="A416" i="1"/>
  <c r="R415" i="1"/>
  <c r="Q415" i="1"/>
  <c r="N415" i="1"/>
  <c r="J415" i="1"/>
  <c r="I415" i="1"/>
  <c r="H415" i="1"/>
  <c r="G415" i="1"/>
  <c r="F415" i="1"/>
  <c r="E415" i="1"/>
  <c r="D415" i="1"/>
  <c r="C415" i="1"/>
  <c r="B415" i="1"/>
  <c r="A415" i="1"/>
  <c r="R414" i="1"/>
  <c r="Q414" i="1"/>
  <c r="N414" i="1"/>
  <c r="J414" i="1"/>
  <c r="I414" i="1"/>
  <c r="H414" i="1"/>
  <c r="G414" i="1"/>
  <c r="F414" i="1"/>
  <c r="E414" i="1"/>
  <c r="D414" i="1"/>
  <c r="C414" i="1"/>
  <c r="B414" i="1"/>
  <c r="A414" i="1"/>
  <c r="R413" i="1"/>
  <c r="Q413" i="1"/>
  <c r="N413" i="1"/>
  <c r="J413" i="1"/>
  <c r="I413" i="1"/>
  <c r="H413" i="1"/>
  <c r="G413" i="1"/>
  <c r="F413" i="1"/>
  <c r="E413" i="1"/>
  <c r="D413" i="1"/>
  <c r="C413" i="1"/>
  <c r="B413" i="1"/>
  <c r="A413" i="1"/>
  <c r="R412" i="1"/>
  <c r="Q412" i="1"/>
  <c r="N412" i="1"/>
  <c r="J412" i="1"/>
  <c r="I412" i="1"/>
  <c r="H412" i="1"/>
  <c r="G412" i="1"/>
  <c r="F412" i="1"/>
  <c r="E412" i="1"/>
  <c r="D412" i="1"/>
  <c r="C412" i="1"/>
  <c r="B412" i="1"/>
  <c r="A412" i="1"/>
  <c r="R411" i="1"/>
  <c r="Q411" i="1"/>
  <c r="N411" i="1"/>
  <c r="J411" i="1"/>
  <c r="I411" i="1"/>
  <c r="H411" i="1"/>
  <c r="G411" i="1"/>
  <c r="F411" i="1"/>
  <c r="E411" i="1"/>
  <c r="D411" i="1"/>
  <c r="C411" i="1"/>
  <c r="B411" i="1"/>
  <c r="A411" i="1"/>
  <c r="R410" i="1"/>
  <c r="Q410" i="1"/>
  <c r="N410" i="1"/>
  <c r="J410" i="1"/>
  <c r="I410" i="1"/>
  <c r="H410" i="1"/>
  <c r="G410" i="1"/>
  <c r="F410" i="1"/>
  <c r="E410" i="1"/>
  <c r="D410" i="1"/>
  <c r="C410" i="1"/>
  <c r="B410" i="1"/>
  <c r="A410" i="1"/>
  <c r="R409" i="1"/>
  <c r="N409" i="1"/>
  <c r="J409" i="1"/>
  <c r="I409" i="1"/>
  <c r="H409" i="1"/>
  <c r="G409" i="1"/>
  <c r="F409" i="1"/>
  <c r="E409" i="1"/>
  <c r="D409" i="1"/>
  <c r="C409" i="1"/>
  <c r="B409" i="1"/>
  <c r="A409" i="1"/>
  <c r="R408" i="1"/>
  <c r="Q408" i="1"/>
  <c r="N408" i="1"/>
  <c r="J408" i="1"/>
  <c r="I408" i="1"/>
  <c r="H408" i="1"/>
  <c r="G408" i="1"/>
  <c r="F408" i="1"/>
  <c r="E408" i="1"/>
  <c r="D408" i="1"/>
  <c r="C408" i="1"/>
  <c r="B408" i="1"/>
  <c r="A408" i="1"/>
  <c r="R407" i="1"/>
  <c r="Q407" i="1"/>
  <c r="N407" i="1"/>
  <c r="J407" i="1"/>
  <c r="I407" i="1"/>
  <c r="H407" i="1"/>
  <c r="G407" i="1"/>
  <c r="F407" i="1"/>
  <c r="E407" i="1"/>
  <c r="D407" i="1"/>
  <c r="C407" i="1"/>
  <c r="B407" i="1"/>
  <c r="A407" i="1"/>
  <c r="R406" i="1"/>
  <c r="Q406" i="1"/>
  <c r="N406" i="1"/>
  <c r="J406" i="1"/>
  <c r="I406" i="1"/>
  <c r="H406" i="1"/>
  <c r="G406" i="1"/>
  <c r="F406" i="1"/>
  <c r="E406" i="1"/>
  <c r="D406" i="1"/>
  <c r="C406" i="1"/>
  <c r="B406" i="1"/>
  <c r="A406" i="1"/>
  <c r="R405" i="1"/>
  <c r="Q405" i="1"/>
  <c r="N405" i="1"/>
  <c r="J405" i="1"/>
  <c r="I405" i="1"/>
  <c r="H405" i="1"/>
  <c r="G405" i="1"/>
  <c r="F405" i="1"/>
  <c r="E405" i="1"/>
  <c r="D405" i="1"/>
  <c r="C405" i="1"/>
  <c r="B405" i="1"/>
  <c r="A405" i="1"/>
  <c r="R404" i="1"/>
  <c r="Q404" i="1"/>
  <c r="N404" i="1"/>
  <c r="J404" i="1"/>
  <c r="I404" i="1"/>
  <c r="H404" i="1"/>
  <c r="G404" i="1"/>
  <c r="F404" i="1"/>
  <c r="E404" i="1"/>
  <c r="D404" i="1"/>
  <c r="C404" i="1"/>
  <c r="B404" i="1"/>
  <c r="A404" i="1"/>
  <c r="R403" i="1"/>
  <c r="Q403" i="1"/>
  <c r="N403" i="1"/>
  <c r="J403" i="1"/>
  <c r="I403" i="1"/>
  <c r="H403" i="1"/>
  <c r="G403" i="1"/>
  <c r="F403" i="1"/>
  <c r="E403" i="1"/>
  <c r="D403" i="1"/>
  <c r="C403" i="1"/>
  <c r="B403" i="1"/>
  <c r="A403" i="1"/>
  <c r="R402" i="1"/>
  <c r="Q402" i="1"/>
  <c r="N402" i="1"/>
  <c r="J402" i="1"/>
  <c r="I402" i="1"/>
  <c r="H402" i="1"/>
  <c r="G402" i="1"/>
  <c r="F402" i="1"/>
  <c r="E402" i="1"/>
  <c r="D402" i="1"/>
  <c r="C402" i="1"/>
  <c r="B402" i="1"/>
  <c r="A402" i="1"/>
  <c r="R401" i="1"/>
  <c r="Q401" i="1"/>
  <c r="N401" i="1"/>
  <c r="J401" i="1"/>
  <c r="I401" i="1"/>
  <c r="H401" i="1"/>
  <c r="G401" i="1"/>
  <c r="F401" i="1"/>
  <c r="E401" i="1"/>
  <c r="D401" i="1"/>
  <c r="C401" i="1"/>
  <c r="B401" i="1"/>
  <c r="A401" i="1"/>
  <c r="R400" i="1"/>
  <c r="Q400" i="1"/>
  <c r="N400" i="1"/>
  <c r="J400" i="1"/>
  <c r="I400" i="1"/>
  <c r="H400" i="1"/>
  <c r="G400" i="1"/>
  <c r="F400" i="1"/>
  <c r="E400" i="1"/>
  <c r="D400" i="1"/>
  <c r="C400" i="1"/>
  <c r="B400" i="1"/>
  <c r="A400" i="1"/>
  <c r="R399" i="1"/>
  <c r="Q399" i="1"/>
  <c r="N399" i="1"/>
  <c r="J399" i="1"/>
  <c r="I399" i="1"/>
  <c r="H399" i="1"/>
  <c r="G399" i="1"/>
  <c r="F399" i="1"/>
  <c r="E399" i="1"/>
  <c r="D399" i="1"/>
  <c r="C399" i="1"/>
  <c r="B399" i="1"/>
  <c r="A399" i="1"/>
  <c r="R398" i="1"/>
  <c r="Q398" i="1"/>
  <c r="N398" i="1"/>
  <c r="J398" i="1"/>
  <c r="I398" i="1"/>
  <c r="H398" i="1"/>
  <c r="G398" i="1"/>
  <c r="F398" i="1"/>
  <c r="E398" i="1"/>
  <c r="D398" i="1"/>
  <c r="C398" i="1"/>
  <c r="B398" i="1"/>
  <c r="A398" i="1"/>
  <c r="R397" i="1"/>
  <c r="Q397" i="1"/>
  <c r="N397" i="1"/>
  <c r="J397" i="1"/>
  <c r="I397" i="1"/>
  <c r="H397" i="1"/>
  <c r="G397" i="1"/>
  <c r="F397" i="1"/>
  <c r="E397" i="1"/>
  <c r="D397" i="1"/>
  <c r="C397" i="1"/>
  <c r="B397" i="1"/>
  <c r="A397" i="1"/>
  <c r="R396" i="1"/>
  <c r="N396" i="1"/>
  <c r="J396" i="1"/>
  <c r="I396" i="1"/>
  <c r="H396" i="1"/>
  <c r="G396" i="1"/>
  <c r="F396" i="1"/>
  <c r="E396" i="1"/>
  <c r="D396" i="1"/>
  <c r="C396" i="1"/>
  <c r="B396" i="1"/>
  <c r="A396" i="1"/>
  <c r="R395" i="1"/>
  <c r="Q395" i="1"/>
  <c r="N395" i="1"/>
  <c r="J395" i="1"/>
  <c r="I395" i="1"/>
  <c r="H395" i="1"/>
  <c r="G395" i="1"/>
  <c r="F395" i="1"/>
  <c r="E395" i="1"/>
  <c r="D395" i="1"/>
  <c r="C395" i="1"/>
  <c r="B395" i="1"/>
  <c r="A395" i="1"/>
  <c r="R394" i="1"/>
  <c r="Q394" i="1"/>
  <c r="N394" i="1"/>
  <c r="J394" i="1"/>
  <c r="I394" i="1"/>
  <c r="H394" i="1"/>
  <c r="G394" i="1"/>
  <c r="F394" i="1"/>
  <c r="E394" i="1"/>
  <c r="D394" i="1"/>
  <c r="C394" i="1"/>
  <c r="B394" i="1"/>
  <c r="A394" i="1"/>
  <c r="R393" i="1"/>
  <c r="Q393" i="1"/>
  <c r="N393" i="1"/>
  <c r="J393" i="1"/>
  <c r="I393" i="1"/>
  <c r="H393" i="1"/>
  <c r="G393" i="1"/>
  <c r="F393" i="1"/>
  <c r="E393" i="1"/>
  <c r="D393" i="1"/>
  <c r="C393" i="1"/>
  <c r="B393" i="1"/>
  <c r="A393" i="1"/>
  <c r="R392" i="1"/>
  <c r="Q392" i="1"/>
  <c r="N392" i="1"/>
  <c r="J392" i="1"/>
  <c r="I392" i="1"/>
  <c r="H392" i="1"/>
  <c r="G392" i="1"/>
  <c r="F392" i="1"/>
  <c r="E392" i="1"/>
  <c r="D392" i="1"/>
  <c r="C392" i="1"/>
  <c r="B392" i="1"/>
  <c r="A392" i="1"/>
  <c r="R391" i="1"/>
  <c r="Q391" i="1"/>
  <c r="N391" i="1"/>
  <c r="J391" i="1"/>
  <c r="I391" i="1"/>
  <c r="H391" i="1"/>
  <c r="G391" i="1"/>
  <c r="F391" i="1"/>
  <c r="E391" i="1"/>
  <c r="D391" i="1"/>
  <c r="C391" i="1"/>
  <c r="B391" i="1"/>
  <c r="A391" i="1"/>
  <c r="R390" i="1"/>
  <c r="Q390" i="1"/>
  <c r="N390" i="1"/>
  <c r="J390" i="1"/>
  <c r="I390" i="1"/>
  <c r="H390" i="1"/>
  <c r="G390" i="1"/>
  <c r="F390" i="1"/>
  <c r="E390" i="1"/>
  <c r="D390" i="1"/>
  <c r="C390" i="1"/>
  <c r="B390" i="1"/>
  <c r="A390" i="1"/>
  <c r="R389" i="1"/>
  <c r="Q389" i="1"/>
  <c r="N389" i="1"/>
  <c r="J389" i="1"/>
  <c r="I389" i="1"/>
  <c r="H389" i="1"/>
  <c r="G389" i="1"/>
  <c r="F389" i="1"/>
  <c r="E389" i="1"/>
  <c r="D389" i="1"/>
  <c r="C389" i="1"/>
  <c r="B389" i="1"/>
  <c r="A389" i="1"/>
  <c r="R388" i="1"/>
  <c r="Q388" i="1"/>
  <c r="N388" i="1"/>
  <c r="J388" i="1"/>
  <c r="I388" i="1"/>
  <c r="H388" i="1"/>
  <c r="G388" i="1"/>
  <c r="F388" i="1"/>
  <c r="E388" i="1"/>
  <c r="D388" i="1"/>
  <c r="C388" i="1"/>
  <c r="B388" i="1"/>
  <c r="A388" i="1"/>
  <c r="R387" i="1"/>
  <c r="Q387" i="1"/>
  <c r="N387" i="1"/>
  <c r="J387" i="1"/>
  <c r="I387" i="1"/>
  <c r="H387" i="1"/>
  <c r="G387" i="1"/>
  <c r="F387" i="1"/>
  <c r="E387" i="1"/>
  <c r="D387" i="1"/>
  <c r="C387" i="1"/>
  <c r="B387" i="1"/>
  <c r="A387" i="1"/>
  <c r="R386" i="1"/>
  <c r="Q386" i="1"/>
  <c r="N386" i="1"/>
  <c r="J386" i="1"/>
  <c r="I386" i="1"/>
  <c r="H386" i="1"/>
  <c r="G386" i="1"/>
  <c r="F386" i="1"/>
  <c r="E386" i="1"/>
  <c r="D386" i="1"/>
  <c r="C386" i="1"/>
  <c r="B386" i="1"/>
  <c r="A386" i="1"/>
  <c r="R385" i="1"/>
  <c r="Q385" i="1"/>
  <c r="N385" i="1"/>
  <c r="J385" i="1"/>
  <c r="I385" i="1"/>
  <c r="H385" i="1"/>
  <c r="G385" i="1"/>
  <c r="F385" i="1"/>
  <c r="E385" i="1"/>
  <c r="D385" i="1"/>
  <c r="C385" i="1"/>
  <c r="B385" i="1"/>
  <c r="A385" i="1"/>
  <c r="R384" i="1"/>
  <c r="Q384" i="1"/>
  <c r="N384" i="1"/>
  <c r="J384" i="1"/>
  <c r="I384" i="1"/>
  <c r="H384" i="1"/>
  <c r="G384" i="1"/>
  <c r="F384" i="1"/>
  <c r="E384" i="1"/>
  <c r="D384" i="1"/>
  <c r="C384" i="1"/>
  <c r="B384" i="1"/>
  <c r="A384" i="1"/>
  <c r="R383" i="1"/>
  <c r="Q383" i="1"/>
  <c r="N383" i="1"/>
  <c r="J383" i="1"/>
  <c r="I383" i="1"/>
  <c r="H383" i="1"/>
  <c r="G383" i="1"/>
  <c r="F383" i="1"/>
  <c r="E383" i="1"/>
  <c r="D383" i="1"/>
  <c r="C383" i="1"/>
  <c r="B383" i="1"/>
  <c r="A383" i="1"/>
  <c r="R382" i="1"/>
  <c r="Q382" i="1"/>
  <c r="N382" i="1"/>
  <c r="J382" i="1"/>
  <c r="I382" i="1"/>
  <c r="H382" i="1"/>
  <c r="G382" i="1"/>
  <c r="F382" i="1"/>
  <c r="E382" i="1"/>
  <c r="D382" i="1"/>
  <c r="C382" i="1"/>
  <c r="B382" i="1"/>
  <c r="A382" i="1"/>
  <c r="R381" i="1"/>
  <c r="Q381" i="1"/>
  <c r="N381" i="1"/>
  <c r="J381" i="1"/>
  <c r="I381" i="1"/>
  <c r="H381" i="1"/>
  <c r="G381" i="1"/>
  <c r="F381" i="1"/>
  <c r="E381" i="1"/>
  <c r="D381" i="1"/>
  <c r="C381" i="1"/>
  <c r="B381" i="1"/>
  <c r="A381" i="1"/>
  <c r="R380" i="1"/>
  <c r="Q380" i="1"/>
  <c r="N380" i="1"/>
  <c r="J380" i="1"/>
  <c r="I380" i="1"/>
  <c r="H380" i="1"/>
  <c r="G380" i="1"/>
  <c r="F380" i="1"/>
  <c r="E380" i="1"/>
  <c r="D380" i="1"/>
  <c r="C380" i="1"/>
  <c r="B380" i="1"/>
  <c r="A380" i="1"/>
  <c r="R379" i="1"/>
  <c r="Q379" i="1"/>
  <c r="N379" i="1"/>
  <c r="J379" i="1"/>
  <c r="I379" i="1"/>
  <c r="H379" i="1"/>
  <c r="G379" i="1"/>
  <c r="F379" i="1"/>
  <c r="E379" i="1"/>
  <c r="D379" i="1"/>
  <c r="C379" i="1"/>
  <c r="B379" i="1"/>
  <c r="A379" i="1"/>
  <c r="R378" i="1"/>
  <c r="Q378" i="1"/>
  <c r="N378" i="1"/>
  <c r="J378" i="1"/>
  <c r="I378" i="1"/>
  <c r="H378" i="1"/>
  <c r="G378" i="1"/>
  <c r="F378" i="1"/>
  <c r="E378" i="1"/>
  <c r="D378" i="1"/>
  <c r="C378" i="1"/>
  <c r="B378" i="1"/>
  <c r="A378" i="1"/>
  <c r="R377" i="1"/>
  <c r="Q377" i="1"/>
  <c r="N377" i="1"/>
  <c r="J377" i="1"/>
  <c r="I377" i="1"/>
  <c r="H377" i="1"/>
  <c r="G377" i="1"/>
  <c r="F377" i="1"/>
  <c r="E377" i="1"/>
  <c r="D377" i="1"/>
  <c r="C377" i="1"/>
  <c r="B377" i="1"/>
  <c r="A377" i="1"/>
  <c r="R376" i="1"/>
  <c r="Q376" i="1"/>
  <c r="N376" i="1"/>
  <c r="J376" i="1"/>
  <c r="I376" i="1"/>
  <c r="H376" i="1"/>
  <c r="G376" i="1"/>
  <c r="F376" i="1"/>
  <c r="E376" i="1"/>
  <c r="D376" i="1"/>
  <c r="C376" i="1"/>
  <c r="B376" i="1"/>
  <c r="A376" i="1"/>
  <c r="R375" i="1"/>
  <c r="Q375" i="1"/>
  <c r="N375" i="1"/>
  <c r="J375" i="1"/>
  <c r="I375" i="1"/>
  <c r="H375" i="1"/>
  <c r="G375" i="1"/>
  <c r="F375" i="1"/>
  <c r="E375" i="1"/>
  <c r="D375" i="1"/>
  <c r="C375" i="1"/>
  <c r="B375" i="1"/>
  <c r="A375" i="1"/>
  <c r="R374" i="1"/>
  <c r="Q374" i="1"/>
  <c r="N374" i="1"/>
  <c r="J374" i="1"/>
  <c r="I374" i="1"/>
  <c r="H374" i="1"/>
  <c r="G374" i="1"/>
  <c r="F374" i="1"/>
  <c r="E374" i="1"/>
  <c r="D374" i="1"/>
  <c r="C374" i="1"/>
  <c r="B374" i="1"/>
  <c r="A374" i="1"/>
  <c r="R373" i="1"/>
  <c r="Q373" i="1"/>
  <c r="N373" i="1"/>
  <c r="J373" i="1"/>
  <c r="I373" i="1"/>
  <c r="H373" i="1"/>
  <c r="G373" i="1"/>
  <c r="F373" i="1"/>
  <c r="E373" i="1"/>
  <c r="D373" i="1"/>
  <c r="C373" i="1"/>
  <c r="B373" i="1"/>
  <c r="A373" i="1"/>
  <c r="R372" i="1"/>
  <c r="Q372" i="1"/>
  <c r="N372" i="1"/>
  <c r="J372" i="1"/>
  <c r="I372" i="1"/>
  <c r="H372" i="1"/>
  <c r="G372" i="1"/>
  <c r="F372" i="1"/>
  <c r="E372" i="1"/>
  <c r="D372" i="1"/>
  <c r="C372" i="1"/>
  <c r="B372" i="1"/>
  <c r="A372" i="1"/>
  <c r="R371" i="1"/>
  <c r="Q371" i="1"/>
  <c r="N371" i="1"/>
  <c r="J371" i="1"/>
  <c r="I371" i="1"/>
  <c r="H371" i="1"/>
  <c r="G371" i="1"/>
  <c r="F371" i="1"/>
  <c r="E371" i="1"/>
  <c r="D371" i="1"/>
  <c r="C371" i="1"/>
  <c r="B371" i="1"/>
  <c r="A371" i="1"/>
  <c r="R370" i="1"/>
  <c r="Q370" i="1"/>
  <c r="N370" i="1"/>
  <c r="J370" i="1"/>
  <c r="I370" i="1"/>
  <c r="H370" i="1"/>
  <c r="G370" i="1"/>
  <c r="F370" i="1"/>
  <c r="E370" i="1"/>
  <c r="D370" i="1"/>
  <c r="C370" i="1"/>
  <c r="B370" i="1"/>
  <c r="A370" i="1"/>
  <c r="R369" i="1"/>
  <c r="Q369" i="1"/>
  <c r="N369" i="1"/>
  <c r="J369" i="1"/>
  <c r="I369" i="1"/>
  <c r="H369" i="1"/>
  <c r="G369" i="1"/>
  <c r="F369" i="1"/>
  <c r="E369" i="1"/>
  <c r="D369" i="1"/>
  <c r="C369" i="1"/>
  <c r="B369" i="1"/>
  <c r="A369" i="1"/>
  <c r="R368" i="1"/>
  <c r="Q368" i="1"/>
  <c r="N368" i="1"/>
  <c r="J368" i="1"/>
  <c r="I368" i="1"/>
  <c r="H368" i="1"/>
  <c r="G368" i="1"/>
  <c r="F368" i="1"/>
  <c r="E368" i="1"/>
  <c r="D368" i="1"/>
  <c r="C368" i="1"/>
  <c r="B368" i="1"/>
  <c r="A368" i="1"/>
  <c r="R367" i="1"/>
  <c r="Q367" i="1"/>
  <c r="N367" i="1"/>
  <c r="J367" i="1"/>
  <c r="I367" i="1"/>
  <c r="H367" i="1"/>
  <c r="G367" i="1"/>
  <c r="F367" i="1"/>
  <c r="E367" i="1"/>
  <c r="D367" i="1"/>
  <c r="C367" i="1"/>
  <c r="B367" i="1"/>
  <c r="A367" i="1"/>
  <c r="R366" i="1"/>
  <c r="Q366" i="1"/>
  <c r="N366" i="1"/>
  <c r="J366" i="1"/>
  <c r="I366" i="1"/>
  <c r="H366" i="1"/>
  <c r="G366" i="1"/>
  <c r="F366" i="1"/>
  <c r="E366" i="1"/>
  <c r="D366" i="1"/>
  <c r="C366" i="1"/>
  <c r="B366" i="1"/>
  <c r="A366" i="1"/>
  <c r="R365" i="1"/>
  <c r="Q365" i="1"/>
  <c r="N365" i="1"/>
  <c r="J365" i="1"/>
  <c r="I365" i="1"/>
  <c r="H365" i="1"/>
  <c r="G365" i="1"/>
  <c r="F365" i="1"/>
  <c r="E365" i="1"/>
  <c r="D365" i="1"/>
  <c r="C365" i="1"/>
  <c r="B365" i="1"/>
  <c r="A365" i="1"/>
  <c r="R364" i="1"/>
  <c r="Q364" i="1"/>
  <c r="N364" i="1"/>
  <c r="J364" i="1"/>
  <c r="I364" i="1"/>
  <c r="H364" i="1"/>
  <c r="G364" i="1"/>
  <c r="F364" i="1"/>
  <c r="E364" i="1"/>
  <c r="D364" i="1"/>
  <c r="C364" i="1"/>
  <c r="B364" i="1"/>
  <c r="A364" i="1"/>
  <c r="R363" i="1"/>
  <c r="Q363" i="1"/>
  <c r="N363" i="1"/>
  <c r="J363" i="1"/>
  <c r="I363" i="1"/>
  <c r="H363" i="1"/>
  <c r="G363" i="1"/>
  <c r="F363" i="1"/>
  <c r="E363" i="1"/>
  <c r="D363" i="1"/>
  <c r="C363" i="1"/>
  <c r="B363" i="1"/>
  <c r="A363" i="1"/>
  <c r="R362" i="1"/>
  <c r="Q362" i="1"/>
  <c r="N362" i="1"/>
  <c r="J362" i="1"/>
  <c r="I362" i="1"/>
  <c r="H362" i="1"/>
  <c r="G362" i="1"/>
  <c r="F362" i="1"/>
  <c r="E362" i="1"/>
  <c r="D362" i="1"/>
  <c r="C362" i="1"/>
  <c r="B362" i="1"/>
  <c r="A362" i="1"/>
  <c r="R361" i="1"/>
  <c r="Q361" i="1"/>
  <c r="N361" i="1"/>
  <c r="J361" i="1"/>
  <c r="I361" i="1"/>
  <c r="H361" i="1"/>
  <c r="G361" i="1"/>
  <c r="F361" i="1"/>
  <c r="E361" i="1"/>
  <c r="D361" i="1"/>
  <c r="C361" i="1"/>
  <c r="B361" i="1"/>
  <c r="A361" i="1"/>
  <c r="R360" i="1"/>
  <c r="Q360" i="1"/>
  <c r="N360" i="1"/>
  <c r="J360" i="1"/>
  <c r="I360" i="1"/>
  <c r="H360" i="1"/>
  <c r="G360" i="1"/>
  <c r="F360" i="1"/>
  <c r="E360" i="1"/>
  <c r="D360" i="1"/>
  <c r="C360" i="1"/>
  <c r="B360" i="1"/>
  <c r="A360" i="1"/>
  <c r="R359" i="1"/>
  <c r="Q359" i="1"/>
  <c r="N359" i="1"/>
  <c r="J359" i="1"/>
  <c r="I359" i="1"/>
  <c r="H359" i="1"/>
  <c r="G359" i="1"/>
  <c r="F359" i="1"/>
  <c r="E359" i="1"/>
  <c r="D359" i="1"/>
  <c r="C359" i="1"/>
  <c r="B359" i="1"/>
  <c r="A359" i="1"/>
  <c r="R358" i="1"/>
  <c r="Q358" i="1"/>
  <c r="N358" i="1"/>
  <c r="J358" i="1"/>
  <c r="I358" i="1"/>
  <c r="H358" i="1"/>
  <c r="G358" i="1"/>
  <c r="F358" i="1"/>
  <c r="E358" i="1"/>
  <c r="D358" i="1"/>
  <c r="C358" i="1"/>
  <c r="B358" i="1"/>
  <c r="A358" i="1"/>
  <c r="R357" i="1"/>
  <c r="Q357" i="1"/>
  <c r="N357" i="1"/>
  <c r="J357" i="1"/>
  <c r="I357" i="1"/>
  <c r="H357" i="1"/>
  <c r="G357" i="1"/>
  <c r="F357" i="1"/>
  <c r="E357" i="1"/>
  <c r="D357" i="1"/>
  <c r="C357" i="1"/>
  <c r="B357" i="1"/>
  <c r="A357" i="1"/>
  <c r="R356" i="1"/>
  <c r="Q356" i="1"/>
  <c r="N356" i="1"/>
  <c r="J356" i="1"/>
  <c r="I356" i="1"/>
  <c r="H356" i="1"/>
  <c r="G356" i="1"/>
  <c r="F356" i="1"/>
  <c r="E356" i="1"/>
  <c r="D356" i="1"/>
  <c r="C356" i="1"/>
  <c r="B356" i="1"/>
  <c r="A356" i="1"/>
  <c r="R355" i="1"/>
  <c r="Q355" i="1"/>
  <c r="N355" i="1"/>
  <c r="J355" i="1"/>
  <c r="I355" i="1"/>
  <c r="H355" i="1"/>
  <c r="G355" i="1"/>
  <c r="F355" i="1"/>
  <c r="E355" i="1"/>
  <c r="D355" i="1"/>
  <c r="C355" i="1"/>
  <c r="B355" i="1"/>
  <c r="A355" i="1"/>
  <c r="R354" i="1"/>
  <c r="Q354" i="1"/>
  <c r="N354" i="1"/>
  <c r="J354" i="1"/>
  <c r="I354" i="1"/>
  <c r="H354" i="1"/>
  <c r="G354" i="1"/>
  <c r="F354" i="1"/>
  <c r="E354" i="1"/>
  <c r="D354" i="1"/>
  <c r="C354" i="1"/>
  <c r="B354" i="1"/>
  <c r="A354" i="1"/>
  <c r="R353" i="1"/>
  <c r="Q353" i="1"/>
  <c r="N353" i="1"/>
  <c r="J353" i="1"/>
  <c r="I353" i="1"/>
  <c r="H353" i="1"/>
  <c r="G353" i="1"/>
  <c r="F353" i="1"/>
  <c r="E353" i="1"/>
  <c r="D353" i="1"/>
  <c r="C353" i="1"/>
  <c r="B353" i="1"/>
  <c r="A353" i="1"/>
  <c r="R352" i="1"/>
  <c r="Q352" i="1"/>
  <c r="N352" i="1"/>
  <c r="J352" i="1"/>
  <c r="I352" i="1"/>
  <c r="H352" i="1"/>
  <c r="G352" i="1"/>
  <c r="F352" i="1"/>
  <c r="E352" i="1"/>
  <c r="D352" i="1"/>
  <c r="C352" i="1"/>
  <c r="B352" i="1"/>
  <c r="A352" i="1"/>
  <c r="R351" i="1"/>
  <c r="Q351" i="1"/>
  <c r="N351" i="1"/>
  <c r="J351" i="1"/>
  <c r="I351" i="1"/>
  <c r="H351" i="1"/>
  <c r="G351" i="1"/>
  <c r="F351" i="1"/>
  <c r="E351" i="1"/>
  <c r="D351" i="1"/>
  <c r="C351" i="1"/>
  <c r="B351" i="1"/>
  <c r="A351" i="1"/>
  <c r="R350" i="1"/>
  <c r="Q350" i="1"/>
  <c r="N350" i="1"/>
  <c r="J350" i="1"/>
  <c r="I350" i="1"/>
  <c r="H350" i="1"/>
  <c r="G350" i="1"/>
  <c r="F350" i="1"/>
  <c r="E350" i="1"/>
  <c r="D350" i="1"/>
  <c r="C350" i="1"/>
  <c r="B350" i="1"/>
  <c r="A350" i="1"/>
  <c r="R349" i="1"/>
  <c r="Q349" i="1"/>
  <c r="N349" i="1"/>
  <c r="J349" i="1"/>
  <c r="I349" i="1"/>
  <c r="H349" i="1"/>
  <c r="G349" i="1"/>
  <c r="F349" i="1"/>
  <c r="E349" i="1"/>
  <c r="D349" i="1"/>
  <c r="C349" i="1"/>
  <c r="B349" i="1"/>
  <c r="A349" i="1"/>
  <c r="R348" i="1"/>
  <c r="Q348" i="1"/>
  <c r="N348" i="1"/>
  <c r="J348" i="1"/>
  <c r="I348" i="1"/>
  <c r="H348" i="1"/>
  <c r="G348" i="1"/>
  <c r="F348" i="1"/>
  <c r="E348" i="1"/>
  <c r="D348" i="1"/>
  <c r="C348" i="1"/>
  <c r="B348" i="1"/>
  <c r="A348" i="1"/>
  <c r="R347" i="1"/>
  <c r="N347" i="1"/>
  <c r="J347" i="1"/>
  <c r="I347" i="1"/>
  <c r="H347" i="1"/>
  <c r="G347" i="1"/>
  <c r="F347" i="1"/>
  <c r="E347" i="1"/>
  <c r="D347" i="1"/>
  <c r="C347" i="1"/>
  <c r="B347" i="1"/>
  <c r="A347" i="1"/>
  <c r="R346" i="1"/>
  <c r="Q346" i="1"/>
  <c r="N346" i="1"/>
  <c r="J346" i="1"/>
  <c r="I346" i="1"/>
  <c r="H346" i="1"/>
  <c r="G346" i="1"/>
  <c r="F346" i="1"/>
  <c r="E346" i="1"/>
  <c r="D346" i="1"/>
  <c r="C346" i="1"/>
  <c r="B346" i="1"/>
  <c r="A346" i="1"/>
  <c r="R345" i="1"/>
  <c r="Q345" i="1"/>
  <c r="N345" i="1"/>
  <c r="J345" i="1"/>
  <c r="I345" i="1"/>
  <c r="H345" i="1"/>
  <c r="G345" i="1"/>
  <c r="F345" i="1"/>
  <c r="E345" i="1"/>
  <c r="D345" i="1"/>
  <c r="C345" i="1"/>
  <c r="B345" i="1"/>
  <c r="A345" i="1"/>
  <c r="R344" i="1"/>
  <c r="Q344" i="1"/>
  <c r="N344" i="1"/>
  <c r="J344" i="1"/>
  <c r="I344" i="1"/>
  <c r="H344" i="1"/>
  <c r="G344" i="1"/>
  <c r="F344" i="1"/>
  <c r="E344" i="1"/>
  <c r="D344" i="1"/>
  <c r="C344" i="1"/>
  <c r="B344" i="1"/>
  <c r="A344" i="1"/>
  <c r="R343" i="1"/>
  <c r="Q343" i="1"/>
  <c r="N343" i="1"/>
  <c r="J343" i="1"/>
  <c r="I343" i="1"/>
  <c r="H343" i="1"/>
  <c r="G343" i="1"/>
  <c r="F343" i="1"/>
  <c r="E343" i="1"/>
  <c r="D343" i="1"/>
  <c r="C343" i="1"/>
  <c r="B343" i="1"/>
  <c r="A343" i="1"/>
  <c r="R342" i="1"/>
  <c r="Q342" i="1"/>
  <c r="N342" i="1"/>
  <c r="J342" i="1"/>
  <c r="I342" i="1"/>
  <c r="H342" i="1"/>
  <c r="G342" i="1"/>
  <c r="F342" i="1"/>
  <c r="E342" i="1"/>
  <c r="D342" i="1"/>
  <c r="C342" i="1"/>
  <c r="B342" i="1"/>
  <c r="A342" i="1"/>
  <c r="R341" i="1"/>
  <c r="N341" i="1"/>
  <c r="J341" i="1"/>
  <c r="I341" i="1"/>
  <c r="H341" i="1"/>
  <c r="G341" i="1"/>
  <c r="F341" i="1"/>
  <c r="E341" i="1"/>
  <c r="D341" i="1"/>
  <c r="C341" i="1"/>
  <c r="B341" i="1"/>
  <c r="A341" i="1"/>
  <c r="R340" i="1"/>
  <c r="Q340" i="1"/>
  <c r="N340" i="1"/>
  <c r="J340" i="1"/>
  <c r="I340" i="1"/>
  <c r="H340" i="1"/>
  <c r="G340" i="1"/>
  <c r="F340" i="1"/>
  <c r="E340" i="1"/>
  <c r="D340" i="1"/>
  <c r="C340" i="1"/>
  <c r="B340" i="1"/>
  <c r="A340" i="1"/>
  <c r="R339" i="1"/>
  <c r="Q339" i="1"/>
  <c r="N339" i="1"/>
  <c r="J339" i="1"/>
  <c r="I339" i="1"/>
  <c r="H339" i="1"/>
  <c r="G339" i="1"/>
  <c r="F339" i="1"/>
  <c r="E339" i="1"/>
  <c r="D339" i="1"/>
  <c r="C339" i="1"/>
  <c r="B339" i="1"/>
  <c r="A339" i="1"/>
  <c r="R338" i="1"/>
  <c r="Q338" i="1"/>
  <c r="N338" i="1"/>
  <c r="J338" i="1"/>
  <c r="I338" i="1"/>
  <c r="H338" i="1"/>
  <c r="G338" i="1"/>
  <c r="F338" i="1"/>
  <c r="E338" i="1"/>
  <c r="D338" i="1"/>
  <c r="C338" i="1"/>
  <c r="B338" i="1"/>
  <c r="A338" i="1"/>
  <c r="R337" i="1"/>
  <c r="Q337" i="1"/>
  <c r="N337" i="1"/>
  <c r="J337" i="1"/>
  <c r="I337" i="1"/>
  <c r="H337" i="1"/>
  <c r="G337" i="1"/>
  <c r="F337" i="1"/>
  <c r="E337" i="1"/>
  <c r="D337" i="1"/>
  <c r="C337" i="1"/>
  <c r="B337" i="1"/>
  <c r="A337" i="1"/>
  <c r="R336" i="1"/>
  <c r="Q336" i="1"/>
  <c r="N336" i="1"/>
  <c r="J336" i="1"/>
  <c r="I336" i="1"/>
  <c r="H336" i="1"/>
  <c r="G336" i="1"/>
  <c r="F336" i="1"/>
  <c r="E336" i="1"/>
  <c r="D336" i="1"/>
  <c r="C336" i="1"/>
  <c r="B336" i="1"/>
  <c r="A336" i="1"/>
  <c r="R335" i="1"/>
  <c r="N335" i="1"/>
  <c r="J335" i="1"/>
  <c r="I335" i="1"/>
  <c r="H335" i="1"/>
  <c r="G335" i="1"/>
  <c r="F335" i="1"/>
  <c r="E335" i="1"/>
  <c r="D335" i="1"/>
  <c r="C335" i="1"/>
  <c r="B335" i="1"/>
  <c r="A335" i="1"/>
  <c r="R334" i="1"/>
  <c r="Q334" i="1"/>
  <c r="N334" i="1"/>
  <c r="J334" i="1"/>
  <c r="I334" i="1"/>
  <c r="H334" i="1"/>
  <c r="G334" i="1"/>
  <c r="F334" i="1"/>
  <c r="E334" i="1"/>
  <c r="D334" i="1"/>
  <c r="C334" i="1"/>
  <c r="B334" i="1"/>
  <c r="A334" i="1"/>
  <c r="R333" i="1"/>
  <c r="N333" i="1"/>
  <c r="J333" i="1"/>
  <c r="I333" i="1"/>
  <c r="H333" i="1"/>
  <c r="G333" i="1"/>
  <c r="F333" i="1"/>
  <c r="E333" i="1"/>
  <c r="D333" i="1"/>
  <c r="C333" i="1"/>
  <c r="B333" i="1"/>
  <c r="A333" i="1"/>
  <c r="R332" i="1"/>
  <c r="Q332" i="1"/>
  <c r="N332" i="1"/>
  <c r="J332" i="1"/>
  <c r="I332" i="1"/>
  <c r="H332" i="1"/>
  <c r="G332" i="1"/>
  <c r="F332" i="1"/>
  <c r="E332" i="1"/>
  <c r="D332" i="1"/>
  <c r="C332" i="1"/>
  <c r="B332" i="1"/>
  <c r="A332" i="1"/>
  <c r="R331" i="1"/>
  <c r="N331" i="1"/>
  <c r="J331" i="1"/>
  <c r="I331" i="1"/>
  <c r="H331" i="1"/>
  <c r="G331" i="1"/>
  <c r="F331" i="1"/>
  <c r="E331" i="1"/>
  <c r="D331" i="1"/>
  <c r="C331" i="1"/>
  <c r="B331" i="1"/>
  <c r="A331" i="1"/>
  <c r="R330" i="1"/>
  <c r="Q330" i="1"/>
  <c r="N330" i="1"/>
  <c r="J330" i="1"/>
  <c r="I330" i="1"/>
  <c r="H330" i="1"/>
  <c r="G330" i="1"/>
  <c r="F330" i="1"/>
  <c r="E330" i="1"/>
  <c r="D330" i="1"/>
  <c r="C330" i="1"/>
  <c r="B330" i="1"/>
  <c r="A330" i="1"/>
  <c r="R329" i="1"/>
  <c r="N329" i="1"/>
  <c r="J329" i="1"/>
  <c r="I329" i="1"/>
  <c r="H329" i="1"/>
  <c r="G329" i="1"/>
  <c r="F329" i="1"/>
  <c r="E329" i="1"/>
  <c r="D329" i="1"/>
  <c r="C329" i="1"/>
  <c r="B329" i="1"/>
  <c r="A329" i="1"/>
  <c r="R328" i="1"/>
  <c r="Q328" i="1"/>
  <c r="N328" i="1"/>
  <c r="J328" i="1"/>
  <c r="I328" i="1"/>
  <c r="H328" i="1"/>
  <c r="G328" i="1"/>
  <c r="F328" i="1"/>
  <c r="E328" i="1"/>
  <c r="D328" i="1"/>
  <c r="C328" i="1"/>
  <c r="B328" i="1"/>
  <c r="A328" i="1"/>
  <c r="R327" i="1"/>
  <c r="N327" i="1"/>
  <c r="J327" i="1"/>
  <c r="I327" i="1"/>
  <c r="H327" i="1"/>
  <c r="G327" i="1"/>
  <c r="F327" i="1"/>
  <c r="E327" i="1"/>
  <c r="D327" i="1"/>
  <c r="C327" i="1"/>
  <c r="B327" i="1"/>
  <c r="A327" i="1"/>
  <c r="R326" i="1"/>
  <c r="Q326" i="1"/>
  <c r="N326" i="1"/>
  <c r="J326" i="1"/>
  <c r="I326" i="1"/>
  <c r="H326" i="1"/>
  <c r="G326" i="1"/>
  <c r="F326" i="1"/>
  <c r="E326" i="1"/>
  <c r="D326" i="1"/>
  <c r="C326" i="1"/>
  <c r="B326" i="1"/>
  <c r="A326" i="1"/>
  <c r="R325" i="1"/>
  <c r="N325" i="1"/>
  <c r="J325" i="1"/>
  <c r="I325" i="1"/>
  <c r="H325" i="1"/>
  <c r="G325" i="1"/>
  <c r="F325" i="1"/>
  <c r="E325" i="1"/>
  <c r="D325" i="1"/>
  <c r="C325" i="1"/>
  <c r="B325" i="1"/>
  <c r="A325" i="1"/>
  <c r="R324" i="1"/>
  <c r="Q324" i="1"/>
  <c r="N324" i="1"/>
  <c r="J324" i="1"/>
  <c r="I324" i="1"/>
  <c r="H324" i="1"/>
  <c r="G324" i="1"/>
  <c r="F324" i="1"/>
  <c r="E324" i="1"/>
  <c r="D324" i="1"/>
  <c r="C324" i="1"/>
  <c r="B324" i="1"/>
  <c r="A324" i="1"/>
  <c r="R323" i="1"/>
  <c r="Q323" i="1"/>
  <c r="N323" i="1"/>
  <c r="J323" i="1"/>
  <c r="I323" i="1"/>
  <c r="H323" i="1"/>
  <c r="G323" i="1"/>
  <c r="F323" i="1"/>
  <c r="E323" i="1"/>
  <c r="D323" i="1"/>
  <c r="C323" i="1"/>
  <c r="B323" i="1"/>
  <c r="A323" i="1"/>
  <c r="R322" i="1"/>
  <c r="N322" i="1"/>
  <c r="J322" i="1"/>
  <c r="I322" i="1"/>
  <c r="H322" i="1"/>
  <c r="G322" i="1"/>
  <c r="F322" i="1"/>
  <c r="E322" i="1"/>
  <c r="D322" i="1"/>
  <c r="C322" i="1"/>
  <c r="B322" i="1"/>
  <c r="A322" i="1"/>
  <c r="R321" i="1"/>
  <c r="Q321" i="1"/>
  <c r="N321" i="1"/>
  <c r="J321" i="1"/>
  <c r="I321" i="1"/>
  <c r="H321" i="1"/>
  <c r="G321" i="1"/>
  <c r="F321" i="1"/>
  <c r="E321" i="1"/>
  <c r="D321" i="1"/>
  <c r="C321" i="1"/>
  <c r="B321" i="1"/>
  <c r="A321" i="1"/>
  <c r="R320" i="1"/>
  <c r="N320" i="1"/>
  <c r="J320" i="1"/>
  <c r="I320" i="1"/>
  <c r="H320" i="1"/>
  <c r="G320" i="1"/>
  <c r="F320" i="1"/>
  <c r="E320" i="1"/>
  <c r="D320" i="1"/>
  <c r="C320" i="1"/>
  <c r="B320" i="1"/>
  <c r="A320" i="1"/>
  <c r="R319" i="1"/>
  <c r="Q319" i="1"/>
  <c r="N319" i="1"/>
  <c r="J319" i="1"/>
  <c r="I319" i="1"/>
  <c r="H319" i="1"/>
  <c r="G319" i="1"/>
  <c r="F319" i="1"/>
  <c r="E319" i="1"/>
  <c r="D319" i="1"/>
  <c r="C319" i="1"/>
  <c r="B319" i="1"/>
  <c r="A319" i="1"/>
  <c r="R318" i="1"/>
  <c r="N318" i="1"/>
  <c r="J318" i="1"/>
  <c r="I318" i="1"/>
  <c r="H318" i="1"/>
  <c r="G318" i="1"/>
  <c r="F318" i="1"/>
  <c r="E318" i="1"/>
  <c r="D318" i="1"/>
  <c r="C318" i="1"/>
  <c r="B318" i="1"/>
  <c r="A318" i="1"/>
  <c r="R317" i="1"/>
  <c r="Q317" i="1"/>
  <c r="N317" i="1"/>
  <c r="J317" i="1"/>
  <c r="I317" i="1"/>
  <c r="H317" i="1"/>
  <c r="G317" i="1"/>
  <c r="F317" i="1"/>
  <c r="E317" i="1"/>
  <c r="D317" i="1"/>
  <c r="C317" i="1"/>
  <c r="B317" i="1"/>
  <c r="A317" i="1"/>
  <c r="R316" i="1"/>
  <c r="N316" i="1"/>
  <c r="J316" i="1"/>
  <c r="I316" i="1"/>
  <c r="H316" i="1"/>
  <c r="G316" i="1"/>
  <c r="F316" i="1"/>
  <c r="E316" i="1"/>
  <c r="D316" i="1"/>
  <c r="C316" i="1"/>
  <c r="B316" i="1"/>
  <c r="A316" i="1"/>
  <c r="R315" i="1"/>
  <c r="Q315" i="1"/>
  <c r="N315" i="1"/>
  <c r="J315" i="1"/>
  <c r="I315" i="1"/>
  <c r="H315" i="1"/>
  <c r="G315" i="1"/>
  <c r="F315" i="1"/>
  <c r="E315" i="1"/>
  <c r="D315" i="1"/>
  <c r="C315" i="1"/>
  <c r="B315" i="1"/>
  <c r="A315" i="1"/>
  <c r="R314" i="1"/>
  <c r="N314" i="1"/>
  <c r="J314" i="1"/>
  <c r="I314" i="1"/>
  <c r="H314" i="1"/>
  <c r="G314" i="1"/>
  <c r="F314" i="1"/>
  <c r="E314" i="1"/>
  <c r="D314" i="1"/>
  <c r="C314" i="1"/>
  <c r="B314" i="1"/>
  <c r="A314" i="1"/>
  <c r="R313" i="1"/>
  <c r="Q313" i="1"/>
  <c r="N313" i="1"/>
  <c r="J313" i="1"/>
  <c r="I313" i="1"/>
  <c r="H313" i="1"/>
  <c r="G313" i="1"/>
  <c r="F313" i="1"/>
  <c r="E313" i="1"/>
  <c r="D313" i="1"/>
  <c r="C313" i="1"/>
  <c r="B313" i="1"/>
  <c r="A313" i="1"/>
  <c r="R312" i="1"/>
  <c r="N312" i="1"/>
  <c r="J312" i="1"/>
  <c r="I312" i="1"/>
  <c r="H312" i="1"/>
  <c r="G312" i="1"/>
  <c r="F312" i="1"/>
  <c r="E312" i="1"/>
  <c r="D312" i="1"/>
  <c r="C312" i="1"/>
  <c r="B312" i="1"/>
  <c r="A312" i="1"/>
  <c r="R311" i="1"/>
  <c r="Q311" i="1"/>
  <c r="N311" i="1"/>
  <c r="J311" i="1"/>
  <c r="I311" i="1"/>
  <c r="H311" i="1"/>
  <c r="G311" i="1"/>
  <c r="F311" i="1"/>
  <c r="E311" i="1"/>
  <c r="D311" i="1"/>
  <c r="C311" i="1"/>
  <c r="B311" i="1"/>
  <c r="A311" i="1"/>
  <c r="R310" i="1"/>
  <c r="N310" i="1"/>
  <c r="J310" i="1"/>
  <c r="I310" i="1"/>
  <c r="H310" i="1"/>
  <c r="G310" i="1"/>
  <c r="F310" i="1"/>
  <c r="E310" i="1"/>
  <c r="D310" i="1"/>
  <c r="C310" i="1"/>
  <c r="B310" i="1"/>
  <c r="A310" i="1"/>
  <c r="R309" i="1"/>
  <c r="N309" i="1"/>
  <c r="J309" i="1"/>
  <c r="I309" i="1"/>
  <c r="H309" i="1"/>
  <c r="G309" i="1"/>
  <c r="F309" i="1"/>
  <c r="E309" i="1"/>
  <c r="D309" i="1"/>
  <c r="C309" i="1"/>
  <c r="B309" i="1"/>
  <c r="A309" i="1"/>
  <c r="R308" i="1"/>
  <c r="N308" i="1"/>
  <c r="J308" i="1"/>
  <c r="I308" i="1"/>
  <c r="H308" i="1"/>
  <c r="G308" i="1"/>
  <c r="F308" i="1"/>
  <c r="E308" i="1"/>
  <c r="D308" i="1"/>
  <c r="C308" i="1"/>
  <c r="B308" i="1"/>
  <c r="A308" i="1"/>
  <c r="R307" i="1"/>
  <c r="N307" i="1"/>
  <c r="J307" i="1"/>
  <c r="I307" i="1"/>
  <c r="H307" i="1"/>
  <c r="G307" i="1"/>
  <c r="F307" i="1"/>
  <c r="E307" i="1"/>
  <c r="D307" i="1"/>
  <c r="C307" i="1"/>
  <c r="B307" i="1"/>
  <c r="A307" i="1"/>
  <c r="R306" i="1"/>
  <c r="N306" i="1"/>
  <c r="J306" i="1"/>
  <c r="I306" i="1"/>
  <c r="H306" i="1"/>
  <c r="G306" i="1"/>
  <c r="F306" i="1"/>
  <c r="E306" i="1"/>
  <c r="D306" i="1"/>
  <c r="C306" i="1"/>
  <c r="B306" i="1"/>
  <c r="A306" i="1"/>
  <c r="R305" i="1"/>
  <c r="Q305" i="1"/>
  <c r="N305" i="1"/>
  <c r="J305" i="1"/>
  <c r="I305" i="1"/>
  <c r="H305" i="1"/>
  <c r="G305" i="1"/>
  <c r="F305" i="1"/>
  <c r="E305" i="1"/>
  <c r="D305" i="1"/>
  <c r="C305" i="1"/>
  <c r="B305" i="1"/>
  <c r="A305" i="1"/>
  <c r="R304" i="1"/>
  <c r="N304" i="1"/>
  <c r="J304" i="1"/>
  <c r="I304" i="1"/>
  <c r="H304" i="1"/>
  <c r="G304" i="1"/>
  <c r="F304" i="1"/>
  <c r="E304" i="1"/>
  <c r="D304" i="1"/>
  <c r="C304" i="1"/>
  <c r="B304" i="1"/>
  <c r="A304" i="1"/>
  <c r="R303" i="1"/>
  <c r="Q303" i="1"/>
  <c r="N303" i="1"/>
  <c r="J303" i="1"/>
  <c r="I303" i="1"/>
  <c r="H303" i="1"/>
  <c r="G303" i="1"/>
  <c r="F303" i="1"/>
  <c r="E303" i="1"/>
  <c r="D303" i="1"/>
  <c r="C303" i="1"/>
  <c r="B303" i="1"/>
  <c r="A303" i="1"/>
  <c r="R302" i="1"/>
  <c r="N302" i="1"/>
  <c r="J302" i="1"/>
  <c r="I302" i="1"/>
  <c r="H302" i="1"/>
  <c r="G302" i="1"/>
  <c r="F302" i="1"/>
  <c r="E302" i="1"/>
  <c r="D302" i="1"/>
  <c r="C302" i="1"/>
  <c r="B302" i="1"/>
  <c r="A302" i="1"/>
  <c r="R301" i="1"/>
  <c r="Q301" i="1"/>
  <c r="N301" i="1"/>
  <c r="J301" i="1"/>
  <c r="I301" i="1"/>
  <c r="H301" i="1"/>
  <c r="G301" i="1"/>
  <c r="F301" i="1"/>
  <c r="E301" i="1"/>
  <c r="D301" i="1"/>
  <c r="C301" i="1"/>
  <c r="B301" i="1"/>
  <c r="A301" i="1"/>
  <c r="R300" i="1"/>
  <c r="N300" i="1"/>
  <c r="J300" i="1"/>
  <c r="I300" i="1"/>
  <c r="H300" i="1"/>
  <c r="G300" i="1"/>
  <c r="F300" i="1"/>
  <c r="E300" i="1"/>
  <c r="D300" i="1"/>
  <c r="C300" i="1"/>
  <c r="B300" i="1"/>
  <c r="A300" i="1"/>
  <c r="R299" i="1"/>
  <c r="Q299" i="1"/>
  <c r="N299" i="1"/>
  <c r="J299" i="1"/>
  <c r="I299" i="1"/>
  <c r="H299" i="1"/>
  <c r="G299" i="1"/>
  <c r="F299" i="1"/>
  <c r="E299" i="1"/>
  <c r="D299" i="1"/>
  <c r="C299" i="1"/>
  <c r="B299" i="1"/>
  <c r="A299" i="1"/>
  <c r="R298" i="1"/>
  <c r="N298" i="1"/>
  <c r="J298" i="1"/>
  <c r="I298" i="1"/>
  <c r="H298" i="1"/>
  <c r="G298" i="1"/>
  <c r="F298" i="1"/>
  <c r="E298" i="1"/>
  <c r="D298" i="1"/>
  <c r="C298" i="1"/>
  <c r="B298" i="1"/>
  <c r="A298" i="1"/>
  <c r="R297" i="1"/>
  <c r="Q297" i="1"/>
  <c r="N297" i="1"/>
  <c r="J297" i="1"/>
  <c r="I297" i="1"/>
  <c r="H297" i="1"/>
  <c r="G297" i="1"/>
  <c r="F297" i="1"/>
  <c r="E297" i="1"/>
  <c r="D297" i="1"/>
  <c r="C297" i="1"/>
  <c r="B297" i="1"/>
  <c r="A297" i="1"/>
  <c r="R296" i="1"/>
  <c r="N296" i="1"/>
  <c r="J296" i="1"/>
  <c r="I296" i="1"/>
  <c r="H296" i="1"/>
  <c r="G296" i="1"/>
  <c r="F296" i="1"/>
  <c r="E296" i="1"/>
  <c r="D296" i="1"/>
  <c r="C296" i="1"/>
  <c r="B296" i="1"/>
  <c r="A296" i="1"/>
  <c r="R295" i="1"/>
  <c r="Q295" i="1"/>
  <c r="N295" i="1"/>
  <c r="J295" i="1"/>
  <c r="I295" i="1"/>
  <c r="H295" i="1"/>
  <c r="G295" i="1"/>
  <c r="F295" i="1"/>
  <c r="E295" i="1"/>
  <c r="D295" i="1"/>
  <c r="C295" i="1"/>
  <c r="B295" i="1"/>
  <c r="A295" i="1"/>
  <c r="R294" i="1"/>
  <c r="N294" i="1"/>
  <c r="J294" i="1"/>
  <c r="I294" i="1"/>
  <c r="H294" i="1"/>
  <c r="G294" i="1"/>
  <c r="F294" i="1"/>
  <c r="E294" i="1"/>
  <c r="D294" i="1"/>
  <c r="C294" i="1"/>
  <c r="B294" i="1"/>
  <c r="A294" i="1"/>
  <c r="R293" i="1"/>
  <c r="Q293" i="1"/>
  <c r="N293" i="1"/>
  <c r="J293" i="1"/>
  <c r="I293" i="1"/>
  <c r="H293" i="1"/>
  <c r="G293" i="1"/>
  <c r="F293" i="1"/>
  <c r="E293" i="1"/>
  <c r="D293" i="1"/>
  <c r="C293" i="1"/>
  <c r="B293" i="1"/>
  <c r="A293" i="1"/>
  <c r="R292" i="1"/>
  <c r="N292" i="1"/>
  <c r="J292" i="1"/>
  <c r="I292" i="1"/>
  <c r="H292" i="1"/>
  <c r="G292" i="1"/>
  <c r="F292" i="1"/>
  <c r="E292" i="1"/>
  <c r="D292" i="1"/>
  <c r="C292" i="1"/>
  <c r="B292" i="1"/>
  <c r="A292" i="1"/>
  <c r="R291" i="1"/>
  <c r="Q291" i="1"/>
  <c r="N291" i="1"/>
  <c r="J291" i="1"/>
  <c r="I291" i="1"/>
  <c r="H291" i="1"/>
  <c r="G291" i="1"/>
  <c r="F291" i="1"/>
  <c r="E291" i="1"/>
  <c r="D291" i="1"/>
  <c r="C291" i="1"/>
  <c r="B291" i="1"/>
  <c r="A291" i="1"/>
  <c r="R290" i="1"/>
  <c r="N290" i="1"/>
  <c r="J290" i="1"/>
  <c r="I290" i="1"/>
  <c r="H290" i="1"/>
  <c r="G290" i="1"/>
  <c r="F290" i="1"/>
  <c r="E290" i="1"/>
  <c r="D290" i="1"/>
  <c r="C290" i="1"/>
  <c r="B290" i="1"/>
  <c r="A290" i="1"/>
  <c r="R289" i="1"/>
  <c r="Q289" i="1"/>
  <c r="N289" i="1"/>
  <c r="J289" i="1"/>
  <c r="I289" i="1"/>
  <c r="H289" i="1"/>
  <c r="G289" i="1"/>
  <c r="F289" i="1"/>
  <c r="E289" i="1"/>
  <c r="D289" i="1"/>
  <c r="C289" i="1"/>
  <c r="B289" i="1"/>
  <c r="A289" i="1"/>
  <c r="R288" i="1"/>
  <c r="N288" i="1"/>
  <c r="J288" i="1"/>
  <c r="I288" i="1"/>
  <c r="H288" i="1"/>
  <c r="G288" i="1"/>
  <c r="F288" i="1"/>
  <c r="E288" i="1"/>
  <c r="D288" i="1"/>
  <c r="C288" i="1"/>
  <c r="B288" i="1"/>
  <c r="A288" i="1"/>
  <c r="R287" i="1"/>
  <c r="Q287" i="1"/>
  <c r="N287" i="1"/>
  <c r="J287" i="1"/>
  <c r="I287" i="1"/>
  <c r="H287" i="1"/>
  <c r="G287" i="1"/>
  <c r="F287" i="1"/>
  <c r="E287" i="1"/>
  <c r="D287" i="1"/>
  <c r="C287" i="1"/>
  <c r="B287" i="1"/>
  <c r="A287" i="1"/>
  <c r="R286" i="1"/>
  <c r="N286" i="1"/>
  <c r="J286" i="1"/>
  <c r="I286" i="1"/>
  <c r="H286" i="1"/>
  <c r="G286" i="1"/>
  <c r="F286" i="1"/>
  <c r="E286" i="1"/>
  <c r="D286" i="1"/>
  <c r="C286" i="1"/>
  <c r="B286" i="1"/>
  <c r="A286" i="1"/>
  <c r="R285" i="1"/>
  <c r="Q285" i="1"/>
  <c r="N285" i="1"/>
  <c r="J285" i="1"/>
  <c r="I285" i="1"/>
  <c r="H285" i="1"/>
  <c r="G285" i="1"/>
  <c r="F285" i="1"/>
  <c r="E285" i="1"/>
  <c r="D285" i="1"/>
  <c r="C285" i="1"/>
  <c r="B285" i="1"/>
  <c r="A285" i="1"/>
  <c r="R284" i="1"/>
  <c r="N284" i="1"/>
  <c r="J284" i="1"/>
  <c r="I284" i="1"/>
  <c r="H284" i="1"/>
  <c r="G284" i="1"/>
  <c r="F284" i="1"/>
  <c r="E284" i="1"/>
  <c r="D284" i="1"/>
  <c r="C284" i="1"/>
  <c r="B284" i="1"/>
  <c r="A284" i="1"/>
  <c r="R283" i="1"/>
  <c r="Q283" i="1"/>
  <c r="N283" i="1"/>
  <c r="J283" i="1"/>
  <c r="I283" i="1"/>
  <c r="H283" i="1"/>
  <c r="G283" i="1"/>
  <c r="F283" i="1"/>
  <c r="E283" i="1"/>
  <c r="D283" i="1"/>
  <c r="C283" i="1"/>
  <c r="B283" i="1"/>
  <c r="A283" i="1"/>
  <c r="R282" i="1"/>
  <c r="N282" i="1"/>
  <c r="J282" i="1"/>
  <c r="I282" i="1"/>
  <c r="H282" i="1"/>
  <c r="G282" i="1"/>
  <c r="F282" i="1"/>
  <c r="E282" i="1"/>
  <c r="D282" i="1"/>
  <c r="C282" i="1"/>
  <c r="B282" i="1"/>
  <c r="A282" i="1"/>
  <c r="R281" i="1"/>
  <c r="Q281" i="1"/>
  <c r="N281" i="1"/>
  <c r="J281" i="1"/>
  <c r="I281" i="1"/>
  <c r="H281" i="1"/>
  <c r="G281" i="1"/>
  <c r="F281" i="1"/>
  <c r="E281" i="1"/>
  <c r="D281" i="1"/>
  <c r="C281" i="1"/>
  <c r="B281" i="1"/>
  <c r="A281" i="1"/>
  <c r="R280" i="1"/>
  <c r="N280" i="1"/>
  <c r="J280" i="1"/>
  <c r="I280" i="1"/>
  <c r="H280" i="1"/>
  <c r="G280" i="1"/>
  <c r="F280" i="1"/>
  <c r="E280" i="1"/>
  <c r="D280" i="1"/>
  <c r="C280" i="1"/>
  <c r="B280" i="1"/>
  <c r="A280" i="1"/>
  <c r="R279" i="1"/>
  <c r="Q279" i="1"/>
  <c r="N279" i="1"/>
  <c r="J279" i="1"/>
  <c r="I279" i="1"/>
  <c r="H279" i="1"/>
  <c r="G279" i="1"/>
  <c r="F279" i="1"/>
  <c r="E279" i="1"/>
  <c r="D279" i="1"/>
  <c r="C279" i="1"/>
  <c r="B279" i="1"/>
  <c r="A279" i="1"/>
  <c r="R278" i="1"/>
  <c r="N278" i="1"/>
  <c r="J278" i="1"/>
  <c r="I278" i="1"/>
  <c r="H278" i="1"/>
  <c r="G278" i="1"/>
  <c r="F278" i="1"/>
  <c r="E278" i="1"/>
  <c r="D278" i="1"/>
  <c r="C278" i="1"/>
  <c r="B278" i="1"/>
  <c r="A278" i="1"/>
  <c r="R277" i="1"/>
  <c r="Q277" i="1"/>
  <c r="N277" i="1"/>
  <c r="J277" i="1"/>
  <c r="I277" i="1"/>
  <c r="H277" i="1"/>
  <c r="G277" i="1"/>
  <c r="F277" i="1"/>
  <c r="E277" i="1"/>
  <c r="D277" i="1"/>
  <c r="C277" i="1"/>
  <c r="B277" i="1"/>
  <c r="A277" i="1"/>
  <c r="R276" i="1"/>
  <c r="N276" i="1"/>
  <c r="J276" i="1"/>
  <c r="I276" i="1"/>
  <c r="H276" i="1"/>
  <c r="G276" i="1"/>
  <c r="F276" i="1"/>
  <c r="E276" i="1"/>
  <c r="D276" i="1"/>
  <c r="C276" i="1"/>
  <c r="B276" i="1"/>
  <c r="A276" i="1"/>
  <c r="R275" i="1"/>
  <c r="Q275" i="1"/>
  <c r="N275" i="1"/>
  <c r="J275" i="1"/>
  <c r="I275" i="1"/>
  <c r="H275" i="1"/>
  <c r="G275" i="1"/>
  <c r="F275" i="1"/>
  <c r="E275" i="1"/>
  <c r="D275" i="1"/>
  <c r="C275" i="1"/>
  <c r="B275" i="1"/>
  <c r="A275" i="1"/>
  <c r="R274" i="1"/>
  <c r="N274" i="1"/>
  <c r="J274" i="1"/>
  <c r="I274" i="1"/>
  <c r="H274" i="1"/>
  <c r="G274" i="1"/>
  <c r="F274" i="1"/>
  <c r="E274" i="1"/>
  <c r="D274" i="1"/>
  <c r="C274" i="1"/>
  <c r="B274" i="1"/>
  <c r="A274" i="1"/>
  <c r="R273" i="1"/>
  <c r="Q273" i="1"/>
  <c r="N273" i="1"/>
  <c r="J273" i="1"/>
  <c r="I273" i="1"/>
  <c r="H273" i="1"/>
  <c r="G273" i="1"/>
  <c r="F273" i="1"/>
  <c r="E273" i="1"/>
  <c r="D273" i="1"/>
  <c r="C273" i="1"/>
  <c r="B273" i="1"/>
  <c r="A273" i="1"/>
  <c r="R272" i="1"/>
  <c r="N272" i="1"/>
  <c r="J272" i="1"/>
  <c r="I272" i="1"/>
  <c r="H272" i="1"/>
  <c r="G272" i="1"/>
  <c r="F272" i="1"/>
  <c r="E272" i="1"/>
  <c r="D272" i="1"/>
  <c r="C272" i="1"/>
  <c r="B272" i="1"/>
  <c r="A272" i="1"/>
  <c r="R271" i="1"/>
  <c r="Q271" i="1"/>
  <c r="N271" i="1"/>
  <c r="J271" i="1"/>
  <c r="I271" i="1"/>
  <c r="H271" i="1"/>
  <c r="G271" i="1"/>
  <c r="F271" i="1"/>
  <c r="E271" i="1"/>
  <c r="D271" i="1"/>
  <c r="C271" i="1"/>
  <c r="B271" i="1"/>
  <c r="A271" i="1"/>
  <c r="R270" i="1"/>
  <c r="N270" i="1"/>
  <c r="J270" i="1"/>
  <c r="I270" i="1"/>
  <c r="H270" i="1"/>
  <c r="G270" i="1"/>
  <c r="F270" i="1"/>
  <c r="E270" i="1"/>
  <c r="D270" i="1"/>
  <c r="C270" i="1"/>
  <c r="B270" i="1"/>
  <c r="A270" i="1"/>
  <c r="R269" i="1"/>
  <c r="Q269" i="1"/>
  <c r="N269" i="1"/>
  <c r="J269" i="1"/>
  <c r="I269" i="1"/>
  <c r="H269" i="1"/>
  <c r="G269" i="1"/>
  <c r="F269" i="1"/>
  <c r="E269" i="1"/>
  <c r="D269" i="1"/>
  <c r="C269" i="1"/>
  <c r="B269" i="1"/>
  <c r="A269" i="1"/>
  <c r="R268" i="1"/>
  <c r="Q268" i="1"/>
  <c r="N268" i="1"/>
  <c r="J268" i="1"/>
  <c r="I268" i="1"/>
  <c r="H268" i="1"/>
  <c r="G268" i="1"/>
  <c r="F268" i="1"/>
  <c r="E268" i="1"/>
  <c r="D268" i="1"/>
  <c r="C268" i="1"/>
  <c r="B268" i="1"/>
  <c r="A268" i="1"/>
  <c r="R267" i="1"/>
  <c r="Q267" i="1"/>
  <c r="N267" i="1"/>
  <c r="J267" i="1"/>
  <c r="I267" i="1"/>
  <c r="H267" i="1"/>
  <c r="G267" i="1"/>
  <c r="F267" i="1"/>
  <c r="E267" i="1"/>
  <c r="D267" i="1"/>
  <c r="C267" i="1"/>
  <c r="B267" i="1"/>
  <c r="A267" i="1"/>
  <c r="R266" i="1"/>
  <c r="Q266" i="1"/>
  <c r="N266" i="1"/>
  <c r="J266" i="1"/>
  <c r="I266" i="1"/>
  <c r="H266" i="1"/>
  <c r="G266" i="1"/>
  <c r="F266" i="1"/>
  <c r="E266" i="1"/>
  <c r="D266" i="1"/>
  <c r="C266" i="1"/>
  <c r="B266" i="1"/>
  <c r="A266" i="1"/>
  <c r="R265" i="1"/>
  <c r="Q265" i="1"/>
  <c r="N265" i="1"/>
  <c r="J265" i="1"/>
  <c r="I265" i="1"/>
  <c r="H265" i="1"/>
  <c r="G265" i="1"/>
  <c r="F265" i="1"/>
  <c r="E265" i="1"/>
  <c r="D265" i="1"/>
  <c r="C265" i="1"/>
  <c r="B265" i="1"/>
  <c r="A265" i="1"/>
  <c r="R264" i="1"/>
  <c r="Q264" i="1"/>
  <c r="N264" i="1"/>
  <c r="J264" i="1"/>
  <c r="I264" i="1"/>
  <c r="H264" i="1"/>
  <c r="G264" i="1"/>
  <c r="F264" i="1"/>
  <c r="E264" i="1"/>
  <c r="D264" i="1"/>
  <c r="C264" i="1"/>
  <c r="B264" i="1"/>
  <c r="A264" i="1"/>
  <c r="R263" i="1"/>
  <c r="Q263" i="1"/>
  <c r="N263" i="1"/>
  <c r="J263" i="1"/>
  <c r="I263" i="1"/>
  <c r="H263" i="1"/>
  <c r="G263" i="1"/>
  <c r="F263" i="1"/>
  <c r="E263" i="1"/>
  <c r="D263" i="1"/>
  <c r="C263" i="1"/>
  <c r="B263" i="1"/>
  <c r="A263" i="1"/>
  <c r="R262" i="1"/>
  <c r="Q262" i="1"/>
  <c r="N262" i="1"/>
  <c r="J262" i="1"/>
  <c r="I262" i="1"/>
  <c r="H262" i="1"/>
  <c r="G262" i="1"/>
  <c r="F262" i="1"/>
  <c r="E262" i="1"/>
  <c r="D262" i="1"/>
  <c r="C262" i="1"/>
  <c r="B262" i="1"/>
  <c r="A262" i="1"/>
  <c r="R261" i="1"/>
  <c r="Q261" i="1"/>
  <c r="N261" i="1"/>
  <c r="J261" i="1"/>
  <c r="I261" i="1"/>
  <c r="H261" i="1"/>
  <c r="G261" i="1"/>
  <c r="F261" i="1"/>
  <c r="E261" i="1"/>
  <c r="D261" i="1"/>
  <c r="C261" i="1"/>
  <c r="B261" i="1"/>
  <c r="A261" i="1"/>
  <c r="R260" i="1"/>
  <c r="Q260" i="1"/>
  <c r="N260" i="1"/>
  <c r="J260" i="1"/>
  <c r="I260" i="1"/>
  <c r="H260" i="1"/>
  <c r="G260" i="1"/>
  <c r="F260" i="1"/>
  <c r="E260" i="1"/>
  <c r="D260" i="1"/>
  <c r="C260" i="1"/>
  <c r="B260" i="1"/>
  <c r="A260" i="1"/>
  <c r="R259" i="1"/>
  <c r="Q259" i="1"/>
  <c r="N259" i="1"/>
  <c r="J259" i="1"/>
  <c r="I259" i="1"/>
  <c r="H259" i="1"/>
  <c r="G259" i="1"/>
  <c r="F259" i="1"/>
  <c r="E259" i="1"/>
  <c r="D259" i="1"/>
  <c r="C259" i="1"/>
  <c r="B259" i="1"/>
  <c r="A259" i="1"/>
  <c r="R258" i="1"/>
  <c r="Q258" i="1"/>
  <c r="N258" i="1"/>
  <c r="J258" i="1"/>
  <c r="I258" i="1"/>
  <c r="H258" i="1"/>
  <c r="G258" i="1"/>
  <c r="F258" i="1"/>
  <c r="E258" i="1"/>
  <c r="D258" i="1"/>
  <c r="C258" i="1"/>
  <c r="B258" i="1"/>
  <c r="A258" i="1"/>
  <c r="R257" i="1"/>
  <c r="Q257" i="1"/>
  <c r="N257" i="1"/>
  <c r="J257" i="1"/>
  <c r="I257" i="1"/>
  <c r="H257" i="1"/>
  <c r="G257" i="1"/>
  <c r="F257" i="1"/>
  <c r="E257" i="1"/>
  <c r="D257" i="1"/>
  <c r="C257" i="1"/>
  <c r="B257" i="1"/>
  <c r="A257" i="1"/>
  <c r="R256" i="1"/>
  <c r="Q256" i="1"/>
  <c r="N256" i="1"/>
  <c r="J256" i="1"/>
  <c r="I256" i="1"/>
  <c r="H256" i="1"/>
  <c r="G256" i="1"/>
  <c r="F256" i="1"/>
  <c r="E256" i="1"/>
  <c r="D256" i="1"/>
  <c r="C256" i="1"/>
  <c r="B256" i="1"/>
  <c r="A256" i="1"/>
  <c r="R255" i="1"/>
  <c r="Q255" i="1"/>
  <c r="N255" i="1"/>
  <c r="J255" i="1"/>
  <c r="I255" i="1"/>
  <c r="H255" i="1"/>
  <c r="G255" i="1"/>
  <c r="F255" i="1"/>
  <c r="E255" i="1"/>
  <c r="D255" i="1"/>
  <c r="C255" i="1"/>
  <c r="B255" i="1"/>
  <c r="A255" i="1"/>
  <c r="R254" i="1"/>
  <c r="Q254" i="1"/>
  <c r="N254" i="1"/>
  <c r="J254" i="1"/>
  <c r="I254" i="1"/>
  <c r="H254" i="1"/>
  <c r="G254" i="1"/>
  <c r="F254" i="1"/>
  <c r="E254" i="1"/>
  <c r="D254" i="1"/>
  <c r="C254" i="1"/>
  <c r="B254" i="1"/>
  <c r="A254" i="1"/>
  <c r="R253" i="1"/>
  <c r="Q253" i="1"/>
  <c r="N253" i="1"/>
  <c r="J253" i="1"/>
  <c r="I253" i="1"/>
  <c r="H253" i="1"/>
  <c r="G253" i="1"/>
  <c r="F253" i="1"/>
  <c r="E253" i="1"/>
  <c r="D253" i="1"/>
  <c r="C253" i="1"/>
  <c r="B253" i="1"/>
  <c r="A253" i="1"/>
  <c r="R252" i="1"/>
  <c r="Q252" i="1"/>
  <c r="N252" i="1"/>
  <c r="J252" i="1"/>
  <c r="I252" i="1"/>
  <c r="H252" i="1"/>
  <c r="G252" i="1"/>
  <c r="F252" i="1"/>
  <c r="E252" i="1"/>
  <c r="D252" i="1"/>
  <c r="C252" i="1"/>
  <c r="B252" i="1"/>
  <c r="A252" i="1"/>
  <c r="R251" i="1"/>
  <c r="Q251" i="1"/>
  <c r="N251" i="1"/>
  <c r="J251" i="1"/>
  <c r="I251" i="1"/>
  <c r="H251" i="1"/>
  <c r="G251" i="1"/>
  <c r="F251" i="1"/>
  <c r="E251" i="1"/>
  <c r="D251" i="1"/>
  <c r="C251" i="1"/>
  <c r="B251" i="1"/>
  <c r="A251" i="1"/>
  <c r="R250" i="1"/>
  <c r="Q250" i="1"/>
  <c r="N250" i="1"/>
  <c r="J250" i="1"/>
  <c r="I250" i="1"/>
  <c r="H250" i="1"/>
  <c r="G250" i="1"/>
  <c r="F250" i="1"/>
  <c r="E250" i="1"/>
  <c r="D250" i="1"/>
  <c r="C250" i="1"/>
  <c r="B250" i="1"/>
  <c r="A250" i="1"/>
  <c r="R249" i="1"/>
  <c r="Q249" i="1"/>
  <c r="N249" i="1"/>
  <c r="J249" i="1"/>
  <c r="I249" i="1"/>
  <c r="H249" i="1"/>
  <c r="G249" i="1"/>
  <c r="F249" i="1"/>
  <c r="E249" i="1"/>
  <c r="D249" i="1"/>
  <c r="C249" i="1"/>
  <c r="B249" i="1"/>
  <c r="A249" i="1"/>
  <c r="R248" i="1"/>
  <c r="Q248" i="1"/>
  <c r="N248" i="1"/>
  <c r="J248" i="1"/>
  <c r="I248" i="1"/>
  <c r="H248" i="1"/>
  <c r="G248" i="1"/>
  <c r="F248" i="1"/>
  <c r="E248" i="1"/>
  <c r="D248" i="1"/>
  <c r="C248" i="1"/>
  <c r="B248" i="1"/>
  <c r="A248" i="1"/>
  <c r="R247" i="1"/>
  <c r="Q247" i="1"/>
  <c r="N247" i="1"/>
  <c r="J247" i="1"/>
  <c r="I247" i="1"/>
  <c r="H247" i="1"/>
  <c r="G247" i="1"/>
  <c r="F247" i="1"/>
  <c r="E247" i="1"/>
  <c r="D247" i="1"/>
  <c r="C247" i="1"/>
  <c r="B247" i="1"/>
  <c r="A247" i="1"/>
  <c r="R246" i="1"/>
  <c r="Q246" i="1"/>
  <c r="N246" i="1"/>
  <c r="J246" i="1"/>
  <c r="I246" i="1"/>
  <c r="H246" i="1"/>
  <c r="G246" i="1"/>
  <c r="F246" i="1"/>
  <c r="E246" i="1"/>
  <c r="D246" i="1"/>
  <c r="C246" i="1"/>
  <c r="B246" i="1"/>
  <c r="A246" i="1"/>
  <c r="R245" i="1"/>
  <c r="Q245" i="1"/>
  <c r="N245" i="1"/>
  <c r="J245" i="1"/>
  <c r="I245" i="1"/>
  <c r="H245" i="1"/>
  <c r="G245" i="1"/>
  <c r="F245" i="1"/>
  <c r="E245" i="1"/>
  <c r="D245" i="1"/>
  <c r="C245" i="1"/>
  <c r="B245" i="1"/>
  <c r="A245" i="1"/>
  <c r="R244" i="1"/>
  <c r="Q244" i="1"/>
  <c r="N244" i="1"/>
  <c r="J244" i="1"/>
  <c r="I244" i="1"/>
  <c r="H244" i="1"/>
  <c r="G244" i="1"/>
  <c r="F244" i="1"/>
  <c r="E244" i="1"/>
  <c r="D244" i="1"/>
  <c r="C244" i="1"/>
  <c r="B244" i="1"/>
  <c r="A244" i="1"/>
  <c r="R243" i="1"/>
  <c r="Q243" i="1"/>
  <c r="N243" i="1"/>
  <c r="J243" i="1"/>
  <c r="I243" i="1"/>
  <c r="H243" i="1"/>
  <c r="G243" i="1"/>
  <c r="F243" i="1"/>
  <c r="E243" i="1"/>
  <c r="D243" i="1"/>
  <c r="C243" i="1"/>
  <c r="B243" i="1"/>
  <c r="A243" i="1"/>
  <c r="R242" i="1"/>
  <c r="Q242" i="1"/>
  <c r="N242" i="1"/>
  <c r="J242" i="1"/>
  <c r="I242" i="1"/>
  <c r="H242" i="1"/>
  <c r="G242" i="1"/>
  <c r="F242" i="1"/>
  <c r="E242" i="1"/>
  <c r="D242" i="1"/>
  <c r="C242" i="1"/>
  <c r="B242" i="1"/>
  <c r="A242" i="1"/>
  <c r="R241" i="1"/>
  <c r="Q241" i="1"/>
  <c r="N241" i="1"/>
  <c r="J241" i="1"/>
  <c r="I241" i="1"/>
  <c r="H241" i="1"/>
  <c r="G241" i="1"/>
  <c r="F241" i="1"/>
  <c r="E241" i="1"/>
  <c r="D241" i="1"/>
  <c r="C241" i="1"/>
  <c r="B241" i="1"/>
  <c r="A241" i="1"/>
  <c r="R240" i="1"/>
  <c r="Q240" i="1"/>
  <c r="N240" i="1"/>
  <c r="J240" i="1"/>
  <c r="I240" i="1"/>
  <c r="H240" i="1"/>
  <c r="G240" i="1"/>
  <c r="F240" i="1"/>
  <c r="E240" i="1"/>
  <c r="D240" i="1"/>
  <c r="C240" i="1"/>
  <c r="B240" i="1"/>
  <c r="A240" i="1"/>
  <c r="R239" i="1"/>
  <c r="Q239" i="1"/>
  <c r="N239" i="1"/>
  <c r="J239" i="1"/>
  <c r="I239" i="1"/>
  <c r="H239" i="1"/>
  <c r="G239" i="1"/>
  <c r="F239" i="1"/>
  <c r="E239" i="1"/>
  <c r="D239" i="1"/>
  <c r="C239" i="1"/>
  <c r="B239" i="1"/>
  <c r="A239" i="1"/>
  <c r="R238" i="1"/>
  <c r="Q238" i="1"/>
  <c r="N238" i="1"/>
  <c r="J238" i="1"/>
  <c r="I238" i="1"/>
  <c r="H238" i="1"/>
  <c r="G238" i="1"/>
  <c r="F238" i="1"/>
  <c r="E238" i="1"/>
  <c r="D238" i="1"/>
  <c r="C238" i="1"/>
  <c r="B238" i="1"/>
  <c r="A238" i="1"/>
  <c r="R237" i="1"/>
  <c r="Q237" i="1"/>
  <c r="N237" i="1"/>
  <c r="J237" i="1"/>
  <c r="I237" i="1"/>
  <c r="H237" i="1"/>
  <c r="G237" i="1"/>
  <c r="F237" i="1"/>
  <c r="E237" i="1"/>
  <c r="D237" i="1"/>
  <c r="C237" i="1"/>
  <c r="B237" i="1"/>
  <c r="A237" i="1"/>
  <c r="R236" i="1"/>
  <c r="Q236" i="1"/>
  <c r="N236" i="1"/>
  <c r="J236" i="1"/>
  <c r="I236" i="1"/>
  <c r="H236" i="1"/>
  <c r="G236" i="1"/>
  <c r="F236" i="1"/>
  <c r="E236" i="1"/>
  <c r="D236" i="1"/>
  <c r="C236" i="1"/>
  <c r="B236" i="1"/>
  <c r="A236" i="1"/>
  <c r="R235" i="1"/>
  <c r="Q235" i="1"/>
  <c r="N235" i="1"/>
  <c r="J235" i="1"/>
  <c r="I235" i="1"/>
  <c r="H235" i="1"/>
  <c r="G235" i="1"/>
  <c r="F235" i="1"/>
  <c r="E235" i="1"/>
  <c r="D235" i="1"/>
  <c r="C235" i="1"/>
  <c r="B235" i="1"/>
  <c r="A235" i="1"/>
  <c r="R234" i="1"/>
  <c r="Q234" i="1"/>
  <c r="N234" i="1"/>
  <c r="J234" i="1"/>
  <c r="I234" i="1"/>
  <c r="H234" i="1"/>
  <c r="G234" i="1"/>
  <c r="F234" i="1"/>
  <c r="E234" i="1"/>
  <c r="D234" i="1"/>
  <c r="C234" i="1"/>
  <c r="B234" i="1"/>
  <c r="A234" i="1"/>
  <c r="R233" i="1"/>
  <c r="Q233" i="1"/>
  <c r="N233" i="1"/>
  <c r="J233" i="1"/>
  <c r="I233" i="1"/>
  <c r="H233" i="1"/>
  <c r="G233" i="1"/>
  <c r="F233" i="1"/>
  <c r="E233" i="1"/>
  <c r="D233" i="1"/>
  <c r="C233" i="1"/>
  <c r="B233" i="1"/>
  <c r="A233" i="1"/>
  <c r="R232" i="1"/>
  <c r="Q232" i="1"/>
  <c r="N232" i="1"/>
  <c r="J232" i="1"/>
  <c r="I232" i="1"/>
  <c r="H232" i="1"/>
  <c r="G232" i="1"/>
  <c r="F232" i="1"/>
  <c r="E232" i="1"/>
  <c r="D232" i="1"/>
  <c r="C232" i="1"/>
  <c r="B232" i="1"/>
  <c r="A232" i="1"/>
  <c r="R231" i="1"/>
  <c r="Q231" i="1"/>
  <c r="N231" i="1"/>
  <c r="J231" i="1"/>
  <c r="I231" i="1"/>
  <c r="H231" i="1"/>
  <c r="G231" i="1"/>
  <c r="F231" i="1"/>
  <c r="E231" i="1"/>
  <c r="D231" i="1"/>
  <c r="C231" i="1"/>
  <c r="B231" i="1"/>
  <c r="A231" i="1"/>
  <c r="R230" i="1"/>
  <c r="Q230" i="1"/>
  <c r="N230" i="1"/>
  <c r="J230" i="1"/>
  <c r="I230" i="1"/>
  <c r="H230" i="1"/>
  <c r="G230" i="1"/>
  <c r="F230" i="1"/>
  <c r="E230" i="1"/>
  <c r="D230" i="1"/>
  <c r="C230" i="1"/>
  <c r="B230" i="1"/>
  <c r="A230" i="1"/>
  <c r="R229" i="1"/>
  <c r="Q229" i="1"/>
  <c r="N229" i="1"/>
  <c r="J229" i="1"/>
  <c r="I229" i="1"/>
  <c r="H229" i="1"/>
  <c r="G229" i="1"/>
  <c r="F229" i="1"/>
  <c r="E229" i="1"/>
  <c r="D229" i="1"/>
  <c r="C229" i="1"/>
  <c r="B229" i="1"/>
  <c r="A229" i="1"/>
  <c r="R228" i="1"/>
  <c r="Q228" i="1"/>
  <c r="N228" i="1"/>
  <c r="J228" i="1"/>
  <c r="I228" i="1"/>
  <c r="H228" i="1"/>
  <c r="G228" i="1"/>
  <c r="F228" i="1"/>
  <c r="E228" i="1"/>
  <c r="D228" i="1"/>
  <c r="C228" i="1"/>
  <c r="B228" i="1"/>
  <c r="A228" i="1"/>
  <c r="R227" i="1"/>
  <c r="Q227" i="1"/>
  <c r="N227" i="1"/>
  <c r="J227" i="1"/>
  <c r="I227" i="1"/>
  <c r="H227" i="1"/>
  <c r="G227" i="1"/>
  <c r="F227" i="1"/>
  <c r="E227" i="1"/>
  <c r="D227" i="1"/>
  <c r="C227" i="1"/>
  <c r="B227" i="1"/>
  <c r="A227" i="1"/>
  <c r="R226" i="1"/>
  <c r="Q226" i="1"/>
  <c r="N226" i="1"/>
  <c r="J226" i="1"/>
  <c r="I226" i="1"/>
  <c r="H226" i="1"/>
  <c r="G226" i="1"/>
  <c r="F226" i="1"/>
  <c r="E226" i="1"/>
  <c r="D226" i="1"/>
  <c r="C226" i="1"/>
  <c r="B226" i="1"/>
  <c r="A226" i="1"/>
  <c r="R225" i="1"/>
  <c r="Q225" i="1"/>
  <c r="N225" i="1"/>
  <c r="J225" i="1"/>
  <c r="I225" i="1"/>
  <c r="H225" i="1"/>
  <c r="G225" i="1"/>
  <c r="F225" i="1"/>
  <c r="E225" i="1"/>
  <c r="D225" i="1"/>
  <c r="C225" i="1"/>
  <c r="B225" i="1"/>
  <c r="A225" i="1"/>
  <c r="R224" i="1"/>
  <c r="Q224" i="1"/>
  <c r="N224" i="1"/>
  <c r="J224" i="1"/>
  <c r="I224" i="1"/>
  <c r="H224" i="1"/>
  <c r="G224" i="1"/>
  <c r="F224" i="1"/>
  <c r="E224" i="1"/>
  <c r="D224" i="1"/>
  <c r="C224" i="1"/>
  <c r="B224" i="1"/>
  <c r="A224" i="1"/>
  <c r="R223" i="1"/>
  <c r="Q223" i="1"/>
  <c r="N223" i="1"/>
  <c r="J223" i="1"/>
  <c r="I223" i="1"/>
  <c r="H223" i="1"/>
  <c r="G223" i="1"/>
  <c r="F223" i="1"/>
  <c r="E223" i="1"/>
  <c r="D223" i="1"/>
  <c r="C223" i="1"/>
  <c r="B223" i="1"/>
  <c r="A223" i="1"/>
  <c r="R222" i="1"/>
  <c r="N222" i="1"/>
  <c r="J222" i="1"/>
  <c r="I222" i="1"/>
  <c r="H222" i="1"/>
  <c r="G222" i="1"/>
  <c r="F222" i="1"/>
  <c r="E222" i="1"/>
  <c r="D222" i="1"/>
  <c r="C222" i="1"/>
  <c r="B222" i="1"/>
  <c r="A222" i="1"/>
  <c r="R221" i="1"/>
  <c r="Q221" i="1"/>
  <c r="N221" i="1"/>
  <c r="J221" i="1"/>
  <c r="I221" i="1"/>
  <c r="H221" i="1"/>
  <c r="G221" i="1"/>
  <c r="F221" i="1"/>
  <c r="E221" i="1"/>
  <c r="D221" i="1"/>
  <c r="C221" i="1"/>
  <c r="B221" i="1"/>
  <c r="A221" i="1"/>
  <c r="R220" i="1"/>
  <c r="N220" i="1"/>
  <c r="J220" i="1"/>
  <c r="I220" i="1"/>
  <c r="H220" i="1"/>
  <c r="G220" i="1"/>
  <c r="F220" i="1"/>
  <c r="E220" i="1"/>
  <c r="D220" i="1"/>
  <c r="C220" i="1"/>
  <c r="B220" i="1"/>
  <c r="A220" i="1"/>
  <c r="R219" i="1"/>
  <c r="Q219" i="1"/>
  <c r="N219" i="1"/>
  <c r="J219" i="1"/>
  <c r="I219" i="1"/>
  <c r="H219" i="1"/>
  <c r="G219" i="1"/>
  <c r="F219" i="1"/>
  <c r="E219" i="1"/>
  <c r="D219" i="1"/>
  <c r="C219" i="1"/>
  <c r="B219" i="1"/>
  <c r="A219" i="1"/>
  <c r="R218" i="1"/>
  <c r="N218" i="1"/>
  <c r="J218" i="1"/>
  <c r="I218" i="1"/>
  <c r="H218" i="1"/>
  <c r="G218" i="1"/>
  <c r="F218" i="1"/>
  <c r="E218" i="1"/>
  <c r="D218" i="1"/>
  <c r="C218" i="1"/>
  <c r="B218" i="1"/>
  <c r="A218" i="1"/>
  <c r="R217" i="1"/>
  <c r="Q217" i="1"/>
  <c r="N217" i="1"/>
  <c r="J217" i="1"/>
  <c r="I217" i="1"/>
  <c r="H217" i="1"/>
  <c r="G217" i="1"/>
  <c r="F217" i="1"/>
  <c r="E217" i="1"/>
  <c r="D217" i="1"/>
  <c r="C217" i="1"/>
  <c r="B217" i="1"/>
  <c r="A217" i="1"/>
  <c r="R216" i="1"/>
  <c r="N216" i="1"/>
  <c r="J216" i="1"/>
  <c r="I216" i="1"/>
  <c r="H216" i="1"/>
  <c r="G216" i="1"/>
  <c r="F216" i="1"/>
  <c r="E216" i="1"/>
  <c r="D216" i="1"/>
  <c r="C216" i="1"/>
  <c r="B216" i="1"/>
  <c r="A216" i="1"/>
  <c r="R215" i="1"/>
  <c r="Q215" i="1"/>
  <c r="N215" i="1"/>
  <c r="J215" i="1"/>
  <c r="I215" i="1"/>
  <c r="H215" i="1"/>
  <c r="G215" i="1"/>
  <c r="F215" i="1"/>
  <c r="E215" i="1"/>
  <c r="D215" i="1"/>
  <c r="C215" i="1"/>
  <c r="B215" i="1"/>
  <c r="A215" i="1"/>
  <c r="R214" i="1"/>
  <c r="N214" i="1"/>
  <c r="J214" i="1"/>
  <c r="I214" i="1"/>
  <c r="H214" i="1"/>
  <c r="G214" i="1"/>
  <c r="F214" i="1"/>
  <c r="E214" i="1"/>
  <c r="D214" i="1"/>
  <c r="C214" i="1"/>
  <c r="B214" i="1"/>
  <c r="A214" i="1"/>
  <c r="R213" i="1"/>
  <c r="Q213" i="1"/>
  <c r="N213" i="1"/>
  <c r="J213" i="1"/>
  <c r="I213" i="1"/>
  <c r="H213" i="1"/>
  <c r="G213" i="1"/>
  <c r="F213" i="1"/>
  <c r="E213" i="1"/>
  <c r="D213" i="1"/>
  <c r="C213" i="1"/>
  <c r="B213" i="1"/>
  <c r="A213" i="1"/>
  <c r="R212" i="1"/>
  <c r="Q212" i="1"/>
  <c r="N212" i="1"/>
  <c r="J212" i="1"/>
  <c r="I212" i="1"/>
  <c r="H212" i="1"/>
  <c r="G212" i="1"/>
  <c r="F212" i="1"/>
  <c r="E212" i="1"/>
  <c r="D212" i="1"/>
  <c r="C212" i="1"/>
  <c r="B212" i="1"/>
  <c r="A212" i="1"/>
  <c r="R211" i="1"/>
  <c r="N211" i="1"/>
  <c r="J211" i="1"/>
  <c r="I211" i="1"/>
  <c r="H211" i="1"/>
  <c r="G211" i="1"/>
  <c r="F211" i="1"/>
  <c r="E211" i="1"/>
  <c r="D211" i="1"/>
  <c r="C211" i="1"/>
  <c r="B211" i="1"/>
  <c r="A211" i="1"/>
  <c r="R210" i="1"/>
  <c r="Q210" i="1"/>
  <c r="N210" i="1"/>
  <c r="J210" i="1"/>
  <c r="I210" i="1"/>
  <c r="H210" i="1"/>
  <c r="G210" i="1"/>
  <c r="F210" i="1"/>
  <c r="E210" i="1"/>
  <c r="D210" i="1"/>
  <c r="C210" i="1"/>
  <c r="B210" i="1"/>
  <c r="A210" i="1"/>
  <c r="R209" i="1"/>
  <c r="N209" i="1"/>
  <c r="J209" i="1"/>
  <c r="I209" i="1"/>
  <c r="H209" i="1"/>
  <c r="G209" i="1"/>
  <c r="F209" i="1"/>
  <c r="E209" i="1"/>
  <c r="D209" i="1"/>
  <c r="C209" i="1"/>
  <c r="B209" i="1"/>
  <c r="A209" i="1"/>
  <c r="R208" i="1"/>
  <c r="Q208" i="1"/>
  <c r="N208" i="1"/>
  <c r="J208" i="1"/>
  <c r="I208" i="1"/>
  <c r="H208" i="1"/>
  <c r="G208" i="1"/>
  <c r="F208" i="1"/>
  <c r="E208" i="1"/>
  <c r="D208" i="1"/>
  <c r="C208" i="1"/>
  <c r="B208" i="1"/>
  <c r="A208" i="1"/>
  <c r="R207" i="1"/>
  <c r="N207" i="1"/>
  <c r="J207" i="1"/>
  <c r="I207" i="1"/>
  <c r="H207" i="1"/>
  <c r="G207" i="1"/>
  <c r="F207" i="1"/>
  <c r="E207" i="1"/>
  <c r="D207" i="1"/>
  <c r="C207" i="1"/>
  <c r="B207" i="1"/>
  <c r="A207" i="1"/>
  <c r="R206" i="1"/>
  <c r="Q206" i="1"/>
  <c r="N206" i="1"/>
  <c r="J206" i="1"/>
  <c r="I206" i="1"/>
  <c r="H206" i="1"/>
  <c r="G206" i="1"/>
  <c r="F206" i="1"/>
  <c r="E206" i="1"/>
  <c r="D206" i="1"/>
  <c r="C206" i="1"/>
  <c r="B206" i="1"/>
  <c r="A206" i="1"/>
  <c r="R205" i="1"/>
  <c r="N205" i="1"/>
  <c r="J205" i="1"/>
  <c r="I205" i="1"/>
  <c r="H205" i="1"/>
  <c r="G205" i="1"/>
  <c r="F205" i="1"/>
  <c r="E205" i="1"/>
  <c r="D205" i="1"/>
  <c r="C205" i="1"/>
  <c r="B205" i="1"/>
  <c r="A205" i="1"/>
  <c r="R204" i="1"/>
  <c r="Q204" i="1"/>
  <c r="N204" i="1"/>
  <c r="J204" i="1"/>
  <c r="I204" i="1"/>
  <c r="H204" i="1"/>
  <c r="G204" i="1"/>
  <c r="F204" i="1"/>
  <c r="E204" i="1"/>
  <c r="D204" i="1"/>
  <c r="C204" i="1"/>
  <c r="B204" i="1"/>
  <c r="A204" i="1"/>
  <c r="R203" i="1"/>
  <c r="Q203" i="1"/>
  <c r="N203" i="1"/>
  <c r="J203" i="1"/>
  <c r="I203" i="1"/>
  <c r="H203" i="1"/>
  <c r="G203" i="1"/>
  <c r="F203" i="1"/>
  <c r="E203" i="1"/>
  <c r="D203" i="1"/>
  <c r="C203" i="1"/>
  <c r="B203" i="1"/>
  <c r="A203" i="1"/>
  <c r="R202" i="1"/>
  <c r="N202" i="1"/>
  <c r="J202" i="1"/>
  <c r="I202" i="1"/>
  <c r="H202" i="1"/>
  <c r="G202" i="1"/>
  <c r="F202" i="1"/>
  <c r="E202" i="1"/>
  <c r="D202" i="1"/>
  <c r="C202" i="1"/>
  <c r="B202" i="1"/>
  <c r="A202" i="1"/>
  <c r="R201" i="1"/>
  <c r="Q201" i="1"/>
  <c r="N201" i="1"/>
  <c r="J201" i="1"/>
  <c r="I201" i="1"/>
  <c r="H201" i="1"/>
  <c r="G201" i="1"/>
  <c r="F201" i="1"/>
  <c r="E201" i="1"/>
  <c r="D201" i="1"/>
  <c r="C201" i="1"/>
  <c r="B201" i="1"/>
  <c r="A201" i="1"/>
  <c r="R200" i="1"/>
  <c r="N200" i="1"/>
  <c r="J200" i="1"/>
  <c r="I200" i="1"/>
  <c r="H200" i="1"/>
  <c r="G200" i="1"/>
  <c r="F200" i="1"/>
  <c r="E200" i="1"/>
  <c r="D200" i="1"/>
  <c r="C200" i="1"/>
  <c r="B200" i="1"/>
  <c r="A200" i="1"/>
  <c r="R199" i="1"/>
  <c r="Q199" i="1"/>
  <c r="N199" i="1"/>
  <c r="J199" i="1"/>
  <c r="I199" i="1"/>
  <c r="H199" i="1"/>
  <c r="G199" i="1"/>
  <c r="F199" i="1"/>
  <c r="E199" i="1"/>
  <c r="D199" i="1"/>
  <c r="C199" i="1"/>
  <c r="B199" i="1"/>
  <c r="A199" i="1"/>
  <c r="R198" i="1"/>
  <c r="N198" i="1"/>
  <c r="J198" i="1"/>
  <c r="I198" i="1"/>
  <c r="H198" i="1"/>
  <c r="G198" i="1"/>
  <c r="F198" i="1"/>
  <c r="E198" i="1"/>
  <c r="D198" i="1"/>
  <c r="C198" i="1"/>
  <c r="B198" i="1"/>
  <c r="A198" i="1"/>
  <c r="R197" i="1"/>
  <c r="Q197" i="1"/>
  <c r="N197" i="1"/>
  <c r="J197" i="1"/>
  <c r="I197" i="1"/>
  <c r="H197" i="1"/>
  <c r="G197" i="1"/>
  <c r="F197" i="1"/>
  <c r="E197" i="1"/>
  <c r="D197" i="1"/>
  <c r="C197" i="1"/>
  <c r="B197" i="1"/>
  <c r="A197" i="1"/>
  <c r="R196" i="1"/>
  <c r="N196" i="1"/>
  <c r="J196" i="1"/>
  <c r="I196" i="1"/>
  <c r="H196" i="1"/>
  <c r="G196" i="1"/>
  <c r="F196" i="1"/>
  <c r="E196" i="1"/>
  <c r="D196" i="1"/>
  <c r="C196" i="1"/>
  <c r="B196" i="1"/>
  <c r="A196" i="1"/>
  <c r="R195" i="1"/>
  <c r="Q195" i="1"/>
  <c r="N195" i="1"/>
  <c r="J195" i="1"/>
  <c r="I195" i="1"/>
  <c r="H195" i="1"/>
  <c r="G195" i="1"/>
  <c r="F195" i="1"/>
  <c r="E195" i="1"/>
  <c r="D195" i="1"/>
  <c r="C195" i="1"/>
  <c r="B195" i="1"/>
  <c r="A195" i="1"/>
  <c r="R194" i="1"/>
  <c r="N194" i="1"/>
  <c r="J194" i="1"/>
  <c r="I194" i="1"/>
  <c r="H194" i="1"/>
  <c r="G194" i="1"/>
  <c r="F194" i="1"/>
  <c r="E194" i="1"/>
  <c r="D194" i="1"/>
  <c r="C194" i="1"/>
  <c r="B194" i="1"/>
  <c r="A194" i="1"/>
  <c r="R193" i="1"/>
  <c r="Q193" i="1"/>
  <c r="N193" i="1"/>
  <c r="J193" i="1"/>
  <c r="I193" i="1"/>
  <c r="H193" i="1"/>
  <c r="G193" i="1"/>
  <c r="F193" i="1"/>
  <c r="E193" i="1"/>
  <c r="D193" i="1"/>
  <c r="C193" i="1"/>
  <c r="B193" i="1"/>
  <c r="A193" i="1"/>
  <c r="R192" i="1"/>
  <c r="N192" i="1"/>
  <c r="J192" i="1"/>
  <c r="I192" i="1"/>
  <c r="H192" i="1"/>
  <c r="G192" i="1"/>
  <c r="F192" i="1"/>
  <c r="E192" i="1"/>
  <c r="D192" i="1"/>
  <c r="C192" i="1"/>
  <c r="B192" i="1"/>
  <c r="A192" i="1"/>
  <c r="R191" i="1"/>
  <c r="Q191" i="1"/>
  <c r="N191" i="1"/>
  <c r="J191" i="1"/>
  <c r="I191" i="1"/>
  <c r="H191" i="1"/>
  <c r="G191" i="1"/>
  <c r="F191" i="1"/>
  <c r="E191" i="1"/>
  <c r="D191" i="1"/>
  <c r="C191" i="1"/>
  <c r="B191" i="1"/>
  <c r="A191" i="1"/>
  <c r="R190" i="1"/>
  <c r="N190" i="1"/>
  <c r="J190" i="1"/>
  <c r="I190" i="1"/>
  <c r="H190" i="1"/>
  <c r="G190" i="1"/>
  <c r="F190" i="1"/>
  <c r="E190" i="1"/>
  <c r="D190" i="1"/>
  <c r="C190" i="1"/>
  <c r="B190" i="1"/>
  <c r="A190" i="1"/>
  <c r="R189" i="1"/>
  <c r="Q189" i="1"/>
  <c r="N189" i="1"/>
  <c r="J189" i="1"/>
  <c r="I189" i="1"/>
  <c r="H189" i="1"/>
  <c r="G189" i="1"/>
  <c r="F189" i="1"/>
  <c r="E189" i="1"/>
  <c r="D189" i="1"/>
  <c r="C189" i="1"/>
  <c r="B189" i="1"/>
  <c r="A189" i="1"/>
  <c r="R188" i="1"/>
  <c r="N188" i="1"/>
  <c r="J188" i="1"/>
  <c r="I188" i="1"/>
  <c r="H188" i="1"/>
  <c r="G188" i="1"/>
  <c r="F188" i="1"/>
  <c r="E188" i="1"/>
  <c r="D188" i="1"/>
  <c r="C188" i="1"/>
  <c r="B188" i="1"/>
  <c r="A188" i="1"/>
  <c r="R187" i="1"/>
  <c r="Q187" i="1"/>
  <c r="N187" i="1"/>
  <c r="J187" i="1"/>
  <c r="I187" i="1"/>
  <c r="H187" i="1"/>
  <c r="G187" i="1"/>
  <c r="F187" i="1"/>
  <c r="E187" i="1"/>
  <c r="D187" i="1"/>
  <c r="C187" i="1"/>
  <c r="B187" i="1"/>
  <c r="A187" i="1"/>
  <c r="R186" i="1"/>
  <c r="N186" i="1"/>
  <c r="J186" i="1"/>
  <c r="I186" i="1"/>
  <c r="H186" i="1"/>
  <c r="G186" i="1"/>
  <c r="F186" i="1"/>
  <c r="E186" i="1"/>
  <c r="D186" i="1"/>
  <c r="C186" i="1"/>
  <c r="B186" i="1"/>
  <c r="A186" i="1"/>
  <c r="R185" i="1"/>
  <c r="Q185" i="1"/>
  <c r="N185" i="1"/>
  <c r="J185" i="1"/>
  <c r="I185" i="1"/>
  <c r="H185" i="1"/>
  <c r="G185" i="1"/>
  <c r="F185" i="1"/>
  <c r="E185" i="1"/>
  <c r="D185" i="1"/>
  <c r="C185" i="1"/>
  <c r="B185" i="1"/>
  <c r="A185" i="1"/>
  <c r="R184" i="1"/>
  <c r="N184" i="1"/>
  <c r="J184" i="1"/>
  <c r="I184" i="1"/>
  <c r="H184" i="1"/>
  <c r="G184" i="1"/>
  <c r="F184" i="1"/>
  <c r="E184" i="1"/>
  <c r="D184" i="1"/>
  <c r="C184" i="1"/>
  <c r="B184" i="1"/>
  <c r="A184" i="1"/>
  <c r="R183" i="1"/>
  <c r="Q183" i="1"/>
  <c r="N183" i="1"/>
  <c r="J183" i="1"/>
  <c r="I183" i="1"/>
  <c r="H183" i="1"/>
  <c r="G183" i="1"/>
  <c r="F183" i="1"/>
  <c r="E183" i="1"/>
  <c r="D183" i="1"/>
  <c r="C183" i="1"/>
  <c r="B183" i="1"/>
  <c r="A183" i="1"/>
  <c r="R182" i="1"/>
  <c r="N182" i="1"/>
  <c r="J182" i="1"/>
  <c r="I182" i="1"/>
  <c r="H182" i="1"/>
  <c r="G182" i="1"/>
  <c r="F182" i="1"/>
  <c r="E182" i="1"/>
  <c r="D182" i="1"/>
  <c r="C182" i="1"/>
  <c r="B182" i="1"/>
  <c r="A182" i="1"/>
  <c r="R181" i="1"/>
  <c r="Q181" i="1"/>
  <c r="N181" i="1"/>
  <c r="J181" i="1"/>
  <c r="I181" i="1"/>
  <c r="H181" i="1"/>
  <c r="G181" i="1"/>
  <c r="F181" i="1"/>
  <c r="E181" i="1"/>
  <c r="D181" i="1"/>
  <c r="C181" i="1"/>
  <c r="B181" i="1"/>
  <c r="A181" i="1"/>
  <c r="R180" i="1"/>
  <c r="N180" i="1"/>
  <c r="J180" i="1"/>
  <c r="I180" i="1"/>
  <c r="H180" i="1"/>
  <c r="G180" i="1"/>
  <c r="F180" i="1"/>
  <c r="E180" i="1"/>
  <c r="D180" i="1"/>
  <c r="C180" i="1"/>
  <c r="B180" i="1"/>
  <c r="A180" i="1"/>
  <c r="R179" i="1"/>
  <c r="Q179" i="1"/>
  <c r="N179" i="1"/>
  <c r="J179" i="1"/>
  <c r="I179" i="1"/>
  <c r="H179" i="1"/>
  <c r="G179" i="1"/>
  <c r="F179" i="1"/>
  <c r="E179" i="1"/>
  <c r="D179" i="1"/>
  <c r="C179" i="1"/>
  <c r="B179" i="1"/>
  <c r="A179" i="1"/>
  <c r="R178" i="1"/>
  <c r="N178" i="1"/>
  <c r="J178" i="1"/>
  <c r="I178" i="1"/>
  <c r="H178" i="1"/>
  <c r="G178" i="1"/>
  <c r="F178" i="1"/>
  <c r="E178" i="1"/>
  <c r="D178" i="1"/>
  <c r="C178" i="1"/>
  <c r="B178" i="1"/>
  <c r="A178" i="1"/>
  <c r="R177" i="1"/>
  <c r="Q177" i="1"/>
  <c r="N177" i="1"/>
  <c r="J177" i="1"/>
  <c r="I177" i="1"/>
  <c r="H177" i="1"/>
  <c r="G177" i="1"/>
  <c r="F177" i="1"/>
  <c r="E177" i="1"/>
  <c r="D177" i="1"/>
  <c r="C177" i="1"/>
  <c r="B177" i="1"/>
  <c r="A177" i="1"/>
  <c r="R176" i="1"/>
  <c r="N176" i="1"/>
  <c r="J176" i="1"/>
  <c r="I176" i="1"/>
  <c r="H176" i="1"/>
  <c r="G176" i="1"/>
  <c r="F176" i="1"/>
  <c r="E176" i="1"/>
  <c r="D176" i="1"/>
  <c r="C176" i="1"/>
  <c r="B176" i="1"/>
  <c r="A176" i="1"/>
  <c r="R175" i="1"/>
  <c r="Q175" i="1"/>
  <c r="N175" i="1"/>
  <c r="J175" i="1"/>
  <c r="I175" i="1"/>
  <c r="H175" i="1"/>
  <c r="G175" i="1"/>
  <c r="F175" i="1"/>
  <c r="E175" i="1"/>
  <c r="D175" i="1"/>
  <c r="C175" i="1"/>
  <c r="B175" i="1"/>
  <c r="A175" i="1"/>
  <c r="R174" i="1"/>
  <c r="N174" i="1"/>
  <c r="J174" i="1"/>
  <c r="I174" i="1"/>
  <c r="H174" i="1"/>
  <c r="G174" i="1"/>
  <c r="F174" i="1"/>
  <c r="E174" i="1"/>
  <c r="D174" i="1"/>
  <c r="C174" i="1"/>
  <c r="B174" i="1"/>
  <c r="A174" i="1"/>
  <c r="R173" i="1"/>
  <c r="Q173" i="1"/>
  <c r="N173" i="1"/>
  <c r="J173" i="1"/>
  <c r="I173" i="1"/>
  <c r="H173" i="1"/>
  <c r="G173" i="1"/>
  <c r="F173" i="1"/>
  <c r="E173" i="1"/>
  <c r="D173" i="1"/>
  <c r="C173" i="1"/>
  <c r="B173" i="1"/>
  <c r="A173" i="1"/>
  <c r="R172" i="1"/>
  <c r="N172" i="1"/>
  <c r="J172" i="1"/>
  <c r="I172" i="1"/>
  <c r="H172" i="1"/>
  <c r="G172" i="1"/>
  <c r="F172" i="1"/>
  <c r="E172" i="1"/>
  <c r="D172" i="1"/>
  <c r="C172" i="1"/>
  <c r="B172" i="1"/>
  <c r="A172" i="1"/>
  <c r="R171" i="1"/>
  <c r="Q171" i="1"/>
  <c r="N171" i="1"/>
  <c r="J171" i="1"/>
  <c r="I171" i="1"/>
  <c r="H171" i="1"/>
  <c r="G171" i="1"/>
  <c r="F171" i="1"/>
  <c r="E171" i="1"/>
  <c r="D171" i="1"/>
  <c r="C171" i="1"/>
  <c r="B171" i="1"/>
  <c r="A171" i="1"/>
  <c r="R170" i="1"/>
  <c r="N170" i="1"/>
  <c r="J170" i="1"/>
  <c r="I170" i="1"/>
  <c r="H170" i="1"/>
  <c r="G170" i="1"/>
  <c r="F170" i="1"/>
  <c r="E170" i="1"/>
  <c r="D170" i="1"/>
  <c r="C170" i="1"/>
  <c r="B170" i="1"/>
  <c r="A170" i="1"/>
  <c r="R169" i="1"/>
  <c r="Q169" i="1"/>
  <c r="N169" i="1"/>
  <c r="J169" i="1"/>
  <c r="I169" i="1"/>
  <c r="H169" i="1"/>
  <c r="G169" i="1"/>
  <c r="F169" i="1"/>
  <c r="E169" i="1"/>
  <c r="D169" i="1"/>
  <c r="C169" i="1"/>
  <c r="B169" i="1"/>
  <c r="A169" i="1"/>
  <c r="R168" i="1"/>
  <c r="N168" i="1"/>
  <c r="J168" i="1"/>
  <c r="I168" i="1"/>
  <c r="H168" i="1"/>
  <c r="G168" i="1"/>
  <c r="F168" i="1"/>
  <c r="E168" i="1"/>
  <c r="D168" i="1"/>
  <c r="C168" i="1"/>
  <c r="B168" i="1"/>
  <c r="A168" i="1"/>
  <c r="R167" i="1"/>
  <c r="Q167" i="1"/>
  <c r="N167" i="1"/>
  <c r="J167" i="1"/>
  <c r="I167" i="1"/>
  <c r="H167" i="1"/>
  <c r="G167" i="1"/>
  <c r="F167" i="1"/>
  <c r="E167" i="1"/>
  <c r="D167" i="1"/>
  <c r="C167" i="1"/>
  <c r="B167" i="1"/>
  <c r="A167" i="1"/>
  <c r="R166" i="1"/>
  <c r="N166" i="1"/>
  <c r="J166" i="1"/>
  <c r="I166" i="1"/>
  <c r="H166" i="1"/>
  <c r="G166" i="1"/>
  <c r="F166" i="1"/>
  <c r="E166" i="1"/>
  <c r="D166" i="1"/>
  <c r="C166" i="1"/>
  <c r="B166" i="1"/>
  <c r="A166" i="1"/>
  <c r="R165" i="1"/>
  <c r="Q165" i="1"/>
  <c r="N165" i="1"/>
  <c r="J165" i="1"/>
  <c r="I165" i="1"/>
  <c r="H165" i="1"/>
  <c r="G165" i="1"/>
  <c r="F165" i="1"/>
  <c r="E165" i="1"/>
  <c r="D165" i="1"/>
  <c r="C165" i="1"/>
  <c r="B165" i="1"/>
  <c r="A165" i="1"/>
  <c r="R164" i="1"/>
  <c r="N164" i="1"/>
  <c r="J164" i="1"/>
  <c r="I164" i="1"/>
  <c r="H164" i="1"/>
  <c r="G164" i="1"/>
  <c r="F164" i="1"/>
  <c r="E164" i="1"/>
  <c r="D164" i="1"/>
  <c r="C164" i="1"/>
  <c r="B164" i="1"/>
  <c r="A164" i="1"/>
  <c r="R163" i="1"/>
  <c r="Q163" i="1"/>
  <c r="N163" i="1"/>
  <c r="J163" i="1"/>
  <c r="I163" i="1"/>
  <c r="H163" i="1"/>
  <c r="G163" i="1"/>
  <c r="F163" i="1"/>
  <c r="E163" i="1"/>
  <c r="D163" i="1"/>
  <c r="C163" i="1"/>
  <c r="B163" i="1"/>
  <c r="A163" i="1"/>
  <c r="R162" i="1"/>
  <c r="N162" i="1"/>
  <c r="J162" i="1"/>
  <c r="I162" i="1"/>
  <c r="H162" i="1"/>
  <c r="G162" i="1"/>
  <c r="F162" i="1"/>
  <c r="E162" i="1"/>
  <c r="D162" i="1"/>
  <c r="C162" i="1"/>
  <c r="B162" i="1"/>
  <c r="A162" i="1"/>
  <c r="R161" i="1"/>
  <c r="Q161" i="1"/>
  <c r="N161" i="1"/>
  <c r="J161" i="1"/>
  <c r="I161" i="1"/>
  <c r="H161" i="1"/>
  <c r="G161" i="1"/>
  <c r="F161" i="1"/>
  <c r="E161" i="1"/>
  <c r="D161" i="1"/>
  <c r="C161" i="1"/>
  <c r="B161" i="1"/>
  <c r="A161" i="1"/>
  <c r="R160" i="1"/>
  <c r="N160" i="1"/>
  <c r="J160" i="1"/>
  <c r="I160" i="1"/>
  <c r="H160" i="1"/>
  <c r="G160" i="1"/>
  <c r="F160" i="1"/>
  <c r="E160" i="1"/>
  <c r="D160" i="1"/>
  <c r="C160" i="1"/>
  <c r="B160" i="1"/>
  <c r="A160" i="1"/>
  <c r="R159" i="1"/>
  <c r="Q159" i="1"/>
  <c r="N159" i="1"/>
  <c r="J159" i="1"/>
  <c r="I159" i="1"/>
  <c r="H159" i="1"/>
  <c r="G159" i="1"/>
  <c r="F159" i="1"/>
  <c r="E159" i="1"/>
  <c r="D159" i="1"/>
  <c r="C159" i="1"/>
  <c r="B159" i="1"/>
  <c r="A159" i="1"/>
  <c r="R158" i="1"/>
  <c r="N158" i="1"/>
  <c r="J158" i="1"/>
  <c r="I158" i="1"/>
  <c r="H158" i="1"/>
  <c r="G158" i="1"/>
  <c r="F158" i="1"/>
  <c r="E158" i="1"/>
  <c r="D158" i="1"/>
  <c r="C158" i="1"/>
  <c r="B158" i="1"/>
  <c r="A158" i="1"/>
  <c r="R157" i="1"/>
  <c r="Q157" i="1"/>
  <c r="N157" i="1"/>
  <c r="J157" i="1"/>
  <c r="I157" i="1"/>
  <c r="H157" i="1"/>
  <c r="G157" i="1"/>
  <c r="F157" i="1"/>
  <c r="E157" i="1"/>
  <c r="D157" i="1"/>
  <c r="C157" i="1"/>
  <c r="B157" i="1"/>
  <c r="A157" i="1"/>
  <c r="R156" i="1"/>
  <c r="N156" i="1"/>
  <c r="J156" i="1"/>
  <c r="I156" i="1"/>
  <c r="H156" i="1"/>
  <c r="G156" i="1"/>
  <c r="F156" i="1"/>
  <c r="E156" i="1"/>
  <c r="D156" i="1"/>
  <c r="C156" i="1"/>
  <c r="B156" i="1"/>
  <c r="A156" i="1"/>
  <c r="R155" i="1"/>
  <c r="Q155" i="1"/>
  <c r="N155" i="1"/>
  <c r="J155" i="1"/>
  <c r="I155" i="1"/>
  <c r="H155" i="1"/>
  <c r="G155" i="1"/>
  <c r="F155" i="1"/>
  <c r="E155" i="1"/>
  <c r="D155" i="1"/>
  <c r="C155" i="1"/>
  <c r="B155" i="1"/>
  <c r="A155" i="1"/>
  <c r="R154" i="1"/>
  <c r="N154" i="1"/>
  <c r="J154" i="1"/>
  <c r="I154" i="1"/>
  <c r="H154" i="1"/>
  <c r="G154" i="1"/>
  <c r="F154" i="1"/>
  <c r="E154" i="1"/>
  <c r="D154" i="1"/>
  <c r="C154" i="1"/>
  <c r="B154" i="1"/>
  <c r="A154" i="1"/>
  <c r="R153" i="1"/>
  <c r="Q153" i="1"/>
  <c r="N153" i="1"/>
  <c r="J153" i="1"/>
  <c r="I153" i="1"/>
  <c r="H153" i="1"/>
  <c r="G153" i="1"/>
  <c r="F153" i="1"/>
  <c r="E153" i="1"/>
  <c r="D153" i="1"/>
  <c r="C153" i="1"/>
  <c r="B153" i="1"/>
  <c r="A153" i="1"/>
  <c r="R152" i="1"/>
  <c r="N152" i="1"/>
  <c r="J152" i="1"/>
  <c r="I152" i="1"/>
  <c r="H152" i="1"/>
  <c r="G152" i="1"/>
  <c r="F152" i="1"/>
  <c r="E152" i="1"/>
  <c r="D152" i="1"/>
  <c r="C152" i="1"/>
  <c r="B152" i="1"/>
  <c r="A152" i="1"/>
  <c r="R151" i="1"/>
  <c r="Q151" i="1"/>
  <c r="N151" i="1"/>
  <c r="J151" i="1"/>
  <c r="I151" i="1"/>
  <c r="H151" i="1"/>
  <c r="G151" i="1"/>
  <c r="F151" i="1"/>
  <c r="E151" i="1"/>
  <c r="D151" i="1"/>
  <c r="C151" i="1"/>
  <c r="B151" i="1"/>
  <c r="A151" i="1"/>
  <c r="R150" i="1"/>
  <c r="N150" i="1"/>
  <c r="J150" i="1"/>
  <c r="I150" i="1"/>
  <c r="H150" i="1"/>
  <c r="G150" i="1"/>
  <c r="F150" i="1"/>
  <c r="E150" i="1"/>
  <c r="D150" i="1"/>
  <c r="C150" i="1"/>
  <c r="B150" i="1"/>
  <c r="A150" i="1"/>
  <c r="R149" i="1"/>
  <c r="Q149" i="1"/>
  <c r="N149" i="1"/>
  <c r="J149" i="1"/>
  <c r="I149" i="1"/>
  <c r="H149" i="1"/>
  <c r="G149" i="1"/>
  <c r="F149" i="1"/>
  <c r="E149" i="1"/>
  <c r="D149" i="1"/>
  <c r="C149" i="1"/>
  <c r="B149" i="1"/>
  <c r="A149" i="1"/>
  <c r="R148" i="1"/>
  <c r="N148" i="1"/>
  <c r="J148" i="1"/>
  <c r="I148" i="1"/>
  <c r="H148" i="1"/>
  <c r="G148" i="1"/>
  <c r="F148" i="1"/>
  <c r="E148" i="1"/>
  <c r="D148" i="1"/>
  <c r="C148" i="1"/>
  <c r="B148" i="1"/>
  <c r="A148" i="1"/>
  <c r="R147" i="1"/>
  <c r="Q147" i="1"/>
  <c r="N147" i="1"/>
  <c r="J147" i="1"/>
  <c r="I147" i="1"/>
  <c r="H147" i="1"/>
  <c r="G147" i="1"/>
  <c r="F147" i="1"/>
  <c r="E147" i="1"/>
  <c r="D147" i="1"/>
  <c r="C147" i="1"/>
  <c r="B147" i="1"/>
  <c r="A147" i="1"/>
  <c r="R146" i="1"/>
  <c r="N146" i="1"/>
  <c r="J146" i="1"/>
  <c r="I146" i="1"/>
  <c r="H146" i="1"/>
  <c r="G146" i="1"/>
  <c r="F146" i="1"/>
  <c r="E146" i="1"/>
  <c r="D146" i="1"/>
  <c r="C146" i="1"/>
  <c r="B146" i="1"/>
  <c r="A146" i="1"/>
  <c r="R145" i="1"/>
  <c r="Q145" i="1"/>
  <c r="N145" i="1"/>
  <c r="J145" i="1"/>
  <c r="I145" i="1"/>
  <c r="H145" i="1"/>
  <c r="G145" i="1"/>
  <c r="F145" i="1"/>
  <c r="E145" i="1"/>
  <c r="D145" i="1"/>
  <c r="C145" i="1"/>
  <c r="B145" i="1"/>
  <c r="A145" i="1"/>
  <c r="R144" i="1"/>
  <c r="N144" i="1"/>
  <c r="J144" i="1"/>
  <c r="I144" i="1"/>
  <c r="H144" i="1"/>
  <c r="G144" i="1"/>
  <c r="F144" i="1"/>
  <c r="E144" i="1"/>
  <c r="D144" i="1"/>
  <c r="C144" i="1"/>
  <c r="B144" i="1"/>
  <c r="A144" i="1"/>
  <c r="R143" i="1"/>
  <c r="Q143" i="1"/>
  <c r="N143" i="1"/>
  <c r="J143" i="1"/>
  <c r="I143" i="1"/>
  <c r="H143" i="1"/>
  <c r="G143" i="1"/>
  <c r="F143" i="1"/>
  <c r="E143" i="1"/>
  <c r="D143" i="1"/>
  <c r="C143" i="1"/>
  <c r="B143" i="1"/>
  <c r="A143" i="1"/>
  <c r="R142" i="1"/>
  <c r="N142" i="1"/>
  <c r="J142" i="1"/>
  <c r="I142" i="1"/>
  <c r="H142" i="1"/>
  <c r="G142" i="1"/>
  <c r="F142" i="1"/>
  <c r="E142" i="1"/>
  <c r="D142" i="1"/>
  <c r="C142" i="1"/>
  <c r="B142" i="1"/>
  <c r="A142" i="1"/>
  <c r="R141" i="1"/>
  <c r="Q141" i="1"/>
  <c r="N141" i="1"/>
  <c r="J141" i="1"/>
  <c r="I141" i="1"/>
  <c r="H141" i="1"/>
  <c r="G141" i="1"/>
  <c r="F141" i="1"/>
  <c r="E141" i="1"/>
  <c r="D141" i="1"/>
  <c r="C141" i="1"/>
  <c r="B141" i="1"/>
  <c r="A141" i="1"/>
  <c r="R140" i="1"/>
  <c r="N140" i="1"/>
  <c r="J140" i="1"/>
  <c r="I140" i="1"/>
  <c r="H140" i="1"/>
  <c r="G140" i="1"/>
  <c r="F140" i="1"/>
  <c r="E140" i="1"/>
  <c r="D140" i="1"/>
  <c r="C140" i="1"/>
  <c r="B140" i="1"/>
  <c r="A140" i="1"/>
  <c r="R139" i="1"/>
  <c r="Q139" i="1"/>
  <c r="N139" i="1"/>
  <c r="J139" i="1"/>
  <c r="I139" i="1"/>
  <c r="H139" i="1"/>
  <c r="G139" i="1"/>
  <c r="F139" i="1"/>
  <c r="E139" i="1"/>
  <c r="D139" i="1"/>
  <c r="C139" i="1"/>
  <c r="B139" i="1"/>
  <c r="A139" i="1"/>
  <c r="R138" i="1"/>
  <c r="N138" i="1"/>
  <c r="J138" i="1"/>
  <c r="I138" i="1"/>
  <c r="H138" i="1"/>
  <c r="G138" i="1"/>
  <c r="F138" i="1"/>
  <c r="E138" i="1"/>
  <c r="D138" i="1"/>
  <c r="C138" i="1"/>
  <c r="B138" i="1"/>
  <c r="A138" i="1"/>
  <c r="R137" i="1"/>
  <c r="Q137" i="1"/>
  <c r="N137" i="1"/>
  <c r="J137" i="1"/>
  <c r="I137" i="1"/>
  <c r="H137" i="1"/>
  <c r="G137" i="1"/>
  <c r="F137" i="1"/>
  <c r="E137" i="1"/>
  <c r="D137" i="1"/>
  <c r="C137" i="1"/>
  <c r="B137" i="1"/>
  <c r="A137" i="1"/>
  <c r="R136" i="1"/>
  <c r="N136" i="1"/>
  <c r="J136" i="1"/>
  <c r="I136" i="1"/>
  <c r="H136" i="1"/>
  <c r="G136" i="1"/>
  <c r="F136" i="1"/>
  <c r="E136" i="1"/>
  <c r="D136" i="1"/>
  <c r="C136" i="1"/>
  <c r="B136" i="1"/>
  <c r="A136" i="1"/>
  <c r="R135" i="1"/>
  <c r="Q135" i="1"/>
  <c r="N135" i="1"/>
  <c r="J135" i="1"/>
  <c r="I135" i="1"/>
  <c r="H135" i="1"/>
  <c r="G135" i="1"/>
  <c r="F135" i="1"/>
  <c r="E135" i="1"/>
  <c r="D135" i="1"/>
  <c r="C135" i="1"/>
  <c r="B135" i="1"/>
  <c r="A135" i="1"/>
  <c r="R134" i="1"/>
  <c r="N134" i="1"/>
  <c r="J134" i="1"/>
  <c r="I134" i="1"/>
  <c r="H134" i="1"/>
  <c r="G134" i="1"/>
  <c r="F134" i="1"/>
  <c r="E134" i="1"/>
  <c r="D134" i="1"/>
  <c r="C134" i="1"/>
  <c r="B134" i="1"/>
  <c r="A134" i="1"/>
  <c r="R133" i="1"/>
  <c r="Q133" i="1"/>
  <c r="N133" i="1"/>
  <c r="J133" i="1"/>
  <c r="I133" i="1"/>
  <c r="H133" i="1"/>
  <c r="G133" i="1"/>
  <c r="F133" i="1"/>
  <c r="E133" i="1"/>
  <c r="D133" i="1"/>
  <c r="C133" i="1"/>
  <c r="B133" i="1"/>
  <c r="A133" i="1"/>
  <c r="R132" i="1"/>
  <c r="N132" i="1"/>
  <c r="J132" i="1"/>
  <c r="I132" i="1"/>
  <c r="H132" i="1"/>
  <c r="G132" i="1"/>
  <c r="F132" i="1"/>
  <c r="E132" i="1"/>
  <c r="D132" i="1"/>
  <c r="C132" i="1"/>
  <c r="B132" i="1"/>
  <c r="A132" i="1"/>
  <c r="R131" i="1"/>
  <c r="Q131" i="1"/>
  <c r="N131" i="1"/>
  <c r="J131" i="1"/>
  <c r="I131" i="1"/>
  <c r="H131" i="1"/>
  <c r="G131" i="1"/>
  <c r="F131" i="1"/>
  <c r="E131" i="1"/>
  <c r="D131" i="1"/>
  <c r="C131" i="1"/>
  <c r="B131" i="1"/>
  <c r="A131" i="1"/>
  <c r="R130" i="1"/>
  <c r="N130" i="1"/>
  <c r="J130" i="1"/>
  <c r="I130" i="1"/>
  <c r="H130" i="1"/>
  <c r="G130" i="1"/>
  <c r="F130" i="1"/>
  <c r="E130" i="1"/>
  <c r="D130" i="1"/>
  <c r="C130" i="1"/>
  <c r="B130" i="1"/>
  <c r="A130" i="1"/>
  <c r="R129" i="1"/>
  <c r="Q129" i="1"/>
  <c r="N129" i="1"/>
  <c r="J129" i="1"/>
  <c r="I129" i="1"/>
  <c r="H129" i="1"/>
  <c r="G129" i="1"/>
  <c r="F129" i="1"/>
  <c r="E129" i="1"/>
  <c r="D129" i="1"/>
  <c r="C129" i="1"/>
  <c r="B129" i="1"/>
  <c r="A129" i="1"/>
  <c r="R128" i="1"/>
  <c r="N128" i="1"/>
  <c r="J128" i="1"/>
  <c r="I128" i="1"/>
  <c r="H128" i="1"/>
  <c r="G128" i="1"/>
  <c r="F128" i="1"/>
  <c r="E128" i="1"/>
  <c r="D128" i="1"/>
  <c r="C128" i="1"/>
  <c r="B128" i="1"/>
  <c r="A128" i="1"/>
  <c r="R127" i="1"/>
  <c r="Q127" i="1"/>
  <c r="N127" i="1"/>
  <c r="J127" i="1"/>
  <c r="I127" i="1"/>
  <c r="H127" i="1"/>
  <c r="G127" i="1"/>
  <c r="F127" i="1"/>
  <c r="E127" i="1"/>
  <c r="D127" i="1"/>
  <c r="C127" i="1"/>
  <c r="B127" i="1"/>
  <c r="A127" i="1"/>
  <c r="R126" i="1"/>
  <c r="N126" i="1"/>
  <c r="J126" i="1"/>
  <c r="I126" i="1"/>
  <c r="H126" i="1"/>
  <c r="G126" i="1"/>
  <c r="F126" i="1"/>
  <c r="E126" i="1"/>
  <c r="D126" i="1"/>
  <c r="C126" i="1"/>
  <c r="B126" i="1"/>
  <c r="A126" i="1"/>
  <c r="R125" i="1"/>
  <c r="Q125" i="1"/>
  <c r="N125" i="1"/>
  <c r="J125" i="1"/>
  <c r="I125" i="1"/>
  <c r="H125" i="1"/>
  <c r="G125" i="1"/>
  <c r="F125" i="1"/>
  <c r="E125" i="1"/>
  <c r="D125" i="1"/>
  <c r="C125" i="1"/>
  <c r="B125" i="1"/>
  <c r="A125" i="1"/>
  <c r="R124" i="1"/>
  <c r="N124" i="1"/>
  <c r="J124" i="1"/>
  <c r="I124" i="1"/>
  <c r="H124" i="1"/>
  <c r="G124" i="1"/>
  <c r="F124" i="1"/>
  <c r="E124" i="1"/>
  <c r="D124" i="1"/>
  <c r="C124" i="1"/>
  <c r="B124" i="1"/>
  <c r="A124" i="1"/>
  <c r="R123" i="1"/>
  <c r="Q123" i="1"/>
  <c r="N123" i="1"/>
  <c r="J123" i="1"/>
  <c r="I123" i="1"/>
  <c r="H123" i="1"/>
  <c r="G123" i="1"/>
  <c r="F123" i="1"/>
  <c r="E123" i="1"/>
  <c r="D123" i="1"/>
  <c r="C123" i="1"/>
  <c r="B123" i="1"/>
  <c r="A123" i="1"/>
  <c r="R122" i="1"/>
  <c r="N122" i="1"/>
  <c r="J122" i="1"/>
  <c r="I122" i="1"/>
  <c r="H122" i="1"/>
  <c r="G122" i="1"/>
  <c r="F122" i="1"/>
  <c r="E122" i="1"/>
  <c r="D122" i="1"/>
  <c r="C122" i="1"/>
  <c r="B122" i="1"/>
  <c r="A122" i="1"/>
  <c r="R121" i="1"/>
  <c r="Q121" i="1"/>
  <c r="N121" i="1"/>
  <c r="J121" i="1"/>
  <c r="I121" i="1"/>
  <c r="H121" i="1"/>
  <c r="G121" i="1"/>
  <c r="F121" i="1"/>
  <c r="E121" i="1"/>
  <c r="D121" i="1"/>
  <c r="C121" i="1"/>
  <c r="B121" i="1"/>
  <c r="A121" i="1"/>
  <c r="R120" i="1"/>
  <c r="N120" i="1"/>
  <c r="J120" i="1"/>
  <c r="I120" i="1"/>
  <c r="H120" i="1"/>
  <c r="G120" i="1"/>
  <c r="F120" i="1"/>
  <c r="E120" i="1"/>
  <c r="D120" i="1"/>
  <c r="C120" i="1"/>
  <c r="B120" i="1"/>
  <c r="A120" i="1"/>
  <c r="R119" i="1"/>
  <c r="Q119" i="1"/>
  <c r="N119" i="1"/>
  <c r="J119" i="1"/>
  <c r="I119" i="1"/>
  <c r="H119" i="1"/>
  <c r="G119" i="1"/>
  <c r="F119" i="1"/>
  <c r="E119" i="1"/>
  <c r="D119" i="1"/>
  <c r="C119" i="1"/>
  <c r="B119" i="1"/>
  <c r="A119" i="1"/>
  <c r="R118" i="1"/>
  <c r="N118" i="1"/>
  <c r="J118" i="1"/>
  <c r="I118" i="1"/>
  <c r="H118" i="1"/>
  <c r="G118" i="1"/>
  <c r="F118" i="1"/>
  <c r="E118" i="1"/>
  <c r="D118" i="1"/>
  <c r="C118" i="1"/>
  <c r="B118" i="1"/>
  <c r="A118" i="1"/>
  <c r="R117" i="1"/>
  <c r="Q117" i="1"/>
  <c r="N117" i="1"/>
  <c r="J117" i="1"/>
  <c r="I117" i="1"/>
  <c r="H117" i="1"/>
  <c r="G117" i="1"/>
  <c r="F117" i="1"/>
  <c r="E117" i="1"/>
  <c r="D117" i="1"/>
  <c r="C117" i="1"/>
  <c r="B117" i="1"/>
  <c r="A117" i="1"/>
  <c r="R116" i="1"/>
  <c r="N116" i="1"/>
  <c r="J116" i="1"/>
  <c r="I116" i="1"/>
  <c r="H116" i="1"/>
  <c r="G116" i="1"/>
  <c r="F116" i="1"/>
  <c r="E116" i="1"/>
  <c r="D116" i="1"/>
  <c r="C116" i="1"/>
  <c r="B116" i="1"/>
  <c r="A116" i="1"/>
  <c r="R115" i="1"/>
  <c r="Q115" i="1"/>
  <c r="N115" i="1"/>
  <c r="J115" i="1"/>
  <c r="I115" i="1"/>
  <c r="H115" i="1"/>
  <c r="G115" i="1"/>
  <c r="F115" i="1"/>
  <c r="E115" i="1"/>
  <c r="D115" i="1"/>
  <c r="C115" i="1"/>
  <c r="B115" i="1"/>
  <c r="A115" i="1"/>
  <c r="R114" i="1"/>
  <c r="N114" i="1"/>
  <c r="J114" i="1"/>
  <c r="I114" i="1"/>
  <c r="H114" i="1"/>
  <c r="G114" i="1"/>
  <c r="F114" i="1"/>
  <c r="E114" i="1"/>
  <c r="D114" i="1"/>
  <c r="C114" i="1"/>
  <c r="B114" i="1"/>
  <c r="A114" i="1"/>
  <c r="R113" i="1"/>
  <c r="Q113" i="1"/>
  <c r="N113" i="1"/>
  <c r="J113" i="1"/>
  <c r="I113" i="1"/>
  <c r="H113" i="1"/>
  <c r="G113" i="1"/>
  <c r="F113" i="1"/>
  <c r="E113" i="1"/>
  <c r="D113" i="1"/>
  <c r="C113" i="1"/>
  <c r="B113" i="1"/>
  <c r="A113" i="1"/>
  <c r="R112" i="1"/>
  <c r="N112" i="1"/>
  <c r="J112" i="1"/>
  <c r="I112" i="1"/>
  <c r="H112" i="1"/>
  <c r="G112" i="1"/>
  <c r="F112" i="1"/>
  <c r="E112" i="1"/>
  <c r="D112" i="1"/>
  <c r="C112" i="1"/>
  <c r="B112" i="1"/>
  <c r="A112" i="1"/>
  <c r="R111" i="1"/>
  <c r="Q111" i="1"/>
  <c r="N111" i="1"/>
  <c r="J111" i="1"/>
  <c r="I111" i="1"/>
  <c r="H111" i="1"/>
  <c r="G111" i="1"/>
  <c r="F111" i="1"/>
  <c r="E111" i="1"/>
  <c r="D111" i="1"/>
  <c r="C111" i="1"/>
  <c r="B111" i="1"/>
  <c r="A111" i="1"/>
  <c r="R110" i="1"/>
  <c r="N110" i="1"/>
  <c r="J110" i="1"/>
  <c r="I110" i="1"/>
  <c r="H110" i="1"/>
  <c r="G110" i="1"/>
  <c r="F110" i="1"/>
  <c r="E110" i="1"/>
  <c r="D110" i="1"/>
  <c r="C110" i="1"/>
  <c r="B110" i="1"/>
  <c r="A110" i="1"/>
  <c r="R109" i="1"/>
  <c r="Q109" i="1"/>
  <c r="N109" i="1"/>
  <c r="J109" i="1"/>
  <c r="I109" i="1"/>
  <c r="H109" i="1"/>
  <c r="G109" i="1"/>
  <c r="F109" i="1"/>
  <c r="E109" i="1"/>
  <c r="D109" i="1"/>
  <c r="C109" i="1"/>
  <c r="B109" i="1"/>
  <c r="A109" i="1"/>
  <c r="R108" i="1"/>
  <c r="N108" i="1"/>
  <c r="J108" i="1"/>
  <c r="I108" i="1"/>
  <c r="H108" i="1"/>
  <c r="G108" i="1"/>
  <c r="F108" i="1"/>
  <c r="E108" i="1"/>
  <c r="D108" i="1"/>
  <c r="C108" i="1"/>
  <c r="B108" i="1"/>
  <c r="A108" i="1"/>
  <c r="R107" i="1"/>
  <c r="Q107" i="1"/>
  <c r="N107" i="1"/>
  <c r="J107" i="1"/>
  <c r="I107" i="1"/>
  <c r="H107" i="1"/>
  <c r="G107" i="1"/>
  <c r="F107" i="1"/>
  <c r="E107" i="1"/>
  <c r="D107" i="1"/>
  <c r="C107" i="1"/>
  <c r="B107" i="1"/>
  <c r="A107" i="1"/>
  <c r="R106" i="1"/>
  <c r="Q106" i="1"/>
  <c r="N106" i="1"/>
  <c r="J106" i="1"/>
  <c r="I106" i="1"/>
  <c r="H106" i="1"/>
  <c r="G106" i="1"/>
  <c r="F106" i="1"/>
  <c r="E106" i="1"/>
  <c r="D106" i="1"/>
  <c r="C106" i="1"/>
  <c r="B106" i="1"/>
  <c r="A106" i="1"/>
  <c r="R105" i="1"/>
  <c r="N105" i="1"/>
  <c r="J105" i="1"/>
  <c r="I105" i="1"/>
  <c r="H105" i="1"/>
  <c r="G105" i="1"/>
  <c r="F105" i="1"/>
  <c r="E105" i="1"/>
  <c r="D105" i="1"/>
  <c r="C105" i="1"/>
  <c r="B105" i="1"/>
  <c r="A105" i="1"/>
  <c r="R104" i="1"/>
  <c r="Q104" i="1"/>
  <c r="N104" i="1"/>
  <c r="J104" i="1"/>
  <c r="I104" i="1"/>
  <c r="H104" i="1"/>
  <c r="G104" i="1"/>
  <c r="F104" i="1"/>
  <c r="E104" i="1"/>
  <c r="D104" i="1"/>
  <c r="C104" i="1"/>
  <c r="B104" i="1"/>
  <c r="A104" i="1"/>
  <c r="R103" i="1"/>
  <c r="N103" i="1"/>
  <c r="J103" i="1"/>
  <c r="I103" i="1"/>
  <c r="H103" i="1"/>
  <c r="G103" i="1"/>
  <c r="F103" i="1"/>
  <c r="E103" i="1"/>
  <c r="D103" i="1"/>
  <c r="C103" i="1"/>
  <c r="B103" i="1"/>
  <c r="A103" i="1"/>
  <c r="R102" i="1"/>
  <c r="Q102" i="1"/>
  <c r="N102" i="1"/>
  <c r="J102" i="1"/>
  <c r="I102" i="1"/>
  <c r="H102" i="1"/>
  <c r="G102" i="1"/>
  <c r="F102" i="1"/>
  <c r="E102" i="1"/>
  <c r="D102" i="1"/>
  <c r="C102" i="1"/>
  <c r="B102" i="1"/>
  <c r="A102" i="1"/>
  <c r="R101" i="1"/>
  <c r="N101" i="1"/>
  <c r="J101" i="1"/>
  <c r="I101" i="1"/>
  <c r="H101" i="1"/>
  <c r="G101" i="1"/>
  <c r="F101" i="1"/>
  <c r="E101" i="1"/>
  <c r="D101" i="1"/>
  <c r="C101" i="1"/>
  <c r="B101" i="1"/>
  <c r="A101" i="1"/>
  <c r="R100" i="1"/>
  <c r="Q100" i="1"/>
  <c r="N100" i="1"/>
  <c r="J100" i="1"/>
  <c r="I100" i="1"/>
  <c r="H100" i="1"/>
  <c r="G100" i="1"/>
  <c r="F100" i="1"/>
  <c r="E100" i="1"/>
  <c r="D100" i="1"/>
  <c r="C100" i="1"/>
  <c r="B100" i="1"/>
  <c r="A100" i="1"/>
  <c r="R99" i="1"/>
  <c r="N99" i="1"/>
  <c r="J99" i="1"/>
  <c r="I99" i="1"/>
  <c r="H99" i="1"/>
  <c r="G99" i="1"/>
  <c r="F99" i="1"/>
  <c r="E99" i="1"/>
  <c r="D99" i="1"/>
  <c r="C99" i="1"/>
  <c r="B99" i="1"/>
  <c r="A99" i="1"/>
  <c r="R98" i="1"/>
  <c r="Q98" i="1"/>
  <c r="N98" i="1"/>
  <c r="J98" i="1"/>
  <c r="I98" i="1"/>
  <c r="H98" i="1"/>
  <c r="G98" i="1"/>
  <c r="F98" i="1"/>
  <c r="E98" i="1"/>
  <c r="D98" i="1"/>
  <c r="C98" i="1"/>
  <c r="B98" i="1"/>
  <c r="A98" i="1"/>
  <c r="R97" i="1"/>
  <c r="N97" i="1"/>
  <c r="J97" i="1"/>
  <c r="I97" i="1"/>
  <c r="H97" i="1"/>
  <c r="G97" i="1"/>
  <c r="F97" i="1"/>
  <c r="E97" i="1"/>
  <c r="D97" i="1"/>
  <c r="C97" i="1"/>
  <c r="B97" i="1"/>
  <c r="A97" i="1"/>
  <c r="R96" i="1"/>
  <c r="Q96" i="1"/>
  <c r="N96" i="1"/>
  <c r="J96" i="1"/>
  <c r="I96" i="1"/>
  <c r="H96" i="1"/>
  <c r="G96" i="1"/>
  <c r="F96" i="1"/>
  <c r="E96" i="1"/>
  <c r="D96" i="1"/>
  <c r="C96" i="1"/>
  <c r="B96" i="1"/>
  <c r="A96" i="1"/>
  <c r="R95" i="1"/>
  <c r="N95" i="1"/>
  <c r="J95" i="1"/>
  <c r="I95" i="1"/>
  <c r="H95" i="1"/>
  <c r="G95" i="1"/>
  <c r="F95" i="1"/>
  <c r="E95" i="1"/>
  <c r="D95" i="1"/>
  <c r="C95" i="1"/>
  <c r="B95" i="1"/>
  <c r="A95" i="1"/>
  <c r="R94" i="1"/>
  <c r="Q94" i="1"/>
  <c r="N94" i="1"/>
  <c r="J94" i="1"/>
  <c r="I94" i="1"/>
  <c r="H94" i="1"/>
  <c r="G94" i="1"/>
  <c r="F94" i="1"/>
  <c r="E94" i="1"/>
  <c r="D94" i="1"/>
  <c r="C94" i="1"/>
  <c r="B94" i="1"/>
  <c r="A94" i="1"/>
  <c r="R93" i="1"/>
  <c r="N93" i="1"/>
  <c r="J93" i="1"/>
  <c r="I93" i="1"/>
  <c r="H93" i="1"/>
  <c r="G93" i="1"/>
  <c r="F93" i="1"/>
  <c r="E93" i="1"/>
  <c r="D93" i="1"/>
  <c r="C93" i="1"/>
  <c r="B93" i="1"/>
  <c r="A93" i="1"/>
  <c r="R92" i="1"/>
  <c r="Q92" i="1"/>
  <c r="N92" i="1"/>
  <c r="J92" i="1"/>
  <c r="I92" i="1"/>
  <c r="H92" i="1"/>
  <c r="G92" i="1"/>
  <c r="F92" i="1"/>
  <c r="E92" i="1"/>
  <c r="D92" i="1"/>
  <c r="C92" i="1"/>
  <c r="B92" i="1"/>
  <c r="A92" i="1"/>
  <c r="R91" i="1"/>
  <c r="Q91" i="1"/>
  <c r="N91" i="1"/>
  <c r="J91" i="1"/>
  <c r="I91" i="1"/>
  <c r="H91" i="1"/>
  <c r="G91" i="1"/>
  <c r="F91" i="1"/>
  <c r="E91" i="1"/>
  <c r="D91" i="1"/>
  <c r="C91" i="1"/>
  <c r="B91" i="1"/>
  <c r="A91" i="1"/>
  <c r="R90" i="1"/>
  <c r="Q90" i="1"/>
  <c r="N90" i="1"/>
  <c r="J90" i="1"/>
  <c r="I90" i="1"/>
  <c r="H90" i="1"/>
  <c r="G90" i="1"/>
  <c r="F90" i="1"/>
  <c r="E90" i="1"/>
  <c r="D90" i="1"/>
  <c r="C90" i="1"/>
  <c r="B90" i="1"/>
  <c r="A90" i="1"/>
  <c r="R89" i="1"/>
  <c r="Q89" i="1"/>
  <c r="N89" i="1"/>
  <c r="J89" i="1"/>
  <c r="I89" i="1"/>
  <c r="H89" i="1"/>
  <c r="G89" i="1"/>
  <c r="F89" i="1"/>
  <c r="E89" i="1"/>
  <c r="D89" i="1"/>
  <c r="C89" i="1"/>
  <c r="B89" i="1"/>
  <c r="A89" i="1"/>
  <c r="R88" i="1"/>
  <c r="N88" i="1"/>
  <c r="J88" i="1"/>
  <c r="I88" i="1"/>
  <c r="H88" i="1"/>
  <c r="G88" i="1"/>
  <c r="F88" i="1"/>
  <c r="E88" i="1"/>
  <c r="D88" i="1"/>
  <c r="C88" i="1"/>
  <c r="B88" i="1"/>
  <c r="A88" i="1"/>
  <c r="R87" i="1"/>
  <c r="Q87" i="1"/>
  <c r="N87" i="1"/>
  <c r="J87" i="1"/>
  <c r="I87" i="1"/>
  <c r="H87" i="1"/>
  <c r="G87" i="1"/>
  <c r="F87" i="1"/>
  <c r="E87" i="1"/>
  <c r="D87" i="1"/>
  <c r="C87" i="1"/>
  <c r="B87" i="1"/>
  <c r="A87" i="1"/>
  <c r="R86" i="1"/>
  <c r="Q86" i="1"/>
  <c r="N86" i="1"/>
  <c r="J86" i="1"/>
  <c r="I86" i="1"/>
  <c r="H86" i="1"/>
  <c r="G86" i="1"/>
  <c r="F86" i="1"/>
  <c r="E86" i="1"/>
  <c r="D86" i="1"/>
  <c r="C86" i="1"/>
  <c r="B86" i="1"/>
  <c r="A86" i="1"/>
  <c r="R85" i="1"/>
  <c r="Q85" i="1"/>
  <c r="N85" i="1"/>
  <c r="J85" i="1"/>
  <c r="I85" i="1"/>
  <c r="H85" i="1"/>
  <c r="G85" i="1"/>
  <c r="F85" i="1"/>
  <c r="E85" i="1"/>
  <c r="D85" i="1"/>
  <c r="C85" i="1"/>
  <c r="B85" i="1"/>
  <c r="A85" i="1"/>
  <c r="R84" i="1"/>
  <c r="N84" i="1"/>
  <c r="J84" i="1"/>
  <c r="I84" i="1"/>
  <c r="H84" i="1"/>
  <c r="G84" i="1"/>
  <c r="F84" i="1"/>
  <c r="E84" i="1"/>
  <c r="D84" i="1"/>
  <c r="C84" i="1"/>
  <c r="B84" i="1"/>
  <c r="A84" i="1"/>
  <c r="R83" i="1"/>
  <c r="Q83" i="1"/>
  <c r="N83" i="1"/>
  <c r="J83" i="1"/>
  <c r="I83" i="1"/>
  <c r="H83" i="1"/>
  <c r="G83" i="1"/>
  <c r="F83" i="1"/>
  <c r="E83" i="1"/>
  <c r="D83" i="1"/>
  <c r="C83" i="1"/>
  <c r="B83" i="1"/>
  <c r="A83" i="1"/>
  <c r="R82" i="1"/>
  <c r="Q82" i="1"/>
  <c r="N82" i="1"/>
  <c r="J82" i="1"/>
  <c r="I82" i="1"/>
  <c r="H82" i="1"/>
  <c r="G82" i="1"/>
  <c r="F82" i="1"/>
  <c r="E82" i="1"/>
  <c r="D82" i="1"/>
  <c r="C82" i="1"/>
  <c r="B82" i="1"/>
  <c r="A82" i="1"/>
  <c r="R81" i="1"/>
  <c r="Q81" i="1"/>
  <c r="N81" i="1"/>
  <c r="J81" i="1"/>
  <c r="I81" i="1"/>
  <c r="H81" i="1"/>
  <c r="G81" i="1"/>
  <c r="F81" i="1"/>
  <c r="E81" i="1"/>
  <c r="D81" i="1"/>
  <c r="C81" i="1"/>
  <c r="B81" i="1"/>
  <c r="A81" i="1"/>
  <c r="R80" i="1"/>
  <c r="N80" i="1"/>
  <c r="J80" i="1"/>
  <c r="I80" i="1"/>
  <c r="H80" i="1"/>
  <c r="G80" i="1"/>
  <c r="F80" i="1"/>
  <c r="E80" i="1"/>
  <c r="D80" i="1"/>
  <c r="C80" i="1"/>
  <c r="B80" i="1"/>
  <c r="A80" i="1"/>
  <c r="R79" i="1"/>
  <c r="Q79" i="1"/>
  <c r="N79" i="1"/>
  <c r="J79" i="1"/>
  <c r="I79" i="1"/>
  <c r="H79" i="1"/>
  <c r="G79" i="1"/>
  <c r="F79" i="1"/>
  <c r="E79" i="1"/>
  <c r="D79" i="1"/>
  <c r="C79" i="1"/>
  <c r="B79" i="1"/>
  <c r="A79" i="1"/>
  <c r="R78" i="1"/>
  <c r="Q78" i="1"/>
  <c r="N78" i="1"/>
  <c r="J78" i="1"/>
  <c r="I78" i="1"/>
  <c r="H78" i="1"/>
  <c r="G78" i="1"/>
  <c r="F78" i="1"/>
  <c r="E78" i="1"/>
  <c r="D78" i="1"/>
  <c r="C78" i="1"/>
  <c r="B78" i="1"/>
  <c r="A78" i="1"/>
  <c r="R77" i="1"/>
  <c r="Q77" i="1"/>
  <c r="N77" i="1"/>
  <c r="J77" i="1"/>
  <c r="I77" i="1"/>
  <c r="H77" i="1"/>
  <c r="G77" i="1"/>
  <c r="F77" i="1"/>
  <c r="E77" i="1"/>
  <c r="D77" i="1"/>
  <c r="C77" i="1"/>
  <c r="B77" i="1"/>
  <c r="A77" i="1"/>
  <c r="R76" i="1"/>
  <c r="Q76" i="1"/>
  <c r="N76" i="1"/>
  <c r="J76" i="1"/>
  <c r="I76" i="1"/>
  <c r="H76" i="1"/>
  <c r="G76" i="1"/>
  <c r="F76" i="1"/>
  <c r="E76" i="1"/>
  <c r="D76" i="1"/>
  <c r="C76" i="1"/>
  <c r="B76" i="1"/>
  <c r="A76" i="1"/>
  <c r="R75" i="1"/>
  <c r="Q75" i="1"/>
  <c r="N75" i="1"/>
  <c r="J75" i="1"/>
  <c r="I75" i="1"/>
  <c r="H75" i="1"/>
  <c r="G75" i="1"/>
  <c r="F75" i="1"/>
  <c r="E75" i="1"/>
  <c r="D75" i="1"/>
  <c r="C75" i="1"/>
  <c r="B75" i="1"/>
  <c r="A75" i="1"/>
  <c r="R74" i="1"/>
  <c r="Q74" i="1"/>
  <c r="N74" i="1"/>
  <c r="J74" i="1"/>
  <c r="I74" i="1"/>
  <c r="H74" i="1"/>
  <c r="G74" i="1"/>
  <c r="F74" i="1"/>
  <c r="E74" i="1"/>
  <c r="D74" i="1"/>
  <c r="C74" i="1"/>
  <c r="B74" i="1"/>
  <c r="A74" i="1"/>
  <c r="R73" i="1"/>
  <c r="N73" i="1"/>
  <c r="J73" i="1"/>
  <c r="I73" i="1"/>
  <c r="H73" i="1"/>
  <c r="G73" i="1"/>
  <c r="F73" i="1"/>
  <c r="E73" i="1"/>
  <c r="D73" i="1"/>
  <c r="C73" i="1"/>
  <c r="B73" i="1"/>
  <c r="A73" i="1"/>
  <c r="R72" i="1"/>
  <c r="Q72" i="1"/>
  <c r="N72" i="1"/>
  <c r="J72" i="1"/>
  <c r="I72" i="1"/>
  <c r="H72" i="1"/>
  <c r="G72" i="1"/>
  <c r="F72" i="1"/>
  <c r="E72" i="1"/>
  <c r="D72" i="1"/>
  <c r="C72" i="1"/>
  <c r="B72" i="1"/>
  <c r="A72" i="1"/>
  <c r="R71" i="1"/>
  <c r="N71" i="1"/>
  <c r="J71" i="1"/>
  <c r="I71" i="1"/>
  <c r="H71" i="1"/>
  <c r="G71" i="1"/>
  <c r="F71" i="1"/>
  <c r="E71" i="1"/>
  <c r="D71" i="1"/>
  <c r="C71" i="1"/>
  <c r="B71" i="1"/>
  <c r="A71" i="1"/>
  <c r="R70" i="1"/>
  <c r="Q70" i="1"/>
  <c r="N70" i="1"/>
  <c r="J70" i="1"/>
  <c r="I70" i="1"/>
  <c r="H70" i="1"/>
  <c r="G70" i="1"/>
  <c r="F70" i="1"/>
  <c r="E70" i="1"/>
  <c r="D70" i="1"/>
  <c r="C70" i="1"/>
  <c r="B70" i="1"/>
  <c r="A70" i="1"/>
  <c r="R69" i="1"/>
  <c r="Q69" i="1"/>
  <c r="N69" i="1"/>
  <c r="J69" i="1"/>
  <c r="I69" i="1"/>
  <c r="H69" i="1"/>
  <c r="G69" i="1"/>
  <c r="F69" i="1"/>
  <c r="E69" i="1"/>
  <c r="D69" i="1"/>
  <c r="C69" i="1"/>
  <c r="B69" i="1"/>
  <c r="A69" i="1"/>
  <c r="R68" i="1"/>
  <c r="N68" i="1"/>
  <c r="J68" i="1"/>
  <c r="I68" i="1"/>
  <c r="H68" i="1"/>
  <c r="G68" i="1"/>
  <c r="F68" i="1"/>
  <c r="E68" i="1"/>
  <c r="D68" i="1"/>
  <c r="C68" i="1"/>
  <c r="B68" i="1"/>
  <c r="A68" i="1"/>
  <c r="R67" i="1"/>
  <c r="Q67" i="1"/>
  <c r="N67" i="1"/>
  <c r="J67" i="1"/>
  <c r="I67" i="1"/>
  <c r="H67" i="1"/>
  <c r="G67" i="1"/>
  <c r="F67" i="1"/>
  <c r="E67" i="1"/>
  <c r="D67" i="1"/>
  <c r="C67" i="1"/>
  <c r="B67" i="1"/>
  <c r="A67" i="1"/>
  <c r="R66" i="1"/>
  <c r="Q66" i="1"/>
  <c r="N66" i="1"/>
  <c r="J66" i="1"/>
  <c r="I66" i="1"/>
  <c r="H66" i="1"/>
  <c r="G66" i="1"/>
  <c r="F66" i="1"/>
  <c r="E66" i="1"/>
  <c r="D66" i="1"/>
  <c r="C66" i="1"/>
  <c r="B66" i="1"/>
  <c r="A66" i="1"/>
  <c r="R65" i="1"/>
  <c r="Q65" i="1"/>
  <c r="N65" i="1"/>
  <c r="J65" i="1"/>
  <c r="I65" i="1"/>
  <c r="H65" i="1"/>
  <c r="G65" i="1"/>
  <c r="F65" i="1"/>
  <c r="E65" i="1"/>
  <c r="D65" i="1"/>
  <c r="C65" i="1"/>
  <c r="B65" i="1"/>
  <c r="A65" i="1"/>
  <c r="R64" i="1"/>
  <c r="Q64" i="1"/>
  <c r="N64" i="1"/>
  <c r="J64" i="1"/>
  <c r="I64" i="1"/>
  <c r="H64" i="1"/>
  <c r="G64" i="1"/>
  <c r="F64" i="1"/>
  <c r="E64" i="1"/>
  <c r="D64" i="1"/>
  <c r="C64" i="1"/>
  <c r="B64" i="1"/>
  <c r="A64" i="1"/>
  <c r="R63" i="1"/>
  <c r="Q63" i="1"/>
  <c r="N63" i="1"/>
  <c r="J63" i="1"/>
  <c r="I63" i="1"/>
  <c r="H63" i="1"/>
  <c r="G63" i="1"/>
  <c r="F63" i="1"/>
  <c r="E63" i="1"/>
  <c r="D63" i="1"/>
  <c r="C63" i="1"/>
  <c r="B63" i="1"/>
  <c r="A63" i="1"/>
  <c r="R62" i="1"/>
  <c r="N62" i="1"/>
  <c r="J62" i="1"/>
  <c r="I62" i="1"/>
  <c r="H62" i="1"/>
  <c r="G62" i="1"/>
  <c r="F62" i="1"/>
  <c r="E62" i="1"/>
  <c r="D62" i="1"/>
  <c r="C62" i="1"/>
  <c r="B62" i="1"/>
  <c r="A62" i="1"/>
  <c r="R61" i="1"/>
  <c r="Q61" i="1"/>
  <c r="N61" i="1"/>
  <c r="J61" i="1"/>
  <c r="I61" i="1"/>
  <c r="H61" i="1"/>
  <c r="G61" i="1"/>
  <c r="F61" i="1"/>
  <c r="E61" i="1"/>
  <c r="D61" i="1"/>
  <c r="C61" i="1"/>
  <c r="B61" i="1"/>
  <c r="A61" i="1"/>
  <c r="R60" i="1"/>
  <c r="N60" i="1"/>
  <c r="J60" i="1"/>
  <c r="I60" i="1"/>
  <c r="H60" i="1"/>
  <c r="G60" i="1"/>
  <c r="F60" i="1"/>
  <c r="E60" i="1"/>
  <c r="D60" i="1"/>
  <c r="C60" i="1"/>
  <c r="B60" i="1"/>
  <c r="A60" i="1"/>
  <c r="R59" i="1"/>
  <c r="Q59" i="1"/>
  <c r="N59" i="1"/>
  <c r="J59" i="1"/>
  <c r="I59" i="1"/>
  <c r="H59" i="1"/>
  <c r="G59" i="1"/>
  <c r="F59" i="1"/>
  <c r="E59" i="1"/>
  <c r="D59" i="1"/>
  <c r="C59" i="1"/>
  <c r="B59" i="1"/>
  <c r="A59" i="1"/>
  <c r="R58" i="1"/>
  <c r="N58" i="1"/>
  <c r="J58" i="1"/>
  <c r="I58" i="1"/>
  <c r="H58" i="1"/>
  <c r="G58" i="1"/>
  <c r="F58" i="1"/>
  <c r="E58" i="1"/>
  <c r="D58" i="1"/>
  <c r="C58" i="1"/>
  <c r="B58" i="1"/>
  <c r="A58" i="1"/>
  <c r="R57" i="1"/>
  <c r="Q57" i="1"/>
  <c r="N57" i="1"/>
  <c r="J57" i="1"/>
  <c r="I57" i="1"/>
  <c r="H57" i="1"/>
  <c r="G57" i="1"/>
  <c r="F57" i="1"/>
  <c r="E57" i="1"/>
  <c r="D57" i="1"/>
  <c r="C57" i="1"/>
  <c r="B57" i="1"/>
  <c r="A57" i="1"/>
  <c r="R56" i="1"/>
  <c r="N56" i="1"/>
  <c r="J56" i="1"/>
  <c r="I56" i="1"/>
  <c r="H56" i="1"/>
  <c r="G56" i="1"/>
  <c r="F56" i="1"/>
  <c r="E56" i="1"/>
  <c r="D56" i="1"/>
  <c r="C56" i="1"/>
  <c r="B56" i="1"/>
  <c r="A56" i="1"/>
  <c r="R55" i="1"/>
  <c r="Q55" i="1"/>
  <c r="N55" i="1"/>
  <c r="J55" i="1"/>
  <c r="I55" i="1"/>
  <c r="H55" i="1"/>
  <c r="G55" i="1"/>
  <c r="F55" i="1"/>
  <c r="E55" i="1"/>
  <c r="D55" i="1"/>
  <c r="C55" i="1"/>
  <c r="B55" i="1"/>
  <c r="A55" i="1"/>
  <c r="R54" i="1"/>
  <c r="Q54" i="1"/>
  <c r="N54" i="1"/>
  <c r="J54" i="1"/>
  <c r="I54" i="1"/>
  <c r="H54" i="1"/>
  <c r="G54" i="1"/>
  <c r="F54" i="1"/>
  <c r="E54" i="1"/>
  <c r="D54" i="1"/>
  <c r="C54" i="1"/>
  <c r="B54" i="1"/>
  <c r="A54" i="1"/>
  <c r="R53" i="1"/>
  <c r="Q53" i="1"/>
  <c r="N53" i="1"/>
  <c r="J53" i="1"/>
  <c r="I53" i="1"/>
  <c r="H53" i="1"/>
  <c r="G53" i="1"/>
  <c r="F53" i="1"/>
  <c r="E53" i="1"/>
  <c r="D53" i="1"/>
  <c r="C53" i="1"/>
  <c r="B53" i="1"/>
  <c r="A53" i="1"/>
  <c r="R52" i="1"/>
  <c r="Q52" i="1"/>
  <c r="N52" i="1"/>
  <c r="J52" i="1"/>
  <c r="I52" i="1"/>
  <c r="H52" i="1"/>
  <c r="G52" i="1"/>
  <c r="F52" i="1"/>
  <c r="E52" i="1"/>
  <c r="D52" i="1"/>
  <c r="C52" i="1"/>
  <c r="B52" i="1"/>
  <c r="A52" i="1"/>
  <c r="R51" i="1"/>
  <c r="N51" i="1"/>
  <c r="J51" i="1"/>
  <c r="I51" i="1"/>
  <c r="H51" i="1"/>
  <c r="G51" i="1"/>
  <c r="F51" i="1"/>
  <c r="E51" i="1"/>
  <c r="D51" i="1"/>
  <c r="C51" i="1"/>
  <c r="B51" i="1"/>
  <c r="A51" i="1"/>
  <c r="R50" i="1"/>
  <c r="Q50" i="1"/>
  <c r="N50" i="1"/>
  <c r="J50" i="1"/>
  <c r="I50" i="1"/>
  <c r="H50" i="1"/>
  <c r="G50" i="1"/>
  <c r="F50" i="1"/>
  <c r="E50" i="1"/>
  <c r="D50" i="1"/>
  <c r="C50" i="1"/>
  <c r="B50" i="1"/>
  <c r="A50" i="1"/>
  <c r="R49" i="1"/>
  <c r="N49" i="1"/>
  <c r="J49" i="1"/>
  <c r="I49" i="1"/>
  <c r="H49" i="1"/>
  <c r="G49" i="1"/>
  <c r="F49" i="1"/>
  <c r="E49" i="1"/>
  <c r="D49" i="1"/>
  <c r="C49" i="1"/>
  <c r="B49" i="1"/>
  <c r="A49" i="1"/>
  <c r="R48" i="1"/>
  <c r="Q48" i="1"/>
  <c r="N48" i="1"/>
  <c r="J48" i="1"/>
  <c r="I48" i="1"/>
  <c r="H48" i="1"/>
  <c r="G48" i="1"/>
  <c r="F48" i="1"/>
  <c r="E48" i="1"/>
  <c r="D48" i="1"/>
  <c r="C48" i="1"/>
  <c r="B48" i="1"/>
  <c r="A48" i="1"/>
  <c r="R47" i="1"/>
  <c r="N47" i="1"/>
  <c r="J47" i="1"/>
  <c r="I47" i="1"/>
  <c r="H47" i="1"/>
  <c r="G47" i="1"/>
  <c r="F47" i="1"/>
  <c r="E47" i="1"/>
  <c r="D47" i="1"/>
  <c r="C47" i="1"/>
  <c r="B47" i="1"/>
  <c r="A47" i="1"/>
  <c r="R46" i="1"/>
  <c r="Q46" i="1"/>
  <c r="N46" i="1"/>
  <c r="J46" i="1"/>
  <c r="I46" i="1"/>
  <c r="H46" i="1"/>
  <c r="G46" i="1"/>
  <c r="F46" i="1"/>
  <c r="E46" i="1"/>
  <c r="D46" i="1"/>
  <c r="C46" i="1"/>
  <c r="B46" i="1"/>
  <c r="A46" i="1"/>
  <c r="R45" i="1"/>
  <c r="Q45" i="1"/>
  <c r="N45" i="1"/>
  <c r="J45" i="1"/>
  <c r="I45" i="1"/>
  <c r="H45" i="1"/>
  <c r="G45" i="1"/>
  <c r="F45" i="1"/>
  <c r="E45" i="1"/>
  <c r="D45" i="1"/>
  <c r="C45" i="1"/>
  <c r="B45" i="1"/>
  <c r="A45" i="1"/>
  <c r="R44" i="1"/>
  <c r="N44" i="1"/>
  <c r="J44" i="1"/>
  <c r="I44" i="1"/>
  <c r="H44" i="1"/>
  <c r="G44" i="1"/>
  <c r="F44" i="1"/>
  <c r="E44" i="1"/>
  <c r="D44" i="1"/>
  <c r="C44" i="1"/>
  <c r="B44" i="1"/>
  <c r="A44" i="1"/>
  <c r="R43" i="1"/>
  <c r="Q43" i="1"/>
  <c r="N43" i="1"/>
  <c r="J43" i="1"/>
  <c r="I43" i="1"/>
  <c r="H43" i="1"/>
  <c r="G43" i="1"/>
  <c r="F43" i="1"/>
  <c r="E43" i="1"/>
  <c r="D43" i="1"/>
  <c r="C43" i="1"/>
  <c r="B43" i="1"/>
  <c r="A43" i="1"/>
  <c r="R42" i="1"/>
  <c r="Q42" i="1"/>
  <c r="N42" i="1"/>
  <c r="J42" i="1"/>
  <c r="I42" i="1"/>
  <c r="H42" i="1"/>
  <c r="G42" i="1"/>
  <c r="F42" i="1"/>
  <c r="E42" i="1"/>
  <c r="D42" i="1"/>
  <c r="C42" i="1"/>
  <c r="B42" i="1"/>
  <c r="A42" i="1"/>
  <c r="R41" i="1"/>
  <c r="Q41" i="1"/>
  <c r="N41" i="1"/>
  <c r="J41" i="1"/>
  <c r="I41" i="1"/>
  <c r="H41" i="1"/>
  <c r="G41" i="1"/>
  <c r="F41" i="1"/>
  <c r="E41" i="1"/>
  <c r="D41" i="1"/>
  <c r="C41" i="1"/>
  <c r="B41" i="1"/>
  <c r="A41" i="1"/>
  <c r="R40" i="1"/>
  <c r="N40" i="1"/>
  <c r="J40" i="1"/>
  <c r="I40" i="1"/>
  <c r="H40" i="1"/>
  <c r="G40" i="1"/>
  <c r="F40" i="1"/>
  <c r="E40" i="1"/>
  <c r="D40" i="1"/>
  <c r="C40" i="1"/>
  <c r="B40" i="1"/>
  <c r="A40" i="1"/>
  <c r="R39" i="1"/>
  <c r="Q39" i="1"/>
  <c r="N39" i="1"/>
  <c r="J39" i="1"/>
  <c r="I39" i="1"/>
  <c r="H39" i="1"/>
  <c r="G39" i="1"/>
  <c r="F39" i="1"/>
  <c r="E39" i="1"/>
  <c r="D39" i="1"/>
  <c r="C39" i="1"/>
  <c r="B39" i="1"/>
  <c r="A39" i="1"/>
  <c r="R38" i="1"/>
  <c r="N38" i="1"/>
  <c r="J38" i="1"/>
  <c r="I38" i="1"/>
  <c r="H38" i="1"/>
  <c r="G38" i="1"/>
  <c r="F38" i="1"/>
  <c r="E38" i="1"/>
  <c r="D38" i="1"/>
  <c r="C38" i="1"/>
  <c r="B38" i="1"/>
  <c r="A38" i="1"/>
  <c r="R37" i="1"/>
  <c r="Q37" i="1"/>
  <c r="N37" i="1"/>
  <c r="J37" i="1"/>
  <c r="I37" i="1"/>
  <c r="H37" i="1"/>
  <c r="G37" i="1"/>
  <c r="F37" i="1"/>
  <c r="E37" i="1"/>
  <c r="D37" i="1"/>
  <c r="C37" i="1"/>
  <c r="B37" i="1"/>
  <c r="A37" i="1"/>
  <c r="R36" i="1"/>
  <c r="N36" i="1"/>
  <c r="J36" i="1"/>
  <c r="I36" i="1"/>
  <c r="H36" i="1"/>
  <c r="G36" i="1"/>
  <c r="F36" i="1"/>
  <c r="E36" i="1"/>
  <c r="D36" i="1"/>
  <c r="C36" i="1"/>
  <c r="B36" i="1"/>
  <c r="A36" i="1"/>
  <c r="R35" i="1"/>
  <c r="Q35" i="1"/>
  <c r="N35" i="1"/>
  <c r="J35" i="1"/>
  <c r="I35" i="1"/>
  <c r="H35" i="1"/>
  <c r="G35" i="1"/>
  <c r="F35" i="1"/>
  <c r="E35" i="1"/>
  <c r="D35" i="1"/>
  <c r="C35" i="1"/>
  <c r="B35" i="1"/>
  <c r="A35" i="1"/>
  <c r="R34" i="1"/>
  <c r="Q34" i="1"/>
  <c r="N34" i="1"/>
  <c r="J34" i="1"/>
  <c r="I34" i="1"/>
  <c r="H34" i="1"/>
  <c r="G34" i="1"/>
  <c r="F34" i="1"/>
  <c r="E34" i="1"/>
  <c r="D34" i="1"/>
  <c r="C34" i="1"/>
  <c r="B34" i="1"/>
  <c r="A34" i="1"/>
  <c r="R33" i="1"/>
  <c r="Q33" i="1"/>
  <c r="N33" i="1"/>
  <c r="J33" i="1"/>
  <c r="I33" i="1"/>
  <c r="H33" i="1"/>
  <c r="G33" i="1"/>
  <c r="F33" i="1"/>
  <c r="E33" i="1"/>
  <c r="D33" i="1"/>
  <c r="C33" i="1"/>
  <c r="B33" i="1"/>
  <c r="A33" i="1"/>
  <c r="R32" i="1"/>
  <c r="Q32" i="1"/>
  <c r="N32" i="1"/>
  <c r="J32" i="1"/>
  <c r="I32" i="1"/>
  <c r="H32" i="1"/>
  <c r="G32" i="1"/>
  <c r="F32" i="1"/>
  <c r="E32" i="1"/>
  <c r="D32" i="1"/>
  <c r="C32" i="1"/>
  <c r="B32" i="1"/>
  <c r="A32" i="1"/>
  <c r="R31" i="1"/>
  <c r="Q31" i="1"/>
  <c r="N31" i="1"/>
  <c r="J31" i="1"/>
  <c r="I31" i="1"/>
  <c r="H31" i="1"/>
  <c r="G31" i="1"/>
  <c r="F31" i="1"/>
  <c r="E31" i="1"/>
  <c r="D31" i="1"/>
  <c r="C31" i="1"/>
  <c r="B31" i="1"/>
  <c r="A31" i="1"/>
  <c r="R30" i="1"/>
  <c r="Q30" i="1"/>
  <c r="N30" i="1"/>
  <c r="J30" i="1"/>
  <c r="I30" i="1"/>
  <c r="H30" i="1"/>
  <c r="G30" i="1"/>
  <c r="F30" i="1"/>
  <c r="E30" i="1"/>
  <c r="D30" i="1"/>
  <c r="C30" i="1"/>
  <c r="B30" i="1"/>
  <c r="A30" i="1"/>
  <c r="R29" i="1"/>
  <c r="Q29" i="1"/>
  <c r="N29" i="1"/>
  <c r="J29" i="1"/>
  <c r="I29" i="1"/>
  <c r="H29" i="1"/>
  <c r="G29" i="1"/>
  <c r="F29" i="1"/>
  <c r="E29" i="1"/>
  <c r="D29" i="1"/>
  <c r="C29" i="1"/>
  <c r="B29" i="1"/>
  <c r="A29" i="1"/>
  <c r="R28" i="1"/>
  <c r="Q28" i="1"/>
  <c r="N28" i="1"/>
  <c r="J28" i="1"/>
  <c r="I28" i="1"/>
  <c r="H28" i="1"/>
  <c r="G28" i="1"/>
  <c r="F28" i="1"/>
  <c r="E28" i="1"/>
  <c r="D28" i="1"/>
  <c r="C28" i="1"/>
  <c r="B28" i="1"/>
  <c r="A28" i="1"/>
  <c r="R27" i="1"/>
  <c r="Q27" i="1"/>
  <c r="N27" i="1"/>
  <c r="J27" i="1"/>
  <c r="I27" i="1"/>
  <c r="H27" i="1"/>
  <c r="G27" i="1"/>
  <c r="F27" i="1"/>
  <c r="E27" i="1"/>
  <c r="D27" i="1"/>
  <c r="C27" i="1"/>
  <c r="B27" i="1"/>
  <c r="A27" i="1"/>
  <c r="R26" i="1"/>
  <c r="Q26" i="1"/>
  <c r="N26" i="1"/>
  <c r="J26" i="1"/>
  <c r="I26" i="1"/>
  <c r="H26" i="1"/>
  <c r="G26" i="1"/>
  <c r="F26" i="1"/>
  <c r="E26" i="1"/>
  <c r="D26" i="1"/>
  <c r="C26" i="1"/>
  <c r="B26" i="1"/>
  <c r="A26" i="1"/>
  <c r="R25" i="1"/>
  <c r="N25" i="1"/>
  <c r="J25" i="1"/>
  <c r="I25" i="1"/>
  <c r="H25" i="1"/>
  <c r="G25" i="1"/>
  <c r="F25" i="1"/>
  <c r="E25" i="1"/>
  <c r="D25" i="1"/>
  <c r="C25" i="1"/>
  <c r="B25" i="1"/>
  <c r="A25" i="1"/>
  <c r="R24" i="1"/>
  <c r="Q24" i="1"/>
  <c r="N24" i="1"/>
  <c r="J24" i="1"/>
  <c r="I24" i="1"/>
  <c r="H24" i="1"/>
  <c r="G24" i="1"/>
  <c r="F24" i="1"/>
  <c r="E24" i="1"/>
  <c r="D24" i="1"/>
  <c r="C24" i="1"/>
  <c r="B24" i="1"/>
  <c r="A24" i="1"/>
  <c r="R23" i="1"/>
  <c r="Q23" i="1"/>
  <c r="N23" i="1"/>
  <c r="J23" i="1"/>
  <c r="I23" i="1"/>
  <c r="H23" i="1"/>
  <c r="G23" i="1"/>
  <c r="F23" i="1"/>
  <c r="E23" i="1"/>
  <c r="D23" i="1"/>
  <c r="C23" i="1"/>
  <c r="B23" i="1"/>
  <c r="A23" i="1"/>
  <c r="R22" i="1"/>
  <c r="Q22" i="1"/>
  <c r="N22" i="1"/>
  <c r="J22" i="1"/>
  <c r="I22" i="1"/>
  <c r="H22" i="1"/>
  <c r="G22" i="1"/>
  <c r="F22" i="1"/>
  <c r="E22" i="1"/>
  <c r="D22" i="1"/>
  <c r="C22" i="1"/>
  <c r="B22" i="1"/>
  <c r="A22" i="1"/>
  <c r="R21" i="1"/>
  <c r="Q21" i="1"/>
  <c r="N21" i="1"/>
  <c r="J21" i="1"/>
  <c r="I21" i="1"/>
  <c r="H21" i="1"/>
  <c r="G21" i="1"/>
  <c r="F21" i="1"/>
  <c r="E21" i="1"/>
  <c r="D21" i="1"/>
  <c r="C21" i="1"/>
  <c r="B21" i="1"/>
  <c r="A21" i="1"/>
  <c r="R20" i="1"/>
  <c r="Q20" i="1"/>
  <c r="N20" i="1"/>
  <c r="J20" i="1"/>
  <c r="I20" i="1"/>
  <c r="H20" i="1"/>
  <c r="G20" i="1"/>
  <c r="F20" i="1"/>
  <c r="E20" i="1"/>
  <c r="D20" i="1"/>
  <c r="C20" i="1"/>
  <c r="B20" i="1"/>
  <c r="A20" i="1"/>
  <c r="R19" i="1"/>
  <c r="Q19" i="1"/>
  <c r="N19" i="1"/>
  <c r="J19" i="1"/>
  <c r="I19" i="1"/>
  <c r="H19" i="1"/>
  <c r="G19" i="1"/>
  <c r="F19" i="1"/>
  <c r="E19" i="1"/>
  <c r="D19" i="1"/>
  <c r="C19" i="1"/>
  <c r="B19" i="1"/>
  <c r="A19" i="1"/>
  <c r="R18" i="1"/>
  <c r="Q18" i="1"/>
  <c r="N18" i="1"/>
  <c r="J18" i="1"/>
  <c r="I18" i="1"/>
  <c r="H18" i="1"/>
  <c r="G18" i="1"/>
  <c r="F18" i="1"/>
  <c r="E18" i="1"/>
  <c r="D18" i="1"/>
  <c r="C18" i="1"/>
  <c r="B18" i="1"/>
  <c r="A18" i="1"/>
  <c r="R17" i="1"/>
  <c r="Q17" i="1"/>
  <c r="N17" i="1"/>
  <c r="J17" i="1"/>
  <c r="I17" i="1"/>
  <c r="H17" i="1"/>
  <c r="G17" i="1"/>
  <c r="F17" i="1"/>
  <c r="E17" i="1"/>
  <c r="D17" i="1"/>
  <c r="C17" i="1"/>
  <c r="B17" i="1"/>
  <c r="A17" i="1"/>
  <c r="R16" i="1"/>
  <c r="Q16" i="1"/>
  <c r="N16" i="1"/>
  <c r="J16" i="1"/>
  <c r="I16" i="1"/>
  <c r="H16" i="1"/>
  <c r="G16" i="1"/>
  <c r="F16" i="1"/>
  <c r="E16" i="1"/>
  <c r="D16" i="1"/>
  <c r="C16" i="1"/>
  <c r="B16" i="1"/>
  <c r="A16" i="1"/>
  <c r="R15" i="1"/>
  <c r="Q15" i="1"/>
  <c r="N15" i="1"/>
  <c r="J15" i="1"/>
  <c r="I15" i="1"/>
  <c r="H15" i="1"/>
  <c r="G15" i="1"/>
  <c r="F15" i="1"/>
  <c r="E15" i="1"/>
  <c r="D15" i="1"/>
  <c r="C15" i="1"/>
  <c r="B15" i="1"/>
  <c r="A15" i="1"/>
  <c r="R14" i="1"/>
  <c r="Q14" i="1"/>
  <c r="N14" i="1"/>
  <c r="J14" i="1"/>
  <c r="I14" i="1"/>
  <c r="H14" i="1"/>
  <c r="G14" i="1"/>
  <c r="F14" i="1"/>
  <c r="E14" i="1"/>
  <c r="D14" i="1"/>
  <c r="C14" i="1"/>
  <c r="B14" i="1"/>
  <c r="A14" i="1"/>
  <c r="R13" i="1"/>
  <c r="Q13" i="1"/>
  <c r="N13" i="1"/>
  <c r="J13" i="1"/>
  <c r="I13" i="1"/>
  <c r="H13" i="1"/>
  <c r="G13" i="1"/>
  <c r="F13" i="1"/>
  <c r="E13" i="1"/>
  <c r="D13" i="1"/>
  <c r="C13" i="1"/>
  <c r="B13" i="1"/>
  <c r="A13" i="1"/>
  <c r="R12" i="1"/>
  <c r="N12" i="1"/>
  <c r="J12" i="1"/>
  <c r="I12" i="1"/>
  <c r="H12" i="1"/>
  <c r="G12" i="1"/>
  <c r="F12" i="1"/>
  <c r="E12" i="1"/>
  <c r="D12" i="1"/>
  <c r="C12" i="1"/>
  <c r="B12" i="1"/>
  <c r="A12" i="1"/>
  <c r="R11" i="1"/>
  <c r="Q11" i="1"/>
  <c r="N11" i="1"/>
  <c r="J11" i="1"/>
  <c r="I11" i="1"/>
  <c r="H11" i="1"/>
  <c r="G11" i="1"/>
  <c r="F11" i="1"/>
  <c r="E11" i="1"/>
  <c r="D11" i="1"/>
  <c r="C11" i="1"/>
  <c r="B11" i="1"/>
  <c r="A11" i="1"/>
  <c r="R10" i="1"/>
  <c r="N10" i="1"/>
  <c r="J10" i="1"/>
  <c r="I10" i="1"/>
  <c r="H10" i="1"/>
  <c r="G10" i="1"/>
  <c r="F10" i="1"/>
  <c r="E10" i="1"/>
  <c r="D10" i="1"/>
  <c r="C10" i="1"/>
  <c r="B10" i="1"/>
  <c r="A10" i="1"/>
  <c r="R9" i="1"/>
  <c r="Q9" i="1"/>
  <c r="N9" i="1"/>
  <c r="J9" i="1"/>
  <c r="I9" i="1"/>
  <c r="H9" i="1"/>
  <c r="G9" i="1"/>
  <c r="F9" i="1"/>
  <c r="E9" i="1"/>
  <c r="D9" i="1"/>
  <c r="C9" i="1"/>
  <c r="B9" i="1"/>
  <c r="A9" i="1"/>
  <c r="R8" i="1"/>
  <c r="N8" i="1"/>
  <c r="J8" i="1"/>
  <c r="I8" i="1"/>
  <c r="H8" i="1"/>
  <c r="G8" i="1"/>
  <c r="F8" i="1"/>
  <c r="E8" i="1"/>
  <c r="D8" i="1"/>
  <c r="C8" i="1"/>
  <c r="B8" i="1"/>
  <c r="A8" i="1"/>
  <c r="R7" i="1"/>
  <c r="Q7" i="1"/>
  <c r="N7" i="1"/>
  <c r="J7" i="1"/>
  <c r="I7" i="1"/>
  <c r="H7" i="1"/>
  <c r="G7" i="1"/>
  <c r="F7" i="1"/>
  <c r="E7" i="1"/>
  <c r="D7" i="1"/>
  <c r="C7" i="1"/>
  <c r="B7" i="1"/>
  <c r="A7" i="1"/>
  <c r="R6" i="1"/>
  <c r="N6" i="1"/>
  <c r="J6" i="1"/>
  <c r="I6" i="1"/>
  <c r="H6" i="1"/>
  <c r="G6" i="1"/>
  <c r="F6" i="1"/>
  <c r="E6" i="1"/>
  <c r="D6" i="1"/>
  <c r="C6" i="1"/>
  <c r="B6" i="1"/>
  <c r="A6" i="1"/>
  <c r="R5" i="1"/>
  <c r="Q5" i="1"/>
  <c r="N5" i="1"/>
  <c r="J5" i="1"/>
  <c r="I5" i="1"/>
  <c r="H5" i="1"/>
  <c r="G5" i="1"/>
  <c r="F5" i="1"/>
  <c r="E5" i="1"/>
  <c r="D5" i="1"/>
  <c r="C5" i="1"/>
  <c r="B5" i="1"/>
  <c r="A5" i="1"/>
  <c r="R4" i="1"/>
  <c r="N4" i="1"/>
  <c r="J4" i="1"/>
  <c r="I4" i="1"/>
  <c r="H4" i="1"/>
  <c r="G4" i="1"/>
  <c r="F4" i="1"/>
  <c r="E4" i="1"/>
  <c r="D4" i="1"/>
  <c r="C4" i="1"/>
  <c r="B4" i="1"/>
  <c r="A4" i="1"/>
  <c r="R3" i="1"/>
  <c r="Q3" i="1"/>
  <c r="N3" i="1"/>
  <c r="J3" i="1"/>
  <c r="I3" i="1"/>
  <c r="H3" i="1"/>
  <c r="G3" i="1"/>
  <c r="F3" i="1"/>
  <c r="E3" i="1"/>
  <c r="D3" i="1"/>
  <c r="C3" i="1"/>
  <c r="B3" i="1"/>
  <c r="A3" i="1"/>
  <c r="R2" i="1"/>
  <c r="N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<sst xmlns="http://schemas.openxmlformats.org/spreadsheetml/2006/main" count="1224" uniqueCount="29">
  <si>
    <t>DATA MOVIMENTO</t>
  </si>
  <si>
    <t>ENTRADA/SAÍDA</t>
  </si>
  <si>
    <t>TIPO TÍTULO</t>
  </si>
  <si>
    <t>NÚMERO DOCTO</t>
  </si>
  <si>
    <t>QUEM GEROU</t>
  </si>
  <si>
    <t>PARCEIROV (FARMÁCIA PAGADOR OU ENTREGADOR)</t>
  </si>
  <si>
    <t>REFERENTE</t>
  </si>
  <si>
    <t>VENCIMENTO</t>
  </si>
  <si>
    <t>EMISSÃO</t>
  </si>
  <si>
    <t>PAGAMENTO</t>
  </si>
  <si>
    <t>VALOR ORIGINAL</t>
  </si>
  <si>
    <t>VALOR PAGO / RECEBIDO</t>
  </si>
  <si>
    <t>CONTA</t>
  </si>
  <si>
    <t>PLANO DE CONTAS</t>
  </si>
  <si>
    <t>VALOR MOV.CONTA</t>
  </si>
  <si>
    <t>VALOR RATEADO PARA O PRESTADOR</t>
  </si>
  <si>
    <t>CENTRO DE CUSTO (FARMÁCIA PRESTADORA)</t>
  </si>
  <si>
    <t>BANCO / CAIXA</t>
  </si>
  <si>
    <t>REGISTRO MOVIMENTO</t>
  </si>
  <si>
    <t>REGISTRO COMPROMISSO</t>
  </si>
  <si>
    <t>BANCO</t>
  </si>
  <si>
    <t>BANCO CORA (102)</t>
  </si>
  <si>
    <t>RECEITAS COM SETUP (117)</t>
  </si>
  <si>
    <t>DESPESAS COM EVENTOS (129)</t>
  </si>
  <si>
    <t>CAIXA MOVIMENTAÇÃO OPERACIONAL (132)</t>
  </si>
  <si>
    <t>CAIXA - COOPERATIVA (120)</t>
  </si>
  <si>
    <t>EQUIPAMENTOS DE INFORMATICA (130)</t>
  </si>
  <si>
    <t>COMISSÕES DE REPRESENTANTES (126)</t>
  </si>
  <si>
    <t>BANCO SICREDI (131)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</si>
</sst>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5"/>
  <sheetViews>
    <sheetView tabSelected="1" workbookViewId="0">
      <pane activePane="bottomRight" state="frozen"/>
      <selection activeCell="O1205" sqref="O1205"/>
    </sheetView>
  </sheetViews>
  <sheetFormatPr defaultColWidth="9.109375" defaultRowHeight="13.8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tr">
        <f t="shared" ref="A2:A11" si="0">("03/11/2025")</f>
        <v>03/11/2025</v>
      </c>
      <c r="B2" t="str">
        <f t="shared" ref="B2:B5" si="1">"SAÍDA"</f>
        <v>SAÍDA</v>
      </c>
      <c r="C2" t="str">
        <f>"PIX"</f>
        <v>PIX</v>
      </c>
      <c r="D2" t="str">
        <f>"102510000"</f>
        <v>102510000</v>
      </c>
      <c r="E2" t="str">
        <f t="shared" ref="E2:E61" si="2">"COM"</f>
        <v>COM</v>
      </c>
      <c r="F2" t="str">
        <f>"MARCELO REZENDE ARANTES (20014)"</f>
        <v>MARCELO REZENDE ARANTES (20014)</v>
      </c>
      <c r="G2" t="str">
        <f>"REF. PRO-LABORE MES 10/2025"</f>
        <v>REF. PRO-LABORE MES 10/2025</v>
      </c>
      <c r="H2" t="str">
        <f>("04/11/2025")</f>
        <v>04/11/2025</v>
      </c>
      <c r="I2" t="str">
        <f t="shared" ref="I2:I5" si="3">("01/11/2025")</f>
        <v>01/11/2025</v>
      </c>
      <c r="J2" t="str">
        <f t="shared" ref="J2:J11" si="4">("03/11/2025")</f>
        <v>03/11/2025</v>
      </c>
      <c r="K2">
        <v>39.24</v>
      </c>
      <c r="L2">
        <v>39.24</v>
      </c>
      <c r="M2">
        <v>108</v>
      </c>
      <c r="N2" t="str">
        <f>"PRO LABORE - MARCELO"</f>
        <v>PRO LABORE - MARCELO</v>
      </c>
      <c r="O2">
        <v>39.24</v>
      </c>
      <c r="R2" t="str">
        <f>"CAIXA MOVIMENTAÇÃO OPERACIONAL (132)"</f>
        <v>CAIXA MOVIMENTAÇÃO OPERACIONAL (132)</v>
      </c>
      <c r="S2">
        <v>2865</v>
      </c>
      <c r="T2">
        <v>2436</v>
      </c>
      <c r="U2" t="s">
        <v>24</v>
      </c>
    </row>
    <row r="3" spans="1:21">
      <c r="A3" t="str">
        <f t="shared" si="0"/>
        <v>03/11/2025</v>
      </c>
      <c r="B3" t="str">
        <f t="shared" si="1"/>
        <v>SAÍDA</v>
      </c>
      <c r="C3" t="str">
        <f>"PIX"</f>
        <v>PIX</v>
      </c>
      <c r="D3" t="str">
        <f>"102510000"</f>
        <v>102510000</v>
      </c>
      <c r="E3" t="str">
        <f t="shared" si="2"/>
        <v>COM</v>
      </c>
      <c r="F3" t="str">
        <f>"MARCELO REZENDE ARANTES (20014)"</f>
        <v>MARCELO REZENDE ARANTES (20014)</v>
      </c>
      <c r="G3" t="str">
        <f>"REF. PRO-LABORE MES 10/2025"</f>
        <v>REF. PRO-LABORE MES 10/2025</v>
      </c>
      <c r="H3" t="str">
        <f>("04/11/2025")</f>
        <v>04/11/2025</v>
      </c>
      <c r="I3" t="str">
        <f t="shared" si="3"/>
        <v>01/11/2025</v>
      </c>
      <c r="J3" t="str">
        <f t="shared" si="4"/>
        <v>03/11/2025</v>
      </c>
      <c r="M3">
        <v>108</v>
      </c>
      <c r="N3" t="str">
        <f>"PRO LABORE - MARCELO"</f>
        <v>PRO LABORE - MARCELO</v>
      </c>
      <c r="P3">
        <v>39.24</v>
      </c>
      <c r="Q3" t="str">
        <f>"MARCELO REZENDE ARANTES (20014)"</f>
        <v>MARCELO REZENDE ARANTES (20014)</v>
      </c>
      <c r="R3" t="str">
        <f>"CAIXA MOVIMENTAÇÃO OPERACIONAL (132)"</f>
        <v>CAIXA MOVIMENTAÇÃO OPERACIONAL (132)</v>
      </c>
      <c r="S3">
        <v>2865</v>
      </c>
      <c r="T3">
        <v>2436</v>
      </c>
      <c r="U3" t="s">
        <v>24</v>
      </c>
    </row>
    <row r="4" spans="1:21">
      <c r="A4" t="str">
        <f t="shared" si="0"/>
        <v>03/11/2025</v>
      </c>
      <c r="B4" t="str">
        <f t="shared" si="1"/>
        <v>SAÍDA</v>
      </c>
      <c r="C4" t="str">
        <f>"PIX"</f>
        <v>PIX</v>
      </c>
      <c r="D4" t="str">
        <f>"10252333333"</f>
        <v>10252333333</v>
      </c>
      <c r="E4" t="str">
        <f t="shared" si="2"/>
        <v>COM</v>
      </c>
      <c r="F4" t="str">
        <f>"LILIANE DE FATIMA REZENDE JUSTINO (20013)"</f>
        <v>LILIANE DE FATIMA REZENDE JUSTINO (20013)</v>
      </c>
      <c r="G4" t="str">
        <f>"REF. PRO-LABORE MES 10/2025"</f>
        <v>REF. PRO-LABORE MES 10/2025</v>
      </c>
      <c r="H4" t="str">
        <f>("04/11/2025")</f>
        <v>04/11/2025</v>
      </c>
      <c r="I4" t="str">
        <f t="shared" si="3"/>
        <v>01/11/2025</v>
      </c>
      <c r="J4" t="str">
        <f t="shared" si="4"/>
        <v>03/11/2025</v>
      </c>
      <c r="K4">
        <v>80.599999999999994</v>
      </c>
      <c r="L4">
        <v>80.599999999999994</v>
      </c>
      <c r="M4">
        <v>124</v>
      </c>
      <c r="N4" t="str">
        <f>"PRO LABORE - LILIANE"</f>
        <v>PRO LABORE - LILIANE</v>
      </c>
      <c r="O4">
        <v>80.599999999999994</v>
      </c>
      <c r="R4" t="str">
        <f>"CAIXA MOVIMENTAÇÃO OPERACIONAL (132)"</f>
        <v>CAIXA MOVIMENTAÇÃO OPERACIONAL (132)</v>
      </c>
      <c r="S4">
        <v>2866</v>
      </c>
      <c r="T4">
        <v>2437</v>
      </c>
      <c r="U4" t="s">
        <v>24</v>
      </c>
    </row>
    <row r="5" spans="1:21">
      <c r="A5" t="str">
        <f t="shared" si="0"/>
        <v>03/11/2025</v>
      </c>
      <c r="B5" t="str">
        <f t="shared" si="1"/>
        <v>SAÍDA</v>
      </c>
      <c r="C5" t="str">
        <f>"PIX"</f>
        <v>PIX</v>
      </c>
      <c r="D5" t="str">
        <f>"10252333333"</f>
        <v>10252333333</v>
      </c>
      <c r="E5" t="str">
        <f t="shared" si="2"/>
        <v>COM</v>
      </c>
      <c r="F5" t="str">
        <f>"LILIANE DE FATIMA REZENDE JUSTINO (20013)"</f>
        <v>LILIANE DE FATIMA REZENDE JUSTINO (20013)</v>
      </c>
      <c r="G5" t="str">
        <f>"REF. PRO-LABORE MES 10/2025"</f>
        <v>REF. PRO-LABORE MES 10/2025</v>
      </c>
      <c r="H5" t="str">
        <f>("04/11/2025")</f>
        <v>04/11/2025</v>
      </c>
      <c r="I5" t="str">
        <f t="shared" si="3"/>
        <v>01/11/2025</v>
      </c>
      <c r="J5" t="str">
        <f t="shared" si="4"/>
        <v>03/11/2025</v>
      </c>
      <c r="M5">
        <v>124</v>
      </c>
      <c r="N5" t="str">
        <f>"PRO LABORE - LILIANE"</f>
        <v>PRO LABORE - LILIANE</v>
      </c>
      <c r="P5">
        <v>80.599999999999994</v>
      </c>
      <c r="Q5" t="str">
        <f>"LILIANE DE FATIMA REZENDE JUSTINO (20013)"</f>
        <v>LILIANE DE FATIMA REZENDE JUSTINO (20013)</v>
      </c>
      <c r="R5" t="str">
        <f>"CAIXA MOVIMENTAÇÃO OPERACIONAL (132)"</f>
        <v>CAIXA MOVIMENTAÇÃO OPERACIONAL (132)</v>
      </c>
      <c r="S5">
        <v>2866</v>
      </c>
      <c r="T5">
        <v>2437</v>
      </c>
      <c r="U5" t="s">
        <v>24</v>
      </c>
    </row>
    <row r="6" spans="1:21">
      <c r="A6" t="str">
        <f t="shared" si="0"/>
        <v>03/11/2025</v>
      </c>
      <c r="B6" t="str">
        <f t="shared" ref="B6:B35" si="5">"ENTRADA"</f>
        <v>ENTRADA</v>
      </c>
      <c r="C6" t="str">
        <f t="shared" ref="C6:C35" si="6">"NFSE"</f>
        <v>NFSE</v>
      </c>
      <c r="D6" t="str">
        <f>"3699"</f>
        <v>3699</v>
      </c>
      <c r="E6" t="str">
        <f t="shared" si="2"/>
        <v>COM</v>
      </c>
      <c r="F6" t="str">
        <f>"DROGARIA VAZ (10179)"</f>
        <v>DROGARIA VAZ (10179)</v>
      </c>
      <c r="G6" t="str">
        <f>"Serv.Prest. 20/10/2025 a 26/10/2025 - RPS: 1463 - NFSe: 3699"</f>
        <v>Serv.Prest. 20/10/2025 a 26/10/2025 - RPS: 1463 - NFSe: 3699</v>
      </c>
      <c r="H6" t="str">
        <f>("29/10/2025")</f>
        <v>29/10/2025</v>
      </c>
      <c r="I6" t="str">
        <f>("27/10/2025")</f>
        <v>27/10/2025</v>
      </c>
      <c r="J6" t="str">
        <f t="shared" si="4"/>
        <v>03/11/2025</v>
      </c>
      <c r="K6">
        <v>172.73</v>
      </c>
      <c r="L6">
        <v>176.46</v>
      </c>
      <c r="M6">
        <v>303</v>
      </c>
      <c r="N6" t="str">
        <f t="shared" ref="N6:N35" si="7">"RECEITAS COM ENTREGAS"</f>
        <v>RECEITAS COM ENTREGAS</v>
      </c>
      <c r="O6">
        <v>176.46</v>
      </c>
      <c r="R6" t="str">
        <f t="shared" ref="R6:R35" si="8">"RECEITAS COM ENTREGAS (303)"</f>
        <v>RECEITAS COM ENTREGAS (303)</v>
      </c>
      <c r="S6">
        <v>2938</v>
      </c>
      <c r="T6">
        <v>2385</v>
      </c>
      <c r="U6" t="s">
        <v>21</v>
      </c>
    </row>
    <row r="7" spans="1:21">
      <c r="A7" t="str">
        <f t="shared" si="0"/>
        <v>03/11/2025</v>
      </c>
      <c r="B7" t="str">
        <f t="shared" si="5"/>
        <v>ENTRADA</v>
      </c>
      <c r="C7" t="str">
        <f t="shared" si="6"/>
        <v>NFSE</v>
      </c>
      <c r="D7" t="str">
        <f>"3699"</f>
        <v>3699</v>
      </c>
      <c r="E7" t="str">
        <f t="shared" si="2"/>
        <v>COM</v>
      </c>
      <c r="F7" t="str">
        <f>"DROGARIA VAZ (10179)"</f>
        <v>DROGARIA VAZ (10179)</v>
      </c>
      <c r="G7" t="str">
        <f>"Serv.Prest. 20/10/2025 a 26/10/2025 - RPS: 1463 - NFSe: 3699"</f>
        <v>Serv.Prest. 20/10/2025 a 26/10/2025 - RPS: 1463 - NFSe: 3699</v>
      </c>
      <c r="H7" t="str">
        <f>("29/10/2025")</f>
        <v>29/10/2025</v>
      </c>
      <c r="I7" t="str">
        <f>("27/10/2025")</f>
        <v>27/10/2025</v>
      </c>
      <c r="J7" t="str">
        <f t="shared" si="4"/>
        <v>03/11/2025</v>
      </c>
      <c r="M7">
        <v>303</v>
      </c>
      <c r="N7" t="str">
        <f t="shared" si="7"/>
        <v>RECEITAS COM ENTREGAS</v>
      </c>
      <c r="P7">
        <v>176.46</v>
      </c>
      <c r="Q7" t="str">
        <f>"DROGARIA VAZ (10179)"</f>
        <v>DROGARIA VAZ (10179)</v>
      </c>
      <c r="R7" t="str">
        <f t="shared" si="8"/>
        <v>RECEITAS COM ENTREGAS (303)</v>
      </c>
      <c r="S7">
        <v>2938</v>
      </c>
      <c r="T7">
        <v>2385</v>
      </c>
      <c r="U7" t="s">
        <v>21</v>
      </c>
    </row>
    <row r="8" spans="1:21">
      <c r="A8" t="str">
        <f t="shared" si="0"/>
        <v>03/11/2025</v>
      </c>
      <c r="B8" t="str">
        <f t="shared" si="5"/>
        <v>ENTRADA</v>
      </c>
      <c r="C8" t="str">
        <f t="shared" si="6"/>
        <v>NFSE</v>
      </c>
      <c r="D8" t="str">
        <f>"3650"</f>
        <v>3650</v>
      </c>
      <c r="E8" t="str">
        <f t="shared" si="2"/>
        <v>COM</v>
      </c>
      <c r="F8" t="str">
        <f>"PAGMENOS - LJ 608 (10135)"</f>
        <v>PAGMENOS - LJ 608 (10135)</v>
      </c>
      <c r="G8" t="str">
        <f>"Serv.Prest. 13/10/2025 a 19/10/2025 - RPS: 1415 - NFSe: 3650"</f>
        <v>Serv.Prest. 13/10/2025 a 19/10/2025 - RPS: 1415 - NFSe: 3650</v>
      </c>
      <c r="H8" t="str">
        <f>("31/10/2025")</f>
        <v>31/10/2025</v>
      </c>
      <c r="I8" t="str">
        <f>("21/10/2025")</f>
        <v>21/10/2025</v>
      </c>
      <c r="J8" t="str">
        <f t="shared" si="4"/>
        <v>03/11/2025</v>
      </c>
      <c r="K8">
        <v>280.20999999999998</v>
      </c>
      <c r="L8">
        <v>280.20999999999998</v>
      </c>
      <c r="M8">
        <v>303</v>
      </c>
      <c r="N8" t="str">
        <f t="shared" si="7"/>
        <v>RECEITAS COM ENTREGAS</v>
      </c>
      <c r="O8">
        <v>280.20999999999998</v>
      </c>
      <c r="R8" t="str">
        <f t="shared" si="8"/>
        <v>RECEITAS COM ENTREGAS (303)</v>
      </c>
      <c r="S8">
        <v>2945</v>
      </c>
      <c r="T8">
        <v>2327</v>
      </c>
      <c r="U8" t="s">
        <v>21</v>
      </c>
    </row>
    <row r="9" spans="1:21">
      <c r="A9" t="str">
        <f t="shared" si="0"/>
        <v>03/11/2025</v>
      </c>
      <c r="B9" t="str">
        <f t="shared" si="5"/>
        <v>ENTRADA</v>
      </c>
      <c r="C9" t="str">
        <f t="shared" si="6"/>
        <v>NFSE</v>
      </c>
      <c r="D9" t="str">
        <f>"3650"</f>
        <v>3650</v>
      </c>
      <c r="E9" t="str">
        <f t="shared" si="2"/>
        <v>COM</v>
      </c>
      <c r="F9" t="str">
        <f>"PAGMENOS - LJ 608 (10135)"</f>
        <v>PAGMENOS - LJ 608 (10135)</v>
      </c>
      <c r="G9" t="str">
        <f>"Serv.Prest. 13/10/2025 a 19/10/2025 - RPS: 1415 - NFSe: 3650"</f>
        <v>Serv.Prest. 13/10/2025 a 19/10/2025 - RPS: 1415 - NFSe: 3650</v>
      </c>
      <c r="H9" t="str">
        <f>("31/10/2025")</f>
        <v>31/10/2025</v>
      </c>
      <c r="I9" t="str">
        <f>("21/10/2025")</f>
        <v>21/10/2025</v>
      </c>
      <c r="J9" t="str">
        <f t="shared" si="4"/>
        <v>03/11/2025</v>
      </c>
      <c r="M9">
        <v>303</v>
      </c>
      <c r="N9" t="str">
        <f t="shared" si="7"/>
        <v>RECEITAS COM ENTREGAS</v>
      </c>
      <c r="P9">
        <v>280.20999999999998</v>
      </c>
      <c r="Q9" t="str">
        <f>"PAGMENOS - LJ 608 (10135)"</f>
        <v>PAGMENOS - LJ 608 (10135)</v>
      </c>
      <c r="R9" t="str">
        <f t="shared" si="8"/>
        <v>RECEITAS COM ENTREGAS (303)</v>
      </c>
      <c r="S9">
        <v>2945</v>
      </c>
      <c r="T9">
        <v>2327</v>
      </c>
      <c r="U9" t="s">
        <v>21</v>
      </c>
    </row>
    <row r="10" spans="1:21">
      <c r="A10" t="str">
        <f t="shared" si="0"/>
        <v>03/11/2025</v>
      </c>
      <c r="B10" t="str">
        <f t="shared" si="5"/>
        <v>ENTRADA</v>
      </c>
      <c r="C10" t="str">
        <f t="shared" si="6"/>
        <v>NFSE</v>
      </c>
      <c r="D10" t="str">
        <f>"3651"</f>
        <v>3651</v>
      </c>
      <c r="E10" t="str">
        <f t="shared" si="2"/>
        <v>COM</v>
      </c>
      <c r="F10" t="str">
        <f>"PAGMENOS - LJ 657 (10136)"</f>
        <v>PAGMENOS - LJ 657 (10136)</v>
      </c>
      <c r="G10" t="str">
        <f>"Serv.Prest. 13/10/2025 a 19/10/2025 - RPS: 1416 - NFSe: 3651"</f>
        <v>Serv.Prest. 13/10/2025 a 19/10/2025 - RPS: 1416 - NFSe: 3651</v>
      </c>
      <c r="H10" t="str">
        <f>("31/10/2025")</f>
        <v>31/10/2025</v>
      </c>
      <c r="I10" t="str">
        <f>("21/10/2025")</f>
        <v>21/10/2025</v>
      </c>
      <c r="J10" t="str">
        <f t="shared" si="4"/>
        <v>03/11/2025</v>
      </c>
      <c r="K10">
        <v>596.6</v>
      </c>
      <c r="L10">
        <v>596.6</v>
      </c>
      <c r="M10">
        <v>303</v>
      </c>
      <c r="N10" t="str">
        <f t="shared" si="7"/>
        <v>RECEITAS COM ENTREGAS</v>
      </c>
      <c r="O10">
        <v>596.6</v>
      </c>
      <c r="R10" t="str">
        <f t="shared" si="8"/>
        <v>RECEITAS COM ENTREGAS (303)</v>
      </c>
      <c r="S10">
        <v>2946</v>
      </c>
      <c r="T10">
        <v>2328</v>
      </c>
      <c r="U10" t="s">
        <v>21</v>
      </c>
    </row>
    <row r="11" spans="1:21">
      <c r="A11" t="str">
        <f t="shared" si="0"/>
        <v>03/11/2025</v>
      </c>
      <c r="B11" t="str">
        <f t="shared" si="5"/>
        <v>ENTRADA</v>
      </c>
      <c r="C11" t="str">
        <f t="shared" si="6"/>
        <v>NFSE</v>
      </c>
      <c r="D11" t="str">
        <f>"3651"</f>
        <v>3651</v>
      </c>
      <c r="E11" t="str">
        <f t="shared" si="2"/>
        <v>COM</v>
      </c>
      <c r="F11" t="str">
        <f>"PAGMENOS - LJ 657 (10136)"</f>
        <v>PAGMENOS - LJ 657 (10136)</v>
      </c>
      <c r="G11" t="str">
        <f>"Serv.Prest. 13/10/2025 a 19/10/2025 - RPS: 1416 - NFSe: 3651"</f>
        <v>Serv.Prest. 13/10/2025 a 19/10/2025 - RPS: 1416 - NFSe: 3651</v>
      </c>
      <c r="H11" t="str">
        <f>("31/10/2025")</f>
        <v>31/10/2025</v>
      </c>
      <c r="I11" t="str">
        <f>("21/10/2025")</f>
        <v>21/10/2025</v>
      </c>
      <c r="J11" t="str">
        <f t="shared" si="4"/>
        <v>03/11/2025</v>
      </c>
      <c r="M11">
        <v>303</v>
      </c>
      <c r="N11" t="str">
        <f t="shared" si="7"/>
        <v>RECEITAS COM ENTREGAS</v>
      </c>
      <c r="P11">
        <v>596.6</v>
      </c>
      <c r="Q11" t="str">
        <f>"PAGMENOS - LJ 657 (10136)"</f>
        <v>PAGMENOS - LJ 657 (10136)</v>
      </c>
      <c r="R11" t="str">
        <f t="shared" si="8"/>
        <v>RECEITAS COM ENTREGAS (303)</v>
      </c>
      <c r="S11">
        <v>2946</v>
      </c>
      <c r="T11">
        <v>2328</v>
      </c>
      <c r="U11" t="s">
        <v>21</v>
      </c>
    </row>
    <row r="12" spans="1:21">
      <c r="A12" t="str">
        <f t="shared" ref="A12:A37" si="9">("04/11/2025")</f>
        <v>04/11/2025</v>
      </c>
      <c r="B12" t="str">
        <f t="shared" si="5"/>
        <v>ENTRADA</v>
      </c>
      <c r="C12" t="str">
        <f t="shared" si="6"/>
        <v>NFSE</v>
      </c>
      <c r="D12" t="str">
        <f t="shared" ref="D12:D24" si="10">"3667"</f>
        <v>3667</v>
      </c>
      <c r="E12" t="str">
        <f t="shared" si="2"/>
        <v>COM</v>
      </c>
      <c r="F12" t="str">
        <f t="shared" ref="F12:F24" si="11">"FARMÁCIA INDIANA LJ 30 (10127)"</f>
        <v>FARMÁCIA INDIANA LJ 30 (10127)</v>
      </c>
      <c r="G12" t="str">
        <f t="shared" ref="G12:G24" si="12">"Serv.Prest. 20/10/2025 a 24/10/2025 - RPS: 1431 - NFSe: 3667"</f>
        <v>Serv.Prest. 20/10/2025 a 24/10/2025 - RPS: 1431 - NFSe: 3667</v>
      </c>
      <c r="H12" t="str">
        <f t="shared" ref="H12:H35" si="13">("05/11/2025")</f>
        <v>05/11/2025</v>
      </c>
      <c r="I12" t="str">
        <f t="shared" ref="I12:I35" si="14">("24/10/2025")</f>
        <v>24/10/2025</v>
      </c>
      <c r="J12" t="str">
        <f t="shared" ref="J12:J37" si="15">("04/11/2025")</f>
        <v>04/11/2025</v>
      </c>
      <c r="K12">
        <v>2611.89</v>
      </c>
      <c r="L12">
        <v>2611.89</v>
      </c>
      <c r="M12">
        <v>303</v>
      </c>
      <c r="N12" t="str">
        <f t="shared" si="7"/>
        <v>RECEITAS COM ENTREGAS</v>
      </c>
      <c r="O12">
        <v>2611.89</v>
      </c>
      <c r="R12" t="str">
        <f t="shared" si="8"/>
        <v>RECEITAS COM ENTREGAS (303)</v>
      </c>
      <c r="S12">
        <v>2867</v>
      </c>
      <c r="T12">
        <v>2353</v>
      </c>
      <c r="U12" t="s">
        <v>21</v>
      </c>
    </row>
    <row r="13" spans="1:21">
      <c r="A13" t="str">
        <f t="shared" si="9"/>
        <v>04/11/2025</v>
      </c>
      <c r="B13" t="str">
        <f t="shared" si="5"/>
        <v>ENTRADA</v>
      </c>
      <c r="C13" t="str">
        <f t="shared" si="6"/>
        <v>NFSE</v>
      </c>
      <c r="D13" t="str">
        <f t="shared" si="10"/>
        <v>3667</v>
      </c>
      <c r="E13" t="str">
        <f t="shared" si="2"/>
        <v>COM</v>
      </c>
      <c r="F13" t="str">
        <f t="shared" si="11"/>
        <v>FARMÁCIA INDIANA LJ 30 (10127)</v>
      </c>
      <c r="G13" t="str">
        <f t="shared" si="12"/>
        <v>Serv.Prest. 20/10/2025 a 24/10/2025 - RPS: 1431 - NFSe: 3667</v>
      </c>
      <c r="H13" t="str">
        <f t="shared" si="13"/>
        <v>05/11/2025</v>
      </c>
      <c r="I13" t="str">
        <f t="shared" si="14"/>
        <v>24/10/2025</v>
      </c>
      <c r="J13" t="str">
        <f t="shared" si="15"/>
        <v>04/11/2025</v>
      </c>
      <c r="M13">
        <v>303</v>
      </c>
      <c r="N13" t="str">
        <f t="shared" si="7"/>
        <v>RECEITAS COM ENTREGAS</v>
      </c>
      <c r="P13">
        <v>203.99</v>
      </c>
      <c r="Q13" t="str">
        <f>"FARMÁCIA INDIANA LJ 34 (10014)"</f>
        <v>FARMÁCIA INDIANA LJ 34 (10014)</v>
      </c>
      <c r="R13" t="str">
        <f t="shared" si="8"/>
        <v>RECEITAS COM ENTREGAS (303)</v>
      </c>
      <c r="S13">
        <v>2867</v>
      </c>
      <c r="T13">
        <v>2353</v>
      </c>
      <c r="U13" t="s">
        <v>21</v>
      </c>
    </row>
    <row r="14" spans="1:21">
      <c r="A14" t="str">
        <f t="shared" si="9"/>
        <v>04/11/2025</v>
      </c>
      <c r="B14" t="str">
        <f t="shared" si="5"/>
        <v>ENTRADA</v>
      </c>
      <c r="C14" t="str">
        <f t="shared" si="6"/>
        <v>NFSE</v>
      </c>
      <c r="D14" t="str">
        <f t="shared" si="10"/>
        <v>3667</v>
      </c>
      <c r="E14" t="str">
        <f t="shared" si="2"/>
        <v>COM</v>
      </c>
      <c r="F14" t="str">
        <f t="shared" si="11"/>
        <v>FARMÁCIA INDIANA LJ 30 (10127)</v>
      </c>
      <c r="G14" t="str">
        <f t="shared" si="12"/>
        <v>Serv.Prest. 20/10/2025 a 24/10/2025 - RPS: 1431 - NFSe: 3667</v>
      </c>
      <c r="H14" t="str">
        <f t="shared" si="13"/>
        <v>05/11/2025</v>
      </c>
      <c r="I14" t="str">
        <f t="shared" si="14"/>
        <v>24/10/2025</v>
      </c>
      <c r="J14" t="str">
        <f t="shared" si="15"/>
        <v>04/11/2025</v>
      </c>
      <c r="M14">
        <v>303</v>
      </c>
      <c r="N14" t="str">
        <f t="shared" si="7"/>
        <v>RECEITAS COM ENTREGAS</v>
      </c>
      <c r="P14">
        <v>252.05</v>
      </c>
      <c r="Q14" t="str">
        <f>"FARMÁCIA INDIANA LJ 35 (10015)"</f>
        <v>FARMÁCIA INDIANA LJ 35 (10015)</v>
      </c>
      <c r="R14" t="str">
        <f t="shared" si="8"/>
        <v>RECEITAS COM ENTREGAS (303)</v>
      </c>
      <c r="S14">
        <v>2867</v>
      </c>
      <c r="T14">
        <v>2353</v>
      </c>
      <c r="U14" t="s">
        <v>21</v>
      </c>
    </row>
    <row r="15" spans="1:21">
      <c r="A15" t="str">
        <f t="shared" si="9"/>
        <v>04/11/2025</v>
      </c>
      <c r="B15" t="str">
        <f t="shared" si="5"/>
        <v>ENTRADA</v>
      </c>
      <c r="C15" t="str">
        <f t="shared" si="6"/>
        <v>NFSE</v>
      </c>
      <c r="D15" t="str">
        <f t="shared" si="10"/>
        <v>3667</v>
      </c>
      <c r="E15" t="str">
        <f t="shared" si="2"/>
        <v>COM</v>
      </c>
      <c r="F15" t="str">
        <f t="shared" si="11"/>
        <v>FARMÁCIA INDIANA LJ 30 (10127)</v>
      </c>
      <c r="G15" t="str">
        <f t="shared" si="12"/>
        <v>Serv.Prest. 20/10/2025 a 24/10/2025 - RPS: 1431 - NFSe: 3667</v>
      </c>
      <c r="H15" t="str">
        <f t="shared" si="13"/>
        <v>05/11/2025</v>
      </c>
      <c r="I15" t="str">
        <f t="shared" si="14"/>
        <v>24/10/2025</v>
      </c>
      <c r="J15" t="str">
        <f t="shared" si="15"/>
        <v>04/11/2025</v>
      </c>
      <c r="M15">
        <v>303</v>
      </c>
      <c r="N15" t="str">
        <f t="shared" si="7"/>
        <v>RECEITAS COM ENTREGAS</v>
      </c>
      <c r="P15">
        <v>172.12</v>
      </c>
      <c r="Q15" t="str">
        <f>"FARMÁCIA INDIANA LJ 48 (10018)"</f>
        <v>FARMÁCIA INDIANA LJ 48 (10018)</v>
      </c>
      <c r="R15" t="str">
        <f t="shared" si="8"/>
        <v>RECEITAS COM ENTREGAS (303)</v>
      </c>
      <c r="S15">
        <v>2867</v>
      </c>
      <c r="T15">
        <v>2353</v>
      </c>
      <c r="U15" t="s">
        <v>21</v>
      </c>
    </row>
    <row r="16" spans="1:21">
      <c r="A16" t="str">
        <f t="shared" si="9"/>
        <v>04/11/2025</v>
      </c>
      <c r="B16" t="str">
        <f t="shared" si="5"/>
        <v>ENTRADA</v>
      </c>
      <c r="C16" t="str">
        <f t="shared" si="6"/>
        <v>NFSE</v>
      </c>
      <c r="D16" t="str">
        <f t="shared" si="10"/>
        <v>3667</v>
      </c>
      <c r="E16" t="str">
        <f t="shared" si="2"/>
        <v>COM</v>
      </c>
      <c r="F16" t="str">
        <f t="shared" si="11"/>
        <v>FARMÁCIA INDIANA LJ 30 (10127)</v>
      </c>
      <c r="G16" t="str">
        <f t="shared" si="12"/>
        <v>Serv.Prest. 20/10/2025 a 24/10/2025 - RPS: 1431 - NFSe: 3667</v>
      </c>
      <c r="H16" t="str">
        <f t="shared" si="13"/>
        <v>05/11/2025</v>
      </c>
      <c r="I16" t="str">
        <f t="shared" si="14"/>
        <v>24/10/2025</v>
      </c>
      <c r="J16" t="str">
        <f t="shared" si="15"/>
        <v>04/11/2025</v>
      </c>
      <c r="M16">
        <v>303</v>
      </c>
      <c r="N16" t="str">
        <f t="shared" si="7"/>
        <v>RECEITAS COM ENTREGAS</v>
      </c>
      <c r="P16">
        <v>348.69</v>
      </c>
      <c r="Q16" t="str">
        <f>"FARMÁCIA INDIANA LJ 65 (10030)"</f>
        <v>FARMÁCIA INDIANA LJ 65 (10030)</v>
      </c>
      <c r="R16" t="str">
        <f t="shared" si="8"/>
        <v>RECEITAS COM ENTREGAS (303)</v>
      </c>
      <c r="S16">
        <v>2867</v>
      </c>
      <c r="T16">
        <v>2353</v>
      </c>
      <c r="U16" t="s">
        <v>21</v>
      </c>
    </row>
    <row r="17" spans="1:21">
      <c r="A17" t="str">
        <f t="shared" si="9"/>
        <v>04/11/2025</v>
      </c>
      <c r="B17" t="str">
        <f t="shared" si="5"/>
        <v>ENTRADA</v>
      </c>
      <c r="C17" t="str">
        <f t="shared" si="6"/>
        <v>NFSE</v>
      </c>
      <c r="D17" t="str">
        <f t="shared" si="10"/>
        <v>3667</v>
      </c>
      <c r="E17" t="str">
        <f t="shared" si="2"/>
        <v>COM</v>
      </c>
      <c r="F17" t="str">
        <f t="shared" si="11"/>
        <v>FARMÁCIA INDIANA LJ 30 (10127)</v>
      </c>
      <c r="G17" t="str">
        <f t="shared" si="12"/>
        <v>Serv.Prest. 20/10/2025 a 24/10/2025 - RPS: 1431 - NFSe: 3667</v>
      </c>
      <c r="H17" t="str">
        <f t="shared" si="13"/>
        <v>05/11/2025</v>
      </c>
      <c r="I17" t="str">
        <f t="shared" si="14"/>
        <v>24/10/2025</v>
      </c>
      <c r="J17" t="str">
        <f t="shared" si="15"/>
        <v>04/11/2025</v>
      </c>
      <c r="M17">
        <v>303</v>
      </c>
      <c r="N17" t="str">
        <f t="shared" si="7"/>
        <v>RECEITAS COM ENTREGAS</v>
      </c>
      <c r="P17">
        <v>128.5</v>
      </c>
      <c r="Q17" t="str">
        <f>"FARMÁCIA INDIANA LJ 77 (10034)"</f>
        <v>FARMÁCIA INDIANA LJ 77 (10034)</v>
      </c>
      <c r="R17" t="str">
        <f t="shared" si="8"/>
        <v>RECEITAS COM ENTREGAS (303)</v>
      </c>
      <c r="S17">
        <v>2867</v>
      </c>
      <c r="T17">
        <v>2353</v>
      </c>
      <c r="U17" t="s">
        <v>21</v>
      </c>
    </row>
    <row r="18" spans="1:21">
      <c r="A18" t="str">
        <f t="shared" si="9"/>
        <v>04/11/2025</v>
      </c>
      <c r="B18" t="str">
        <f t="shared" si="5"/>
        <v>ENTRADA</v>
      </c>
      <c r="C18" t="str">
        <f t="shared" si="6"/>
        <v>NFSE</v>
      </c>
      <c r="D18" t="str">
        <f t="shared" si="10"/>
        <v>3667</v>
      </c>
      <c r="E18" t="str">
        <f t="shared" si="2"/>
        <v>COM</v>
      </c>
      <c r="F18" t="str">
        <f t="shared" si="11"/>
        <v>FARMÁCIA INDIANA LJ 30 (10127)</v>
      </c>
      <c r="G18" t="str">
        <f t="shared" si="12"/>
        <v>Serv.Prest. 20/10/2025 a 24/10/2025 - RPS: 1431 - NFSe: 3667</v>
      </c>
      <c r="H18" t="str">
        <f t="shared" si="13"/>
        <v>05/11/2025</v>
      </c>
      <c r="I18" t="str">
        <f t="shared" si="14"/>
        <v>24/10/2025</v>
      </c>
      <c r="J18" t="str">
        <f t="shared" si="15"/>
        <v>04/11/2025</v>
      </c>
      <c r="M18">
        <v>303</v>
      </c>
      <c r="N18" t="str">
        <f t="shared" si="7"/>
        <v>RECEITAS COM ENTREGAS</v>
      </c>
      <c r="P18">
        <v>345.55</v>
      </c>
      <c r="Q18" t="str">
        <f>"FARMÁCIA INDIANA LJ 91 (10037)"</f>
        <v>FARMÁCIA INDIANA LJ 91 (10037)</v>
      </c>
      <c r="R18" t="str">
        <f t="shared" si="8"/>
        <v>RECEITAS COM ENTREGAS (303)</v>
      </c>
      <c r="S18">
        <v>2867</v>
      </c>
      <c r="T18">
        <v>2353</v>
      </c>
      <c r="U18" t="s">
        <v>21</v>
      </c>
    </row>
    <row r="19" spans="1:21">
      <c r="A19" t="str">
        <f t="shared" si="9"/>
        <v>04/11/2025</v>
      </c>
      <c r="B19" t="str">
        <f t="shared" si="5"/>
        <v>ENTRADA</v>
      </c>
      <c r="C19" t="str">
        <f t="shared" si="6"/>
        <v>NFSE</v>
      </c>
      <c r="D19" t="str">
        <f t="shared" si="10"/>
        <v>3667</v>
      </c>
      <c r="E19" t="str">
        <f t="shared" si="2"/>
        <v>COM</v>
      </c>
      <c r="F19" t="str">
        <f t="shared" si="11"/>
        <v>FARMÁCIA INDIANA LJ 30 (10127)</v>
      </c>
      <c r="G19" t="str">
        <f t="shared" si="12"/>
        <v>Serv.Prest. 20/10/2025 a 24/10/2025 - RPS: 1431 - NFSe: 3667</v>
      </c>
      <c r="H19" t="str">
        <f t="shared" si="13"/>
        <v>05/11/2025</v>
      </c>
      <c r="I19" t="str">
        <f t="shared" si="14"/>
        <v>24/10/2025</v>
      </c>
      <c r="J19" t="str">
        <f t="shared" si="15"/>
        <v>04/11/2025</v>
      </c>
      <c r="M19">
        <v>303</v>
      </c>
      <c r="N19" t="str">
        <f t="shared" si="7"/>
        <v>RECEITAS COM ENTREGAS</v>
      </c>
      <c r="P19">
        <v>241.08</v>
      </c>
      <c r="Q19" t="str">
        <f>"FARMÁCIA INDIANA LJ 95 (10039)"</f>
        <v>FARMÁCIA INDIANA LJ 95 (10039)</v>
      </c>
      <c r="R19" t="str">
        <f t="shared" si="8"/>
        <v>RECEITAS COM ENTREGAS (303)</v>
      </c>
      <c r="S19">
        <v>2867</v>
      </c>
      <c r="T19">
        <v>2353</v>
      </c>
      <c r="U19" t="s">
        <v>21</v>
      </c>
    </row>
    <row r="20" spans="1:21">
      <c r="A20" t="str">
        <f t="shared" si="9"/>
        <v>04/11/2025</v>
      </c>
      <c r="B20" t="str">
        <f t="shared" si="5"/>
        <v>ENTRADA</v>
      </c>
      <c r="C20" t="str">
        <f t="shared" si="6"/>
        <v>NFSE</v>
      </c>
      <c r="D20" t="str">
        <f t="shared" si="10"/>
        <v>3667</v>
      </c>
      <c r="E20" t="str">
        <f t="shared" si="2"/>
        <v>COM</v>
      </c>
      <c r="F20" t="str">
        <f t="shared" si="11"/>
        <v>FARMÁCIA INDIANA LJ 30 (10127)</v>
      </c>
      <c r="G20" t="str">
        <f t="shared" si="12"/>
        <v>Serv.Prest. 20/10/2025 a 24/10/2025 - RPS: 1431 - NFSe: 3667</v>
      </c>
      <c r="H20" t="str">
        <f t="shared" si="13"/>
        <v>05/11/2025</v>
      </c>
      <c r="I20" t="str">
        <f t="shared" si="14"/>
        <v>24/10/2025</v>
      </c>
      <c r="J20" t="str">
        <f t="shared" si="15"/>
        <v>04/11/2025</v>
      </c>
      <c r="M20">
        <v>303</v>
      </c>
      <c r="N20" t="str">
        <f t="shared" si="7"/>
        <v>RECEITAS COM ENTREGAS</v>
      </c>
      <c r="P20">
        <v>280.77999999999997</v>
      </c>
      <c r="Q20" t="str">
        <f>"FARMÁCIA INDIANA LJ 145 (10068)"</f>
        <v>FARMÁCIA INDIANA LJ 145 (10068)</v>
      </c>
      <c r="R20" t="str">
        <f t="shared" si="8"/>
        <v>RECEITAS COM ENTREGAS (303)</v>
      </c>
      <c r="S20">
        <v>2867</v>
      </c>
      <c r="T20">
        <v>2353</v>
      </c>
      <c r="U20" t="s">
        <v>21</v>
      </c>
    </row>
    <row r="21" spans="1:21">
      <c r="A21" t="str">
        <f t="shared" si="9"/>
        <v>04/11/2025</v>
      </c>
      <c r="B21" t="str">
        <f t="shared" si="5"/>
        <v>ENTRADA</v>
      </c>
      <c r="C21" t="str">
        <f t="shared" si="6"/>
        <v>NFSE</v>
      </c>
      <c r="D21" t="str">
        <f t="shared" si="10"/>
        <v>3667</v>
      </c>
      <c r="E21" t="str">
        <f t="shared" si="2"/>
        <v>COM</v>
      </c>
      <c r="F21" t="str">
        <f t="shared" si="11"/>
        <v>FARMÁCIA INDIANA LJ 30 (10127)</v>
      </c>
      <c r="G21" t="str">
        <f t="shared" si="12"/>
        <v>Serv.Prest. 20/10/2025 a 24/10/2025 - RPS: 1431 - NFSe: 3667</v>
      </c>
      <c r="H21" t="str">
        <f t="shared" si="13"/>
        <v>05/11/2025</v>
      </c>
      <c r="I21" t="str">
        <f t="shared" si="14"/>
        <v>24/10/2025</v>
      </c>
      <c r="J21" t="str">
        <f t="shared" si="15"/>
        <v>04/11/2025</v>
      </c>
      <c r="M21">
        <v>303</v>
      </c>
      <c r="N21" t="str">
        <f t="shared" si="7"/>
        <v>RECEITAS COM ENTREGAS</v>
      </c>
      <c r="P21">
        <v>74.959999999999994</v>
      </c>
      <c r="Q21" t="str">
        <f>"FARMÁCIA INDIANA LJ 169 (10073)"</f>
        <v>FARMÁCIA INDIANA LJ 169 (10073)</v>
      </c>
      <c r="R21" t="str">
        <f t="shared" si="8"/>
        <v>RECEITAS COM ENTREGAS (303)</v>
      </c>
      <c r="S21">
        <v>2867</v>
      </c>
      <c r="T21">
        <v>2353</v>
      </c>
      <c r="U21" t="s">
        <v>21</v>
      </c>
    </row>
    <row r="22" spans="1:21">
      <c r="A22" t="str">
        <f t="shared" si="9"/>
        <v>04/11/2025</v>
      </c>
      <c r="B22" t="str">
        <f t="shared" si="5"/>
        <v>ENTRADA</v>
      </c>
      <c r="C22" t="str">
        <f t="shared" si="6"/>
        <v>NFSE</v>
      </c>
      <c r="D22" t="str">
        <f t="shared" si="10"/>
        <v>3667</v>
      </c>
      <c r="E22" t="str">
        <f t="shared" si="2"/>
        <v>COM</v>
      </c>
      <c r="F22" t="str">
        <f t="shared" si="11"/>
        <v>FARMÁCIA INDIANA LJ 30 (10127)</v>
      </c>
      <c r="G22" t="str">
        <f t="shared" si="12"/>
        <v>Serv.Prest. 20/10/2025 a 24/10/2025 - RPS: 1431 - NFSe: 3667</v>
      </c>
      <c r="H22" t="str">
        <f t="shared" si="13"/>
        <v>05/11/2025</v>
      </c>
      <c r="I22" t="str">
        <f t="shared" si="14"/>
        <v>24/10/2025</v>
      </c>
      <c r="J22" t="str">
        <f t="shared" si="15"/>
        <v>04/11/2025</v>
      </c>
      <c r="M22">
        <v>303</v>
      </c>
      <c r="N22" t="str">
        <f t="shared" si="7"/>
        <v>RECEITAS COM ENTREGAS</v>
      </c>
      <c r="P22">
        <v>174.47</v>
      </c>
      <c r="Q22" t="str">
        <f>"FARMÁCIA INDIANA LJ 173 (10075)"</f>
        <v>FARMÁCIA INDIANA LJ 173 (10075)</v>
      </c>
      <c r="R22" t="str">
        <f t="shared" si="8"/>
        <v>RECEITAS COM ENTREGAS (303)</v>
      </c>
      <c r="S22">
        <v>2867</v>
      </c>
      <c r="T22">
        <v>2353</v>
      </c>
      <c r="U22" t="s">
        <v>21</v>
      </c>
    </row>
    <row r="23" spans="1:21">
      <c r="A23" t="str">
        <f t="shared" si="9"/>
        <v>04/11/2025</v>
      </c>
      <c r="B23" t="str">
        <f t="shared" si="5"/>
        <v>ENTRADA</v>
      </c>
      <c r="C23" t="str">
        <f t="shared" si="6"/>
        <v>NFSE</v>
      </c>
      <c r="D23" t="str">
        <f t="shared" si="10"/>
        <v>3667</v>
      </c>
      <c r="E23" t="str">
        <f t="shared" si="2"/>
        <v>COM</v>
      </c>
      <c r="F23" t="str">
        <f t="shared" si="11"/>
        <v>FARMÁCIA INDIANA LJ 30 (10127)</v>
      </c>
      <c r="G23" t="str">
        <f t="shared" si="12"/>
        <v>Serv.Prest. 20/10/2025 a 24/10/2025 - RPS: 1431 - NFSe: 3667</v>
      </c>
      <c r="H23" t="str">
        <f t="shared" si="13"/>
        <v>05/11/2025</v>
      </c>
      <c r="I23" t="str">
        <f t="shared" si="14"/>
        <v>24/10/2025</v>
      </c>
      <c r="J23" t="str">
        <f t="shared" si="15"/>
        <v>04/11/2025</v>
      </c>
      <c r="M23">
        <v>303</v>
      </c>
      <c r="N23" t="str">
        <f t="shared" si="7"/>
        <v>RECEITAS COM ENTREGAS</v>
      </c>
      <c r="P23">
        <v>203.73</v>
      </c>
      <c r="Q23" t="str">
        <f>"FARMÁCIA INDIANA LJ 200 (10155)"</f>
        <v>FARMÁCIA INDIANA LJ 200 (10155)</v>
      </c>
      <c r="R23" t="str">
        <f t="shared" si="8"/>
        <v>RECEITAS COM ENTREGAS (303)</v>
      </c>
      <c r="S23">
        <v>2867</v>
      </c>
      <c r="T23">
        <v>2353</v>
      </c>
      <c r="U23" t="s">
        <v>21</v>
      </c>
    </row>
    <row r="24" spans="1:21">
      <c r="A24" t="str">
        <f t="shared" si="9"/>
        <v>04/11/2025</v>
      </c>
      <c r="B24" t="str">
        <f t="shared" si="5"/>
        <v>ENTRADA</v>
      </c>
      <c r="C24" t="str">
        <f t="shared" si="6"/>
        <v>NFSE</v>
      </c>
      <c r="D24" t="str">
        <f t="shared" si="10"/>
        <v>3667</v>
      </c>
      <c r="E24" t="str">
        <f t="shared" si="2"/>
        <v>COM</v>
      </c>
      <c r="F24" t="str">
        <f t="shared" si="11"/>
        <v>FARMÁCIA INDIANA LJ 30 (10127)</v>
      </c>
      <c r="G24" t="str">
        <f t="shared" si="12"/>
        <v>Serv.Prest. 20/10/2025 a 24/10/2025 - RPS: 1431 - NFSe: 3667</v>
      </c>
      <c r="H24" t="str">
        <f t="shared" si="13"/>
        <v>05/11/2025</v>
      </c>
      <c r="I24" t="str">
        <f t="shared" si="14"/>
        <v>24/10/2025</v>
      </c>
      <c r="J24" t="str">
        <f t="shared" si="15"/>
        <v>04/11/2025</v>
      </c>
      <c r="M24">
        <v>303</v>
      </c>
      <c r="N24" t="str">
        <f t="shared" si="7"/>
        <v>RECEITAS COM ENTREGAS</v>
      </c>
      <c r="P24">
        <v>185.97</v>
      </c>
      <c r="Q24" t="str">
        <f>"FARMÁCIA INDIANA LJ 33 (10187)"</f>
        <v>FARMÁCIA INDIANA LJ 33 (10187)</v>
      </c>
      <c r="R24" t="str">
        <f t="shared" si="8"/>
        <v>RECEITAS COM ENTREGAS (303)</v>
      </c>
      <c r="S24">
        <v>2867</v>
      </c>
      <c r="T24">
        <v>2353</v>
      </c>
      <c r="U24" t="s">
        <v>21</v>
      </c>
    </row>
    <row r="25" spans="1:21">
      <c r="A25" t="str">
        <f t="shared" si="9"/>
        <v>04/11/2025</v>
      </c>
      <c r="B25" t="str">
        <f t="shared" si="5"/>
        <v>ENTRADA</v>
      </c>
      <c r="C25" t="str">
        <f t="shared" si="6"/>
        <v>NFSE</v>
      </c>
      <c r="D25" t="str">
        <f t="shared" ref="D25:D35" si="16">"3668"</f>
        <v>3668</v>
      </c>
      <c r="E25" t="str">
        <f t="shared" si="2"/>
        <v>COM</v>
      </c>
      <c r="F25" t="str">
        <f t="shared" ref="F25:F35" si="17">"FARMÁCIA INDIANA LJ 85 (10128)"</f>
        <v>FARMÁCIA INDIANA LJ 85 (10128)</v>
      </c>
      <c r="G25" t="str">
        <f t="shared" ref="G25:G35" si="18">"Serv.Prest. 20/10/2025 a 24/10/2025 - RPS: 1432 - NFSe: 3668"</f>
        <v>Serv.Prest. 20/10/2025 a 24/10/2025 - RPS: 1432 - NFSe: 3668</v>
      </c>
      <c r="H25" t="str">
        <f t="shared" si="13"/>
        <v>05/11/2025</v>
      </c>
      <c r="I25" t="str">
        <f t="shared" si="14"/>
        <v>24/10/2025</v>
      </c>
      <c r="J25" t="str">
        <f t="shared" si="15"/>
        <v>04/11/2025</v>
      </c>
      <c r="K25">
        <v>1564.79</v>
      </c>
      <c r="L25">
        <v>1564.79</v>
      </c>
      <c r="M25">
        <v>303</v>
      </c>
      <c r="N25" t="str">
        <f t="shared" si="7"/>
        <v>RECEITAS COM ENTREGAS</v>
      </c>
      <c r="O25">
        <v>1564.79</v>
      </c>
      <c r="R25" t="str">
        <f t="shared" si="8"/>
        <v>RECEITAS COM ENTREGAS (303)</v>
      </c>
      <c r="S25">
        <v>2868</v>
      </c>
      <c r="T25">
        <v>2354</v>
      </c>
      <c r="U25" t="s">
        <v>21</v>
      </c>
    </row>
    <row r="26" spans="1:21">
      <c r="A26" t="str">
        <f t="shared" si="9"/>
        <v>04/11/2025</v>
      </c>
      <c r="B26" t="str">
        <f t="shared" si="5"/>
        <v>ENTRADA</v>
      </c>
      <c r="C26" t="str">
        <f t="shared" si="6"/>
        <v>NFSE</v>
      </c>
      <c r="D26" t="str">
        <f t="shared" si="16"/>
        <v>3668</v>
      </c>
      <c r="E26" t="str">
        <f t="shared" si="2"/>
        <v>COM</v>
      </c>
      <c r="F26" t="str">
        <f t="shared" si="17"/>
        <v>FARMÁCIA INDIANA LJ 85 (10128)</v>
      </c>
      <c r="G26" t="str">
        <f t="shared" si="18"/>
        <v>Serv.Prest. 20/10/2025 a 24/10/2025 - RPS: 1432 - NFSe: 3668</v>
      </c>
      <c r="H26" t="str">
        <f t="shared" si="13"/>
        <v>05/11/2025</v>
      </c>
      <c r="I26" t="str">
        <f t="shared" si="14"/>
        <v>24/10/2025</v>
      </c>
      <c r="J26" t="str">
        <f t="shared" si="15"/>
        <v>04/11/2025</v>
      </c>
      <c r="M26">
        <v>303</v>
      </c>
      <c r="N26" t="str">
        <f t="shared" si="7"/>
        <v>RECEITAS COM ENTREGAS</v>
      </c>
      <c r="P26">
        <v>475.24</v>
      </c>
      <c r="Q26" t="str">
        <f>"FARMÁCIA INDIANA LJ 119 (10053)"</f>
        <v>FARMÁCIA INDIANA LJ 119 (10053)</v>
      </c>
      <c r="R26" t="str">
        <f t="shared" si="8"/>
        <v>RECEITAS COM ENTREGAS (303)</v>
      </c>
      <c r="S26">
        <v>2868</v>
      </c>
      <c r="T26">
        <v>2354</v>
      </c>
      <c r="U26" t="s">
        <v>21</v>
      </c>
    </row>
    <row r="27" spans="1:21">
      <c r="A27" t="str">
        <f t="shared" si="9"/>
        <v>04/11/2025</v>
      </c>
      <c r="B27" t="str">
        <f t="shared" si="5"/>
        <v>ENTRADA</v>
      </c>
      <c r="C27" t="str">
        <f t="shared" si="6"/>
        <v>NFSE</v>
      </c>
      <c r="D27" t="str">
        <f t="shared" si="16"/>
        <v>3668</v>
      </c>
      <c r="E27" t="str">
        <f t="shared" si="2"/>
        <v>COM</v>
      </c>
      <c r="F27" t="str">
        <f t="shared" si="17"/>
        <v>FARMÁCIA INDIANA LJ 85 (10128)</v>
      </c>
      <c r="G27" t="str">
        <f t="shared" si="18"/>
        <v>Serv.Prest. 20/10/2025 a 24/10/2025 - RPS: 1432 - NFSe: 3668</v>
      </c>
      <c r="H27" t="str">
        <f t="shared" si="13"/>
        <v>05/11/2025</v>
      </c>
      <c r="I27" t="str">
        <f t="shared" si="14"/>
        <v>24/10/2025</v>
      </c>
      <c r="J27" t="str">
        <f t="shared" si="15"/>
        <v>04/11/2025</v>
      </c>
      <c r="M27">
        <v>303</v>
      </c>
      <c r="N27" t="str">
        <f t="shared" si="7"/>
        <v>RECEITAS COM ENTREGAS</v>
      </c>
      <c r="P27">
        <v>79.959999999999994</v>
      </c>
      <c r="Q27" t="str">
        <f>"FARMÁCIA INDIANA LJ 163 (10072)"</f>
        <v>FARMÁCIA INDIANA LJ 163 (10072)</v>
      </c>
      <c r="R27" t="str">
        <f t="shared" si="8"/>
        <v>RECEITAS COM ENTREGAS (303)</v>
      </c>
      <c r="S27">
        <v>2868</v>
      </c>
      <c r="T27">
        <v>2354</v>
      </c>
      <c r="U27" t="s">
        <v>21</v>
      </c>
    </row>
    <row r="28" spans="1:21">
      <c r="A28" t="str">
        <f t="shared" si="9"/>
        <v>04/11/2025</v>
      </c>
      <c r="B28" t="str">
        <f t="shared" si="5"/>
        <v>ENTRADA</v>
      </c>
      <c r="C28" t="str">
        <f t="shared" si="6"/>
        <v>NFSE</v>
      </c>
      <c r="D28" t="str">
        <f t="shared" si="16"/>
        <v>3668</v>
      </c>
      <c r="E28" t="str">
        <f t="shared" si="2"/>
        <v>COM</v>
      </c>
      <c r="F28" t="str">
        <f t="shared" si="17"/>
        <v>FARMÁCIA INDIANA LJ 85 (10128)</v>
      </c>
      <c r="G28" t="str">
        <f t="shared" si="18"/>
        <v>Serv.Prest. 20/10/2025 a 24/10/2025 - RPS: 1432 - NFSe: 3668</v>
      </c>
      <c r="H28" t="str">
        <f t="shared" si="13"/>
        <v>05/11/2025</v>
      </c>
      <c r="I28" t="str">
        <f t="shared" si="14"/>
        <v>24/10/2025</v>
      </c>
      <c r="J28" t="str">
        <f t="shared" si="15"/>
        <v>04/11/2025</v>
      </c>
      <c r="M28">
        <v>303</v>
      </c>
      <c r="N28" t="str">
        <f t="shared" si="7"/>
        <v>RECEITAS COM ENTREGAS</v>
      </c>
      <c r="P28">
        <v>146.93</v>
      </c>
      <c r="Q28" t="str">
        <f>"FARMÁCIA INDIANA LJ 181 (10078)"</f>
        <v>FARMÁCIA INDIANA LJ 181 (10078)</v>
      </c>
      <c r="R28" t="str">
        <f t="shared" si="8"/>
        <v>RECEITAS COM ENTREGAS (303)</v>
      </c>
      <c r="S28">
        <v>2868</v>
      </c>
      <c r="T28">
        <v>2354</v>
      </c>
      <c r="U28" t="s">
        <v>21</v>
      </c>
    </row>
    <row r="29" spans="1:21">
      <c r="A29" t="str">
        <f t="shared" si="9"/>
        <v>04/11/2025</v>
      </c>
      <c r="B29" t="str">
        <f t="shared" si="5"/>
        <v>ENTRADA</v>
      </c>
      <c r="C29" t="str">
        <f t="shared" si="6"/>
        <v>NFSE</v>
      </c>
      <c r="D29" t="str">
        <f t="shared" si="16"/>
        <v>3668</v>
      </c>
      <c r="E29" t="str">
        <f t="shared" si="2"/>
        <v>COM</v>
      </c>
      <c r="F29" t="str">
        <f t="shared" si="17"/>
        <v>FARMÁCIA INDIANA LJ 85 (10128)</v>
      </c>
      <c r="G29" t="str">
        <f t="shared" si="18"/>
        <v>Serv.Prest. 20/10/2025 a 24/10/2025 - RPS: 1432 - NFSe: 3668</v>
      </c>
      <c r="H29" t="str">
        <f t="shared" si="13"/>
        <v>05/11/2025</v>
      </c>
      <c r="I29" t="str">
        <f t="shared" si="14"/>
        <v>24/10/2025</v>
      </c>
      <c r="J29" t="str">
        <f t="shared" si="15"/>
        <v>04/11/2025</v>
      </c>
      <c r="M29">
        <v>303</v>
      </c>
      <c r="N29" t="str">
        <f t="shared" si="7"/>
        <v>RECEITAS COM ENTREGAS</v>
      </c>
      <c r="P29">
        <v>161.63999999999999</v>
      </c>
      <c r="Q29" t="str">
        <f>"FARMÁCIA INDIANA LJ 221 (10093)"</f>
        <v>FARMÁCIA INDIANA LJ 221 (10093)</v>
      </c>
      <c r="R29" t="str">
        <f t="shared" si="8"/>
        <v>RECEITAS COM ENTREGAS (303)</v>
      </c>
      <c r="S29">
        <v>2868</v>
      </c>
      <c r="T29">
        <v>2354</v>
      </c>
      <c r="U29" t="s">
        <v>21</v>
      </c>
    </row>
    <row r="30" spans="1:21">
      <c r="A30" t="str">
        <f t="shared" si="9"/>
        <v>04/11/2025</v>
      </c>
      <c r="B30" t="str">
        <f t="shared" si="5"/>
        <v>ENTRADA</v>
      </c>
      <c r="C30" t="str">
        <f t="shared" si="6"/>
        <v>NFSE</v>
      </c>
      <c r="D30" t="str">
        <f t="shared" si="16"/>
        <v>3668</v>
      </c>
      <c r="E30" t="str">
        <f t="shared" si="2"/>
        <v>COM</v>
      </c>
      <c r="F30" t="str">
        <f t="shared" si="17"/>
        <v>FARMÁCIA INDIANA LJ 85 (10128)</v>
      </c>
      <c r="G30" t="str">
        <f t="shared" si="18"/>
        <v>Serv.Prest. 20/10/2025 a 24/10/2025 - RPS: 1432 - NFSe: 3668</v>
      </c>
      <c r="H30" t="str">
        <f t="shared" si="13"/>
        <v>05/11/2025</v>
      </c>
      <c r="I30" t="str">
        <f t="shared" si="14"/>
        <v>24/10/2025</v>
      </c>
      <c r="J30" t="str">
        <f t="shared" si="15"/>
        <v>04/11/2025</v>
      </c>
      <c r="M30">
        <v>303</v>
      </c>
      <c r="N30" t="str">
        <f t="shared" si="7"/>
        <v>RECEITAS COM ENTREGAS</v>
      </c>
      <c r="P30">
        <v>194.35</v>
      </c>
      <c r="Q30" t="str">
        <f>"FARMÁCIA INDIANA LJ 243 (10142)"</f>
        <v>FARMÁCIA INDIANA LJ 243 (10142)</v>
      </c>
      <c r="R30" t="str">
        <f t="shared" si="8"/>
        <v>RECEITAS COM ENTREGAS (303)</v>
      </c>
      <c r="S30">
        <v>2868</v>
      </c>
      <c r="T30">
        <v>2354</v>
      </c>
      <c r="U30" t="s">
        <v>21</v>
      </c>
    </row>
    <row r="31" spans="1:21">
      <c r="A31" t="str">
        <f t="shared" si="9"/>
        <v>04/11/2025</v>
      </c>
      <c r="B31" t="str">
        <f t="shared" si="5"/>
        <v>ENTRADA</v>
      </c>
      <c r="C31" t="str">
        <f t="shared" si="6"/>
        <v>NFSE</v>
      </c>
      <c r="D31" t="str">
        <f t="shared" si="16"/>
        <v>3668</v>
      </c>
      <c r="E31" t="str">
        <f t="shared" si="2"/>
        <v>COM</v>
      </c>
      <c r="F31" t="str">
        <f t="shared" si="17"/>
        <v>FARMÁCIA INDIANA LJ 85 (10128)</v>
      </c>
      <c r="G31" t="str">
        <f t="shared" si="18"/>
        <v>Serv.Prest. 20/10/2025 a 24/10/2025 - RPS: 1432 - NFSe: 3668</v>
      </c>
      <c r="H31" t="str">
        <f t="shared" si="13"/>
        <v>05/11/2025</v>
      </c>
      <c r="I31" t="str">
        <f t="shared" si="14"/>
        <v>24/10/2025</v>
      </c>
      <c r="J31" t="str">
        <f t="shared" si="15"/>
        <v>04/11/2025</v>
      </c>
      <c r="M31">
        <v>303</v>
      </c>
      <c r="N31" t="str">
        <f t="shared" si="7"/>
        <v>RECEITAS COM ENTREGAS</v>
      </c>
      <c r="P31">
        <v>86.06</v>
      </c>
      <c r="Q31" t="str">
        <f>"FARMÁCIA INDIANA LJ 211 (10168)"</f>
        <v>FARMÁCIA INDIANA LJ 211 (10168)</v>
      </c>
      <c r="R31" t="str">
        <f t="shared" si="8"/>
        <v>RECEITAS COM ENTREGAS (303)</v>
      </c>
      <c r="S31">
        <v>2868</v>
      </c>
      <c r="T31">
        <v>2354</v>
      </c>
      <c r="U31" t="s">
        <v>21</v>
      </c>
    </row>
    <row r="32" spans="1:21">
      <c r="A32" t="str">
        <f t="shared" si="9"/>
        <v>04/11/2025</v>
      </c>
      <c r="B32" t="str">
        <f t="shared" si="5"/>
        <v>ENTRADA</v>
      </c>
      <c r="C32" t="str">
        <f t="shared" si="6"/>
        <v>NFSE</v>
      </c>
      <c r="D32" t="str">
        <f t="shared" si="16"/>
        <v>3668</v>
      </c>
      <c r="E32" t="str">
        <f t="shared" si="2"/>
        <v>COM</v>
      </c>
      <c r="F32" t="str">
        <f t="shared" si="17"/>
        <v>FARMÁCIA INDIANA LJ 85 (10128)</v>
      </c>
      <c r="G32" t="str">
        <f t="shared" si="18"/>
        <v>Serv.Prest. 20/10/2025 a 24/10/2025 - RPS: 1432 - NFSe: 3668</v>
      </c>
      <c r="H32" t="str">
        <f t="shared" si="13"/>
        <v>05/11/2025</v>
      </c>
      <c r="I32" t="str">
        <f t="shared" si="14"/>
        <v>24/10/2025</v>
      </c>
      <c r="J32" t="str">
        <f t="shared" si="15"/>
        <v>04/11/2025</v>
      </c>
      <c r="M32">
        <v>303</v>
      </c>
      <c r="N32" t="str">
        <f t="shared" si="7"/>
        <v>RECEITAS COM ENTREGAS</v>
      </c>
      <c r="P32">
        <v>86.06</v>
      </c>
      <c r="Q32" t="str">
        <f>"FARMÁCIA INDIANA LJ 236 (10169)"</f>
        <v>FARMÁCIA INDIANA LJ 236 (10169)</v>
      </c>
      <c r="R32" t="str">
        <f t="shared" si="8"/>
        <v>RECEITAS COM ENTREGAS (303)</v>
      </c>
      <c r="S32">
        <v>2868</v>
      </c>
      <c r="T32">
        <v>2354</v>
      </c>
      <c r="U32" t="s">
        <v>21</v>
      </c>
    </row>
    <row r="33" spans="1:21">
      <c r="A33" t="str">
        <f t="shared" si="9"/>
        <v>04/11/2025</v>
      </c>
      <c r="B33" t="str">
        <f t="shared" si="5"/>
        <v>ENTRADA</v>
      </c>
      <c r="C33" t="str">
        <f t="shared" si="6"/>
        <v>NFSE</v>
      </c>
      <c r="D33" t="str">
        <f t="shared" si="16"/>
        <v>3668</v>
      </c>
      <c r="E33" t="str">
        <f t="shared" si="2"/>
        <v>COM</v>
      </c>
      <c r="F33" t="str">
        <f t="shared" si="17"/>
        <v>FARMÁCIA INDIANA LJ 85 (10128)</v>
      </c>
      <c r="G33" t="str">
        <f t="shared" si="18"/>
        <v>Serv.Prest. 20/10/2025 a 24/10/2025 - RPS: 1432 - NFSe: 3668</v>
      </c>
      <c r="H33" t="str">
        <f t="shared" si="13"/>
        <v>05/11/2025</v>
      </c>
      <c r="I33" t="str">
        <f t="shared" si="14"/>
        <v>24/10/2025</v>
      </c>
      <c r="J33" t="str">
        <f t="shared" si="15"/>
        <v>04/11/2025</v>
      </c>
      <c r="M33">
        <v>303</v>
      </c>
      <c r="N33" t="str">
        <f t="shared" si="7"/>
        <v>RECEITAS COM ENTREGAS</v>
      </c>
      <c r="P33">
        <v>172.28</v>
      </c>
      <c r="Q33" t="str">
        <f>"FARMÁCIA INDIANA LJ 188 (10176)"</f>
        <v>FARMÁCIA INDIANA LJ 188 (10176)</v>
      </c>
      <c r="R33" t="str">
        <f t="shared" si="8"/>
        <v>RECEITAS COM ENTREGAS (303)</v>
      </c>
      <c r="S33">
        <v>2868</v>
      </c>
      <c r="T33">
        <v>2354</v>
      </c>
      <c r="U33" t="s">
        <v>21</v>
      </c>
    </row>
    <row r="34" spans="1:21">
      <c r="A34" t="str">
        <f t="shared" si="9"/>
        <v>04/11/2025</v>
      </c>
      <c r="B34" t="str">
        <f t="shared" si="5"/>
        <v>ENTRADA</v>
      </c>
      <c r="C34" t="str">
        <f t="shared" si="6"/>
        <v>NFSE</v>
      </c>
      <c r="D34" t="str">
        <f t="shared" si="16"/>
        <v>3668</v>
      </c>
      <c r="E34" t="str">
        <f t="shared" si="2"/>
        <v>COM</v>
      </c>
      <c r="F34" t="str">
        <f t="shared" si="17"/>
        <v>FARMÁCIA INDIANA LJ 85 (10128)</v>
      </c>
      <c r="G34" t="str">
        <f t="shared" si="18"/>
        <v>Serv.Prest. 20/10/2025 a 24/10/2025 - RPS: 1432 - NFSe: 3668</v>
      </c>
      <c r="H34" t="str">
        <f t="shared" si="13"/>
        <v>05/11/2025</v>
      </c>
      <c r="I34" t="str">
        <f t="shared" si="14"/>
        <v>24/10/2025</v>
      </c>
      <c r="J34" t="str">
        <f t="shared" si="15"/>
        <v>04/11/2025</v>
      </c>
      <c r="M34">
        <v>303</v>
      </c>
      <c r="N34" t="str">
        <f t="shared" si="7"/>
        <v>RECEITAS COM ENTREGAS</v>
      </c>
      <c r="P34">
        <v>135.04</v>
      </c>
      <c r="Q34" t="str">
        <f>"FARMÁCIA INDIANA LJ 273 (10188)"</f>
        <v>FARMÁCIA INDIANA LJ 273 (10188)</v>
      </c>
      <c r="R34" t="str">
        <f t="shared" si="8"/>
        <v>RECEITAS COM ENTREGAS (303)</v>
      </c>
      <c r="S34">
        <v>2868</v>
      </c>
      <c r="T34">
        <v>2354</v>
      </c>
      <c r="U34" t="s">
        <v>21</v>
      </c>
    </row>
    <row r="35" spans="1:21">
      <c r="A35" t="str">
        <f t="shared" si="9"/>
        <v>04/11/2025</v>
      </c>
      <c r="B35" t="str">
        <f t="shared" si="5"/>
        <v>ENTRADA</v>
      </c>
      <c r="C35" t="str">
        <f t="shared" si="6"/>
        <v>NFSE</v>
      </c>
      <c r="D35" t="str">
        <f t="shared" si="16"/>
        <v>3668</v>
      </c>
      <c r="E35" t="str">
        <f t="shared" si="2"/>
        <v>COM</v>
      </c>
      <c r="F35" t="str">
        <f t="shared" si="17"/>
        <v>FARMÁCIA INDIANA LJ 85 (10128)</v>
      </c>
      <c r="G35" t="str">
        <f t="shared" si="18"/>
        <v>Serv.Prest. 20/10/2025 a 24/10/2025 - RPS: 1432 - NFSe: 3668</v>
      </c>
      <c r="H35" t="str">
        <f t="shared" si="13"/>
        <v>05/11/2025</v>
      </c>
      <c r="I35" t="str">
        <f t="shared" si="14"/>
        <v>24/10/2025</v>
      </c>
      <c r="J35" t="str">
        <f t="shared" si="15"/>
        <v>04/11/2025</v>
      </c>
      <c r="M35">
        <v>303</v>
      </c>
      <c r="N35" t="str">
        <f t="shared" si="7"/>
        <v>RECEITAS COM ENTREGAS</v>
      </c>
      <c r="P35">
        <v>27.23</v>
      </c>
      <c r="Q35" t="str">
        <f>"FARMÁCIA INDIANA LJ 235 (10190)"</f>
        <v>FARMÁCIA INDIANA LJ 235 (10190)</v>
      </c>
      <c r="R35" t="str">
        <f t="shared" si="8"/>
        <v>RECEITAS COM ENTREGAS (303)</v>
      </c>
      <c r="S35">
        <v>2868</v>
      </c>
      <c r="T35">
        <v>2354</v>
      </c>
      <c r="U35" t="s">
        <v>21</v>
      </c>
    </row>
    <row r="36" spans="1:21">
      <c r="A36" t="str">
        <f t="shared" si="9"/>
        <v>04/11/2025</v>
      </c>
      <c r="B36" t="str">
        <f>"SAÍDA"</f>
        <v>SAÍDA</v>
      </c>
      <c r="C36" t="str">
        <f>"BOLETO"</f>
        <v>BOLETO</v>
      </c>
      <c r="D36" t="str">
        <f>"19983"</f>
        <v>19983</v>
      </c>
      <c r="E36" t="str">
        <f t="shared" si="2"/>
        <v>COM</v>
      </c>
      <c r="F36" t="str">
        <f>"SUL AMERICA COMPANHIA DE SEGURO SAUDE (20080)"</f>
        <v>SUL AMERICA COMPANHIA DE SEGURO SAUDE (20080)</v>
      </c>
      <c r="G36" t="str">
        <f>"CONVENIO MEDICO SOCIOS E DEPENDENTES"</f>
        <v>CONVENIO MEDICO SOCIOS E DEPENDENTES</v>
      </c>
      <c r="H36" t="str">
        <f>("03/11/2025")</f>
        <v>03/11/2025</v>
      </c>
      <c r="I36" t="str">
        <f>("13/10/2025")</f>
        <v>13/10/2025</v>
      </c>
      <c r="J36" t="str">
        <f t="shared" si="15"/>
        <v>04/11/2025</v>
      </c>
      <c r="K36">
        <v>2935.86</v>
      </c>
      <c r="L36">
        <v>2997.51</v>
      </c>
      <c r="M36">
        <v>192</v>
      </c>
      <c r="N36" t="str">
        <f>"PLANOS E SEGUROS"</f>
        <v>PLANOS E SEGUROS</v>
      </c>
      <c r="O36">
        <v>2997.51</v>
      </c>
      <c r="R36" t="str">
        <f>"BANCO CORA (102)"</f>
        <v>BANCO CORA (102)</v>
      </c>
      <c r="S36">
        <v>2869</v>
      </c>
      <c r="T36">
        <v>2211</v>
      </c>
      <c r="U36" t="s">
        <v>21</v>
      </c>
    </row>
    <row r="37" spans="1:21">
      <c r="A37" t="str">
        <f t="shared" si="9"/>
        <v>04/11/2025</v>
      </c>
      <c r="B37" t="str">
        <f>"SAÍDA"</f>
        <v>SAÍDA</v>
      </c>
      <c r="C37" t="str">
        <f>"BOLETO"</f>
        <v>BOLETO</v>
      </c>
      <c r="D37" t="str">
        <f>"19983"</f>
        <v>19983</v>
      </c>
      <c r="E37" t="str">
        <f t="shared" si="2"/>
        <v>COM</v>
      </c>
      <c r="F37" t="str">
        <f>"SUL AMERICA COMPANHIA DE SEGURO SAUDE (20080)"</f>
        <v>SUL AMERICA COMPANHIA DE SEGURO SAUDE (20080)</v>
      </c>
      <c r="G37" t="str">
        <f>"CONVENIO MEDICO SOCIOS E DEPENDENTES"</f>
        <v>CONVENIO MEDICO SOCIOS E DEPENDENTES</v>
      </c>
      <c r="H37" t="str">
        <f>("03/11/2025")</f>
        <v>03/11/2025</v>
      </c>
      <c r="I37" t="str">
        <f>("13/10/2025")</f>
        <v>13/10/2025</v>
      </c>
      <c r="J37" t="str">
        <f t="shared" si="15"/>
        <v>04/11/2025</v>
      </c>
      <c r="M37">
        <v>192</v>
      </c>
      <c r="N37" t="str">
        <f>"PLANOS E SEGUROS"</f>
        <v>PLANOS E SEGUROS</v>
      </c>
      <c r="P37">
        <v>2997.51</v>
      </c>
      <c r="Q37" t="str">
        <f>"SUL AMERICA COMPANHIA DE SEGURO SAUDE (20080)"</f>
        <v>SUL AMERICA COMPANHIA DE SEGURO SAUDE (20080)</v>
      </c>
      <c r="R37" t="str">
        <f>"BANCO CORA (102)"</f>
        <v>BANCO CORA (102)</v>
      </c>
      <c r="S37">
        <v>2869</v>
      </c>
      <c r="T37">
        <v>2211</v>
      </c>
      <c r="U37" t="s">
        <v>21</v>
      </c>
    </row>
    <row r="38" spans="1:21">
      <c r="A38" t="str">
        <f t="shared" ref="A38:A69" si="19">("05/11/2025")</f>
        <v>05/11/2025</v>
      </c>
      <c r="B38" t="str">
        <f t="shared" ref="B38:B69" si="20">"ENTRADA"</f>
        <v>ENTRADA</v>
      </c>
      <c r="C38" t="str">
        <f t="shared" ref="C38:C69" si="21">"NFSE"</f>
        <v>NFSE</v>
      </c>
      <c r="D38" t="str">
        <f>"3716"</f>
        <v>3716</v>
      </c>
      <c r="E38" t="str">
        <f t="shared" si="2"/>
        <v>COM</v>
      </c>
      <c r="F38" t="str">
        <f>"PENSE FARMA 51 (10235)"</f>
        <v>PENSE FARMA 51 (10235)</v>
      </c>
      <c r="G38" t="str">
        <f>"Serv.Prest. 27/10/2025 a 02/11/2025 - RPS: 1479 - NFSe: 3716"</f>
        <v>Serv.Prest. 27/10/2025 a 02/11/2025 - RPS: 1479 - NFSe: 3716</v>
      </c>
      <c r="H38" t="str">
        <f t="shared" ref="H38:H69" si="22">("05/11/2025")</f>
        <v>05/11/2025</v>
      </c>
      <c r="I38" t="str">
        <f t="shared" ref="I38:I69" si="23">("03/11/2025")</f>
        <v>03/11/2025</v>
      </c>
      <c r="J38" t="str">
        <f t="shared" ref="J38:J69" si="24">("05/11/2025")</f>
        <v>05/11/2025</v>
      </c>
      <c r="K38">
        <v>171.36</v>
      </c>
      <c r="L38">
        <v>171.36</v>
      </c>
      <c r="M38">
        <v>303</v>
      </c>
      <c r="N38" t="str">
        <f t="shared" ref="N38:N69" si="25">"RECEITAS COM ENTREGAS"</f>
        <v>RECEITAS COM ENTREGAS</v>
      </c>
      <c r="O38">
        <v>171.36</v>
      </c>
      <c r="R38" t="str">
        <f t="shared" ref="R38:R69" si="26">"RECEITAS COM ENTREGAS (303)"</f>
        <v>RECEITAS COM ENTREGAS (303)</v>
      </c>
      <c r="S38">
        <v>2874</v>
      </c>
      <c r="T38">
        <v>2409</v>
      </c>
      <c r="U38" t="s">
        <v>21</v>
      </c>
    </row>
    <row r="39" spans="1:21">
      <c r="A39" t="str">
        <f t="shared" si="19"/>
        <v>05/11/2025</v>
      </c>
      <c r="B39" t="str">
        <f t="shared" si="20"/>
        <v>ENTRADA</v>
      </c>
      <c r="C39" t="str">
        <f t="shared" si="21"/>
        <v>NFSE</v>
      </c>
      <c r="D39" t="str">
        <f>"3716"</f>
        <v>3716</v>
      </c>
      <c r="E39" t="str">
        <f t="shared" si="2"/>
        <v>COM</v>
      </c>
      <c r="F39" t="str">
        <f>"PENSE FARMA 51 (10235)"</f>
        <v>PENSE FARMA 51 (10235)</v>
      </c>
      <c r="G39" t="str">
        <f>"Serv.Prest. 27/10/2025 a 02/11/2025 - RPS: 1479 - NFSe: 3716"</f>
        <v>Serv.Prest. 27/10/2025 a 02/11/2025 - RPS: 1479 - NFSe: 3716</v>
      </c>
      <c r="H39" t="str">
        <f t="shared" si="22"/>
        <v>05/11/2025</v>
      </c>
      <c r="I39" t="str">
        <f t="shared" si="23"/>
        <v>03/11/2025</v>
      </c>
      <c r="J39" t="str">
        <f t="shared" si="24"/>
        <v>05/11/2025</v>
      </c>
      <c r="M39">
        <v>303</v>
      </c>
      <c r="N39" t="str">
        <f t="shared" si="25"/>
        <v>RECEITAS COM ENTREGAS</v>
      </c>
      <c r="P39">
        <v>171.36</v>
      </c>
      <c r="Q39" t="str">
        <f>"PENSE FARMA 51 (10235)"</f>
        <v>PENSE FARMA 51 (10235)</v>
      </c>
      <c r="R39" t="str">
        <f t="shared" si="26"/>
        <v>RECEITAS COM ENTREGAS (303)</v>
      </c>
      <c r="S39">
        <v>2874</v>
      </c>
      <c r="T39">
        <v>2409</v>
      </c>
      <c r="U39" t="s">
        <v>21</v>
      </c>
    </row>
    <row r="40" spans="1:21">
      <c r="A40" t="str">
        <f t="shared" si="19"/>
        <v>05/11/2025</v>
      </c>
      <c r="B40" t="str">
        <f t="shared" si="20"/>
        <v>ENTRADA</v>
      </c>
      <c r="C40" t="str">
        <f t="shared" si="21"/>
        <v>NFSE</v>
      </c>
      <c r="D40" t="str">
        <f>"3717"</f>
        <v>3717</v>
      </c>
      <c r="E40" t="str">
        <f t="shared" si="2"/>
        <v>COM</v>
      </c>
      <c r="F40" t="str">
        <f>"PENSE FARMA 31 (10205)"</f>
        <v>PENSE FARMA 31 (10205)</v>
      </c>
      <c r="G40" t="str">
        <f>"Serv.Prest. 27/10/2025 a 02/11/2025 - RPS: 1480 - NFSe: 3717"</f>
        <v>Serv.Prest. 27/10/2025 a 02/11/2025 - RPS: 1480 - NFSe: 3717</v>
      </c>
      <c r="H40" t="str">
        <f t="shared" si="22"/>
        <v>05/11/2025</v>
      </c>
      <c r="I40" t="str">
        <f t="shared" si="23"/>
        <v>03/11/2025</v>
      </c>
      <c r="J40" t="str">
        <f t="shared" si="24"/>
        <v>05/11/2025</v>
      </c>
      <c r="K40">
        <v>283.94</v>
      </c>
      <c r="L40">
        <v>283.94</v>
      </c>
      <c r="M40">
        <v>303</v>
      </c>
      <c r="N40" t="str">
        <f t="shared" si="25"/>
        <v>RECEITAS COM ENTREGAS</v>
      </c>
      <c r="O40">
        <v>283.94</v>
      </c>
      <c r="R40" t="str">
        <f t="shared" si="26"/>
        <v>RECEITAS COM ENTREGAS (303)</v>
      </c>
      <c r="S40">
        <v>2875</v>
      </c>
      <c r="T40">
        <v>2410</v>
      </c>
      <c r="U40" t="s">
        <v>21</v>
      </c>
    </row>
    <row r="41" spans="1:21">
      <c r="A41" t="str">
        <f t="shared" si="19"/>
        <v>05/11/2025</v>
      </c>
      <c r="B41" t="str">
        <f t="shared" si="20"/>
        <v>ENTRADA</v>
      </c>
      <c r="C41" t="str">
        <f t="shared" si="21"/>
        <v>NFSE</v>
      </c>
      <c r="D41" t="str">
        <f>"3717"</f>
        <v>3717</v>
      </c>
      <c r="E41" t="str">
        <f t="shared" si="2"/>
        <v>COM</v>
      </c>
      <c r="F41" t="str">
        <f>"PENSE FARMA 31 (10205)"</f>
        <v>PENSE FARMA 31 (10205)</v>
      </c>
      <c r="G41" t="str">
        <f>"Serv.Prest. 27/10/2025 a 02/11/2025 - RPS: 1480 - NFSe: 3717"</f>
        <v>Serv.Prest. 27/10/2025 a 02/11/2025 - RPS: 1480 - NFSe: 3717</v>
      </c>
      <c r="H41" t="str">
        <f t="shared" si="22"/>
        <v>05/11/2025</v>
      </c>
      <c r="I41" t="str">
        <f t="shared" si="23"/>
        <v>03/11/2025</v>
      </c>
      <c r="J41" t="str">
        <f t="shared" si="24"/>
        <v>05/11/2025</v>
      </c>
      <c r="M41">
        <v>303</v>
      </c>
      <c r="N41" t="str">
        <f t="shared" si="25"/>
        <v>RECEITAS COM ENTREGAS</v>
      </c>
      <c r="P41">
        <v>94.24</v>
      </c>
      <c r="Q41" t="str">
        <f>"PENSE FARMA 31 (10205)"</f>
        <v>PENSE FARMA 31 (10205)</v>
      </c>
      <c r="R41" t="str">
        <f t="shared" si="26"/>
        <v>RECEITAS COM ENTREGAS (303)</v>
      </c>
      <c r="S41">
        <v>2875</v>
      </c>
      <c r="T41">
        <v>2410</v>
      </c>
      <c r="U41" t="s">
        <v>21</v>
      </c>
    </row>
    <row r="42" spans="1:21">
      <c r="A42" t="str">
        <f t="shared" si="19"/>
        <v>05/11/2025</v>
      </c>
      <c r="B42" t="str">
        <f t="shared" si="20"/>
        <v>ENTRADA</v>
      </c>
      <c r="C42" t="str">
        <f t="shared" si="21"/>
        <v>NFSE</v>
      </c>
      <c r="D42" t="str">
        <f>"3717"</f>
        <v>3717</v>
      </c>
      <c r="E42" t="str">
        <f t="shared" si="2"/>
        <v>COM</v>
      </c>
      <c r="F42" t="str">
        <f>"PENSE FARMA 31 (10205)"</f>
        <v>PENSE FARMA 31 (10205)</v>
      </c>
      <c r="G42" t="str">
        <f>"Serv.Prest. 27/10/2025 a 02/11/2025 - RPS: 1480 - NFSe: 3717"</f>
        <v>Serv.Prest. 27/10/2025 a 02/11/2025 - RPS: 1480 - NFSe: 3717</v>
      </c>
      <c r="H42" t="str">
        <f t="shared" si="22"/>
        <v>05/11/2025</v>
      </c>
      <c r="I42" t="str">
        <f t="shared" si="23"/>
        <v>03/11/2025</v>
      </c>
      <c r="J42" t="str">
        <f t="shared" si="24"/>
        <v>05/11/2025</v>
      </c>
      <c r="M42">
        <v>303</v>
      </c>
      <c r="N42" t="str">
        <f t="shared" si="25"/>
        <v>RECEITAS COM ENTREGAS</v>
      </c>
      <c r="P42">
        <v>95.43</v>
      </c>
      <c r="Q42" t="str">
        <f>"PENSE FARMA 16 (10221)"</f>
        <v>PENSE FARMA 16 (10221)</v>
      </c>
      <c r="R42" t="str">
        <f t="shared" si="26"/>
        <v>RECEITAS COM ENTREGAS (303)</v>
      </c>
      <c r="S42">
        <v>2875</v>
      </c>
      <c r="T42">
        <v>2410</v>
      </c>
      <c r="U42" t="s">
        <v>21</v>
      </c>
    </row>
    <row r="43" spans="1:21">
      <c r="A43" t="str">
        <f t="shared" si="19"/>
        <v>05/11/2025</v>
      </c>
      <c r="B43" t="str">
        <f t="shared" si="20"/>
        <v>ENTRADA</v>
      </c>
      <c r="C43" t="str">
        <f t="shared" si="21"/>
        <v>NFSE</v>
      </c>
      <c r="D43" t="str">
        <f>"3717"</f>
        <v>3717</v>
      </c>
      <c r="E43" t="str">
        <f t="shared" si="2"/>
        <v>COM</v>
      </c>
      <c r="F43" t="str">
        <f>"PENSE FARMA 31 (10205)"</f>
        <v>PENSE FARMA 31 (10205)</v>
      </c>
      <c r="G43" t="str">
        <f>"Serv.Prest. 27/10/2025 a 02/11/2025 - RPS: 1480 - NFSe: 3717"</f>
        <v>Serv.Prest. 27/10/2025 a 02/11/2025 - RPS: 1480 - NFSe: 3717</v>
      </c>
      <c r="H43" t="str">
        <f t="shared" si="22"/>
        <v>05/11/2025</v>
      </c>
      <c r="I43" t="str">
        <f t="shared" si="23"/>
        <v>03/11/2025</v>
      </c>
      <c r="J43" t="str">
        <f t="shared" si="24"/>
        <v>05/11/2025</v>
      </c>
      <c r="M43">
        <v>303</v>
      </c>
      <c r="N43" t="str">
        <f t="shared" si="25"/>
        <v>RECEITAS COM ENTREGAS</v>
      </c>
      <c r="P43">
        <v>94.27</v>
      </c>
      <c r="Q43" t="str">
        <f>"PENSE FARMA 17 (10222)"</f>
        <v>PENSE FARMA 17 (10222)</v>
      </c>
      <c r="R43" t="str">
        <f t="shared" si="26"/>
        <v>RECEITAS COM ENTREGAS (303)</v>
      </c>
      <c r="S43">
        <v>2875</v>
      </c>
      <c r="T43">
        <v>2410</v>
      </c>
      <c r="U43" t="s">
        <v>21</v>
      </c>
    </row>
    <row r="44" spans="1:21">
      <c r="A44" t="str">
        <f t="shared" si="19"/>
        <v>05/11/2025</v>
      </c>
      <c r="B44" t="str">
        <f t="shared" si="20"/>
        <v>ENTRADA</v>
      </c>
      <c r="C44" t="str">
        <f t="shared" si="21"/>
        <v>NFSE</v>
      </c>
      <c r="D44" t="str">
        <f>"3718"</f>
        <v>3718</v>
      </c>
      <c r="E44" t="str">
        <f t="shared" si="2"/>
        <v>COM</v>
      </c>
      <c r="F44" t="str">
        <f>"PENSE FARMA 44 (10231)"</f>
        <v>PENSE FARMA 44 (10231)</v>
      </c>
      <c r="G44" t="str">
        <f>"Serv.Prest. 27/10/2025 a 02/11/2025 - RPS: 1481 - NFSe: 3718"</f>
        <v>Serv.Prest. 27/10/2025 a 02/11/2025 - RPS: 1481 - NFSe: 3718</v>
      </c>
      <c r="H44" t="str">
        <f t="shared" si="22"/>
        <v>05/11/2025</v>
      </c>
      <c r="I44" t="str">
        <f t="shared" si="23"/>
        <v>03/11/2025</v>
      </c>
      <c r="J44" t="str">
        <f t="shared" si="24"/>
        <v>05/11/2025</v>
      </c>
      <c r="K44">
        <v>589.04</v>
      </c>
      <c r="L44">
        <v>589.04</v>
      </c>
      <c r="M44">
        <v>303</v>
      </c>
      <c r="N44" t="str">
        <f t="shared" si="25"/>
        <v>RECEITAS COM ENTREGAS</v>
      </c>
      <c r="O44">
        <v>589.04</v>
      </c>
      <c r="R44" t="str">
        <f t="shared" si="26"/>
        <v>RECEITAS COM ENTREGAS (303)</v>
      </c>
      <c r="S44">
        <v>2876</v>
      </c>
      <c r="T44">
        <v>2411</v>
      </c>
      <c r="U44" t="s">
        <v>21</v>
      </c>
    </row>
    <row r="45" spans="1:21">
      <c r="A45" t="str">
        <f t="shared" si="19"/>
        <v>05/11/2025</v>
      </c>
      <c r="B45" t="str">
        <f t="shared" si="20"/>
        <v>ENTRADA</v>
      </c>
      <c r="C45" t="str">
        <f t="shared" si="21"/>
        <v>NFSE</v>
      </c>
      <c r="D45" t="str">
        <f>"3718"</f>
        <v>3718</v>
      </c>
      <c r="E45" t="str">
        <f t="shared" si="2"/>
        <v>COM</v>
      </c>
      <c r="F45" t="str">
        <f>"PENSE FARMA 44 (10231)"</f>
        <v>PENSE FARMA 44 (10231)</v>
      </c>
      <c r="G45" t="str">
        <f>"Serv.Prest. 27/10/2025 a 02/11/2025 - RPS: 1481 - NFSe: 3718"</f>
        <v>Serv.Prest. 27/10/2025 a 02/11/2025 - RPS: 1481 - NFSe: 3718</v>
      </c>
      <c r="H45" t="str">
        <f t="shared" si="22"/>
        <v>05/11/2025</v>
      </c>
      <c r="I45" t="str">
        <f t="shared" si="23"/>
        <v>03/11/2025</v>
      </c>
      <c r="J45" t="str">
        <f t="shared" si="24"/>
        <v>05/11/2025</v>
      </c>
      <c r="M45">
        <v>303</v>
      </c>
      <c r="N45" t="str">
        <f t="shared" si="25"/>
        <v>RECEITAS COM ENTREGAS</v>
      </c>
      <c r="P45">
        <v>294.52</v>
      </c>
      <c r="Q45" t="str">
        <f>"PENSE FARMA 44 (10231)"</f>
        <v>PENSE FARMA 44 (10231)</v>
      </c>
      <c r="R45" t="str">
        <f t="shared" si="26"/>
        <v>RECEITAS COM ENTREGAS (303)</v>
      </c>
      <c r="S45">
        <v>2876</v>
      </c>
      <c r="T45">
        <v>2411</v>
      </c>
      <c r="U45" t="s">
        <v>21</v>
      </c>
    </row>
    <row r="46" spans="1:21">
      <c r="A46" t="str">
        <f t="shared" si="19"/>
        <v>05/11/2025</v>
      </c>
      <c r="B46" t="str">
        <f t="shared" si="20"/>
        <v>ENTRADA</v>
      </c>
      <c r="C46" t="str">
        <f t="shared" si="21"/>
        <v>NFSE</v>
      </c>
      <c r="D46" t="str">
        <f>"3718"</f>
        <v>3718</v>
      </c>
      <c r="E46" t="str">
        <f t="shared" si="2"/>
        <v>COM</v>
      </c>
      <c r="F46" t="str">
        <f>"PENSE FARMA 44 (10231)"</f>
        <v>PENSE FARMA 44 (10231)</v>
      </c>
      <c r="G46" t="str">
        <f>"Serv.Prest. 27/10/2025 a 02/11/2025 - RPS: 1481 - NFSe: 3718"</f>
        <v>Serv.Prest. 27/10/2025 a 02/11/2025 - RPS: 1481 - NFSe: 3718</v>
      </c>
      <c r="H46" t="str">
        <f t="shared" si="22"/>
        <v>05/11/2025</v>
      </c>
      <c r="I46" t="str">
        <f t="shared" si="23"/>
        <v>03/11/2025</v>
      </c>
      <c r="J46" t="str">
        <f t="shared" si="24"/>
        <v>05/11/2025</v>
      </c>
      <c r="M46">
        <v>303</v>
      </c>
      <c r="N46" t="str">
        <f t="shared" si="25"/>
        <v>RECEITAS COM ENTREGAS</v>
      </c>
      <c r="P46">
        <v>294.52</v>
      </c>
      <c r="Q46" t="str">
        <f>"PENSE FARMA 48 (10233)"</f>
        <v>PENSE FARMA 48 (10233)</v>
      </c>
      <c r="R46" t="str">
        <f t="shared" si="26"/>
        <v>RECEITAS COM ENTREGAS (303)</v>
      </c>
      <c r="S46">
        <v>2876</v>
      </c>
      <c r="T46">
        <v>2411</v>
      </c>
      <c r="U46" t="s">
        <v>21</v>
      </c>
    </row>
    <row r="47" spans="1:21">
      <c r="A47" t="str">
        <f t="shared" si="19"/>
        <v>05/11/2025</v>
      </c>
      <c r="B47" t="str">
        <f t="shared" si="20"/>
        <v>ENTRADA</v>
      </c>
      <c r="C47" t="str">
        <f t="shared" si="21"/>
        <v>NFSE</v>
      </c>
      <c r="D47" t="str">
        <f>"3719"</f>
        <v>3719</v>
      </c>
      <c r="E47" t="str">
        <f t="shared" si="2"/>
        <v>COM</v>
      </c>
      <c r="F47" t="str">
        <f>"PENSE FARMA 19 (10223)"</f>
        <v>PENSE FARMA 19 (10223)</v>
      </c>
      <c r="G47" t="str">
        <f>"Serv.Prest. 27/10/2025 a 02/11/2025 - RPS: 1482 - NFSe: 3719"</f>
        <v>Serv.Prest. 27/10/2025 a 02/11/2025 - RPS: 1482 - NFSe: 3719</v>
      </c>
      <c r="H47" t="str">
        <f t="shared" si="22"/>
        <v>05/11/2025</v>
      </c>
      <c r="I47" t="str">
        <f t="shared" si="23"/>
        <v>03/11/2025</v>
      </c>
      <c r="J47" t="str">
        <f t="shared" si="24"/>
        <v>05/11/2025</v>
      </c>
      <c r="K47">
        <v>589.04999999999995</v>
      </c>
      <c r="L47">
        <v>589.04999999999995</v>
      </c>
      <c r="M47">
        <v>303</v>
      </c>
      <c r="N47" t="str">
        <f t="shared" si="25"/>
        <v>RECEITAS COM ENTREGAS</v>
      </c>
      <c r="O47">
        <v>589.04999999999995</v>
      </c>
      <c r="R47" t="str">
        <f t="shared" si="26"/>
        <v>RECEITAS COM ENTREGAS (303)</v>
      </c>
      <c r="S47">
        <v>2877</v>
      </c>
      <c r="T47">
        <v>2412</v>
      </c>
      <c r="U47" t="s">
        <v>21</v>
      </c>
    </row>
    <row r="48" spans="1:21">
      <c r="A48" t="str">
        <f t="shared" si="19"/>
        <v>05/11/2025</v>
      </c>
      <c r="B48" t="str">
        <f t="shared" si="20"/>
        <v>ENTRADA</v>
      </c>
      <c r="C48" t="str">
        <f t="shared" si="21"/>
        <v>NFSE</v>
      </c>
      <c r="D48" t="str">
        <f>"3719"</f>
        <v>3719</v>
      </c>
      <c r="E48" t="str">
        <f t="shared" si="2"/>
        <v>COM</v>
      </c>
      <c r="F48" t="str">
        <f>"PENSE FARMA 19 (10223)"</f>
        <v>PENSE FARMA 19 (10223)</v>
      </c>
      <c r="G48" t="str">
        <f>"Serv.Prest. 27/10/2025 a 02/11/2025 - RPS: 1482 - NFSe: 3719"</f>
        <v>Serv.Prest. 27/10/2025 a 02/11/2025 - RPS: 1482 - NFSe: 3719</v>
      </c>
      <c r="H48" t="str">
        <f t="shared" si="22"/>
        <v>05/11/2025</v>
      </c>
      <c r="I48" t="str">
        <f t="shared" si="23"/>
        <v>03/11/2025</v>
      </c>
      <c r="J48" t="str">
        <f t="shared" si="24"/>
        <v>05/11/2025</v>
      </c>
      <c r="M48">
        <v>303</v>
      </c>
      <c r="N48" t="str">
        <f t="shared" si="25"/>
        <v>RECEITAS COM ENTREGAS</v>
      </c>
      <c r="P48">
        <v>589.04999999999995</v>
      </c>
      <c r="Q48" t="str">
        <f>"PENSE FARMA 19 (10223)"</f>
        <v>PENSE FARMA 19 (10223)</v>
      </c>
      <c r="R48" t="str">
        <f t="shared" si="26"/>
        <v>RECEITAS COM ENTREGAS (303)</v>
      </c>
      <c r="S48">
        <v>2877</v>
      </c>
      <c r="T48">
        <v>2412</v>
      </c>
      <c r="U48" t="s">
        <v>21</v>
      </c>
    </row>
    <row r="49" spans="1:21">
      <c r="A49" t="str">
        <f t="shared" si="19"/>
        <v>05/11/2025</v>
      </c>
      <c r="B49" t="str">
        <f t="shared" si="20"/>
        <v>ENTRADA</v>
      </c>
      <c r="C49" t="str">
        <f t="shared" si="21"/>
        <v>NFSE</v>
      </c>
      <c r="D49" t="str">
        <f>"3720"</f>
        <v>3720</v>
      </c>
      <c r="E49" t="str">
        <f t="shared" si="2"/>
        <v>COM</v>
      </c>
      <c r="F49" t="str">
        <f>"PENSE FARMA 49 (10234)"</f>
        <v>PENSE FARMA 49 (10234)</v>
      </c>
      <c r="G49" t="str">
        <f>"Serv.Prest. 27/10/2025 a 02/11/2025 - RPS: 1483 - NFSe: 3720"</f>
        <v>Serv.Prest. 27/10/2025 a 02/11/2025 - RPS: 1483 - NFSe: 3720</v>
      </c>
      <c r="H49" t="str">
        <f t="shared" si="22"/>
        <v>05/11/2025</v>
      </c>
      <c r="I49" t="str">
        <f t="shared" si="23"/>
        <v>03/11/2025</v>
      </c>
      <c r="J49" t="str">
        <f t="shared" si="24"/>
        <v>05/11/2025</v>
      </c>
      <c r="K49">
        <v>171.36</v>
      </c>
      <c r="L49">
        <v>171.36</v>
      </c>
      <c r="M49">
        <v>303</v>
      </c>
      <c r="N49" t="str">
        <f t="shared" si="25"/>
        <v>RECEITAS COM ENTREGAS</v>
      </c>
      <c r="O49">
        <v>171.36</v>
      </c>
      <c r="R49" t="str">
        <f t="shared" si="26"/>
        <v>RECEITAS COM ENTREGAS (303)</v>
      </c>
      <c r="S49">
        <v>2878</v>
      </c>
      <c r="T49">
        <v>2413</v>
      </c>
      <c r="U49" t="s">
        <v>21</v>
      </c>
    </row>
    <row r="50" spans="1:21">
      <c r="A50" t="str">
        <f t="shared" si="19"/>
        <v>05/11/2025</v>
      </c>
      <c r="B50" t="str">
        <f t="shared" si="20"/>
        <v>ENTRADA</v>
      </c>
      <c r="C50" t="str">
        <f t="shared" si="21"/>
        <v>NFSE</v>
      </c>
      <c r="D50" t="str">
        <f>"3720"</f>
        <v>3720</v>
      </c>
      <c r="E50" t="str">
        <f t="shared" si="2"/>
        <v>COM</v>
      </c>
      <c r="F50" t="str">
        <f>"PENSE FARMA 49 (10234)"</f>
        <v>PENSE FARMA 49 (10234)</v>
      </c>
      <c r="G50" t="str">
        <f>"Serv.Prest. 27/10/2025 a 02/11/2025 - RPS: 1483 - NFSe: 3720"</f>
        <v>Serv.Prest. 27/10/2025 a 02/11/2025 - RPS: 1483 - NFSe: 3720</v>
      </c>
      <c r="H50" t="str">
        <f t="shared" si="22"/>
        <v>05/11/2025</v>
      </c>
      <c r="I50" t="str">
        <f t="shared" si="23"/>
        <v>03/11/2025</v>
      </c>
      <c r="J50" t="str">
        <f t="shared" si="24"/>
        <v>05/11/2025</v>
      </c>
      <c r="M50">
        <v>303</v>
      </c>
      <c r="N50" t="str">
        <f t="shared" si="25"/>
        <v>RECEITAS COM ENTREGAS</v>
      </c>
      <c r="P50">
        <v>171.36</v>
      </c>
      <c r="Q50" t="str">
        <f>"PENSE FARMA 49 (10234)"</f>
        <v>PENSE FARMA 49 (10234)</v>
      </c>
      <c r="R50" t="str">
        <f t="shared" si="26"/>
        <v>RECEITAS COM ENTREGAS (303)</v>
      </c>
      <c r="S50">
        <v>2878</v>
      </c>
      <c r="T50">
        <v>2413</v>
      </c>
      <c r="U50" t="s">
        <v>21</v>
      </c>
    </row>
    <row r="51" spans="1:21">
      <c r="A51" t="str">
        <f t="shared" si="19"/>
        <v>05/11/2025</v>
      </c>
      <c r="B51" t="str">
        <f t="shared" si="20"/>
        <v>ENTRADA</v>
      </c>
      <c r="C51" t="str">
        <f t="shared" si="21"/>
        <v>NFSE</v>
      </c>
      <c r="D51" t="str">
        <f>"3721"</f>
        <v>3721</v>
      </c>
      <c r="E51" t="str">
        <f t="shared" si="2"/>
        <v>COM</v>
      </c>
      <c r="F51" t="str">
        <f>"PENSE FARMA 39 (10228)"</f>
        <v>PENSE FARMA 39 (10228)</v>
      </c>
      <c r="G51" t="str">
        <f>"Serv.Prest. 27/10/2025 a 02/11/2025 - RPS: 1484 - NFSe: 3721"</f>
        <v>Serv.Prest. 27/10/2025 a 02/11/2025 - RPS: 1484 - NFSe: 3721</v>
      </c>
      <c r="H51" t="str">
        <f t="shared" si="22"/>
        <v>05/11/2025</v>
      </c>
      <c r="I51" t="str">
        <f t="shared" si="23"/>
        <v>03/11/2025</v>
      </c>
      <c r="J51" t="str">
        <f t="shared" si="24"/>
        <v>05/11/2025</v>
      </c>
      <c r="K51">
        <v>557.12</v>
      </c>
      <c r="L51">
        <v>557.12</v>
      </c>
      <c r="M51">
        <v>303</v>
      </c>
      <c r="N51" t="str">
        <f t="shared" si="25"/>
        <v>RECEITAS COM ENTREGAS</v>
      </c>
      <c r="O51">
        <v>557.12</v>
      </c>
      <c r="R51" t="str">
        <f t="shared" si="26"/>
        <v>RECEITAS COM ENTREGAS (303)</v>
      </c>
      <c r="S51">
        <v>2879</v>
      </c>
      <c r="T51">
        <v>2414</v>
      </c>
      <c r="U51" t="s">
        <v>21</v>
      </c>
    </row>
    <row r="52" spans="1:21">
      <c r="A52" t="str">
        <f t="shared" si="19"/>
        <v>05/11/2025</v>
      </c>
      <c r="B52" t="str">
        <f t="shared" si="20"/>
        <v>ENTRADA</v>
      </c>
      <c r="C52" t="str">
        <f t="shared" si="21"/>
        <v>NFSE</v>
      </c>
      <c r="D52" t="str">
        <f>"3721"</f>
        <v>3721</v>
      </c>
      <c r="E52" t="str">
        <f t="shared" si="2"/>
        <v>COM</v>
      </c>
      <c r="F52" t="str">
        <f>"PENSE FARMA 39 (10228)"</f>
        <v>PENSE FARMA 39 (10228)</v>
      </c>
      <c r="G52" t="str">
        <f>"Serv.Prest. 27/10/2025 a 02/11/2025 - RPS: 1484 - NFSe: 3721"</f>
        <v>Serv.Prest. 27/10/2025 a 02/11/2025 - RPS: 1484 - NFSe: 3721</v>
      </c>
      <c r="H52" t="str">
        <f t="shared" si="22"/>
        <v>05/11/2025</v>
      </c>
      <c r="I52" t="str">
        <f t="shared" si="23"/>
        <v>03/11/2025</v>
      </c>
      <c r="J52" t="str">
        <f t="shared" si="24"/>
        <v>05/11/2025</v>
      </c>
      <c r="M52">
        <v>303</v>
      </c>
      <c r="N52" t="str">
        <f t="shared" si="25"/>
        <v>RECEITAS COM ENTREGAS</v>
      </c>
      <c r="P52">
        <v>139.22999999999999</v>
      </c>
      <c r="Q52" t="str">
        <f>"PENSE FARMA 02 (10199)"</f>
        <v>PENSE FARMA 02 (10199)</v>
      </c>
      <c r="R52" t="str">
        <f t="shared" si="26"/>
        <v>RECEITAS COM ENTREGAS (303)</v>
      </c>
      <c r="S52">
        <v>2879</v>
      </c>
      <c r="T52">
        <v>2414</v>
      </c>
      <c r="U52" t="s">
        <v>21</v>
      </c>
    </row>
    <row r="53" spans="1:21">
      <c r="A53" t="str">
        <f t="shared" si="19"/>
        <v>05/11/2025</v>
      </c>
      <c r="B53" t="str">
        <f t="shared" si="20"/>
        <v>ENTRADA</v>
      </c>
      <c r="C53" t="str">
        <f t="shared" si="21"/>
        <v>NFSE</v>
      </c>
      <c r="D53" t="str">
        <f>"3721"</f>
        <v>3721</v>
      </c>
      <c r="E53" t="str">
        <f t="shared" si="2"/>
        <v>COM</v>
      </c>
      <c r="F53" t="str">
        <f>"PENSE FARMA 39 (10228)"</f>
        <v>PENSE FARMA 39 (10228)</v>
      </c>
      <c r="G53" t="str">
        <f>"Serv.Prest. 27/10/2025 a 02/11/2025 - RPS: 1484 - NFSe: 3721"</f>
        <v>Serv.Prest. 27/10/2025 a 02/11/2025 - RPS: 1484 - NFSe: 3721</v>
      </c>
      <c r="H53" t="str">
        <f t="shared" si="22"/>
        <v>05/11/2025</v>
      </c>
      <c r="I53" t="str">
        <f t="shared" si="23"/>
        <v>03/11/2025</v>
      </c>
      <c r="J53" t="str">
        <f t="shared" si="24"/>
        <v>05/11/2025</v>
      </c>
      <c r="M53">
        <v>303</v>
      </c>
      <c r="N53" t="str">
        <f t="shared" si="25"/>
        <v>RECEITAS COM ENTREGAS</v>
      </c>
      <c r="P53">
        <v>139.22</v>
      </c>
      <c r="Q53" t="str">
        <f>"PENSE FARMA 01 (10215)"</f>
        <v>PENSE FARMA 01 (10215)</v>
      </c>
      <c r="R53" t="str">
        <f t="shared" si="26"/>
        <v>RECEITAS COM ENTREGAS (303)</v>
      </c>
      <c r="S53">
        <v>2879</v>
      </c>
      <c r="T53">
        <v>2414</v>
      </c>
      <c r="U53" t="s">
        <v>21</v>
      </c>
    </row>
    <row r="54" spans="1:21">
      <c r="A54" t="str">
        <f t="shared" si="19"/>
        <v>05/11/2025</v>
      </c>
      <c r="B54" t="str">
        <f t="shared" si="20"/>
        <v>ENTRADA</v>
      </c>
      <c r="C54" t="str">
        <f t="shared" si="21"/>
        <v>NFSE</v>
      </c>
      <c r="D54" t="str">
        <f>"3721"</f>
        <v>3721</v>
      </c>
      <c r="E54" t="str">
        <f t="shared" si="2"/>
        <v>COM</v>
      </c>
      <c r="F54" t="str">
        <f>"PENSE FARMA 39 (10228)"</f>
        <v>PENSE FARMA 39 (10228)</v>
      </c>
      <c r="G54" t="str">
        <f>"Serv.Prest. 27/10/2025 a 02/11/2025 - RPS: 1484 - NFSe: 3721"</f>
        <v>Serv.Prest. 27/10/2025 a 02/11/2025 - RPS: 1484 - NFSe: 3721</v>
      </c>
      <c r="H54" t="str">
        <f t="shared" si="22"/>
        <v>05/11/2025</v>
      </c>
      <c r="I54" t="str">
        <f t="shared" si="23"/>
        <v>03/11/2025</v>
      </c>
      <c r="J54" t="str">
        <f t="shared" si="24"/>
        <v>05/11/2025</v>
      </c>
      <c r="M54">
        <v>303</v>
      </c>
      <c r="N54" t="str">
        <f t="shared" si="25"/>
        <v>RECEITAS COM ENTREGAS</v>
      </c>
      <c r="P54">
        <v>139.22</v>
      </c>
      <c r="Q54" t="str">
        <f>"PENSE FARMA 03 (10216)"</f>
        <v>PENSE FARMA 03 (10216)</v>
      </c>
      <c r="R54" t="str">
        <f t="shared" si="26"/>
        <v>RECEITAS COM ENTREGAS (303)</v>
      </c>
      <c r="S54">
        <v>2879</v>
      </c>
      <c r="T54">
        <v>2414</v>
      </c>
      <c r="U54" t="s">
        <v>21</v>
      </c>
    </row>
    <row r="55" spans="1:21">
      <c r="A55" t="str">
        <f t="shared" si="19"/>
        <v>05/11/2025</v>
      </c>
      <c r="B55" t="str">
        <f t="shared" si="20"/>
        <v>ENTRADA</v>
      </c>
      <c r="C55" t="str">
        <f t="shared" si="21"/>
        <v>NFSE</v>
      </c>
      <c r="D55" t="str">
        <f>"3721"</f>
        <v>3721</v>
      </c>
      <c r="E55" t="str">
        <f t="shared" si="2"/>
        <v>COM</v>
      </c>
      <c r="F55" t="str">
        <f>"PENSE FARMA 39 (10228)"</f>
        <v>PENSE FARMA 39 (10228)</v>
      </c>
      <c r="G55" t="str">
        <f>"Serv.Prest. 27/10/2025 a 02/11/2025 - RPS: 1484 - NFSe: 3721"</f>
        <v>Serv.Prest. 27/10/2025 a 02/11/2025 - RPS: 1484 - NFSe: 3721</v>
      </c>
      <c r="H55" t="str">
        <f t="shared" si="22"/>
        <v>05/11/2025</v>
      </c>
      <c r="I55" t="str">
        <f t="shared" si="23"/>
        <v>03/11/2025</v>
      </c>
      <c r="J55" t="str">
        <f t="shared" si="24"/>
        <v>05/11/2025</v>
      </c>
      <c r="M55">
        <v>303</v>
      </c>
      <c r="N55" t="str">
        <f t="shared" si="25"/>
        <v>RECEITAS COM ENTREGAS</v>
      </c>
      <c r="P55">
        <v>139.44999999999999</v>
      </c>
      <c r="Q55" t="str">
        <f>"PENSE FARMA 39 (10228)"</f>
        <v>PENSE FARMA 39 (10228)</v>
      </c>
      <c r="R55" t="str">
        <f t="shared" si="26"/>
        <v>RECEITAS COM ENTREGAS (303)</v>
      </c>
      <c r="S55">
        <v>2879</v>
      </c>
      <c r="T55">
        <v>2414</v>
      </c>
      <c r="U55" t="s">
        <v>21</v>
      </c>
    </row>
    <row r="56" spans="1:21">
      <c r="A56" t="str">
        <f t="shared" si="19"/>
        <v>05/11/2025</v>
      </c>
      <c r="B56" t="str">
        <f t="shared" si="20"/>
        <v>ENTRADA</v>
      </c>
      <c r="C56" t="str">
        <f t="shared" si="21"/>
        <v>NFSE</v>
      </c>
      <c r="D56" t="str">
        <f>"3722"</f>
        <v>3722</v>
      </c>
      <c r="E56" t="str">
        <f t="shared" si="2"/>
        <v>COM</v>
      </c>
      <c r="F56" t="str">
        <f>"PENSE FARMA 47 (10232)"</f>
        <v>PENSE FARMA 47 (10232)</v>
      </c>
      <c r="G56" t="str">
        <f>"Serv.Prest. 27/10/2025 a 02/11/2025 - RPS: 1485 - NFSe: 3722"</f>
        <v>Serv.Prest. 27/10/2025 a 02/11/2025 - RPS: 1485 - NFSe: 3722</v>
      </c>
      <c r="H56" t="str">
        <f t="shared" si="22"/>
        <v>05/11/2025</v>
      </c>
      <c r="I56" t="str">
        <f t="shared" si="23"/>
        <v>03/11/2025</v>
      </c>
      <c r="J56" t="str">
        <f t="shared" si="24"/>
        <v>05/11/2025</v>
      </c>
      <c r="K56">
        <v>278.45999999999998</v>
      </c>
      <c r="L56">
        <v>278.45999999999998</v>
      </c>
      <c r="M56">
        <v>303</v>
      </c>
      <c r="N56" t="str">
        <f t="shared" si="25"/>
        <v>RECEITAS COM ENTREGAS</v>
      </c>
      <c r="O56">
        <v>278.45999999999998</v>
      </c>
      <c r="R56" t="str">
        <f t="shared" si="26"/>
        <v>RECEITAS COM ENTREGAS (303)</v>
      </c>
      <c r="S56">
        <v>2880</v>
      </c>
      <c r="T56">
        <v>2415</v>
      </c>
      <c r="U56" t="s">
        <v>21</v>
      </c>
    </row>
    <row r="57" spans="1:21">
      <c r="A57" t="str">
        <f t="shared" si="19"/>
        <v>05/11/2025</v>
      </c>
      <c r="B57" t="str">
        <f t="shared" si="20"/>
        <v>ENTRADA</v>
      </c>
      <c r="C57" t="str">
        <f t="shared" si="21"/>
        <v>NFSE</v>
      </c>
      <c r="D57" t="str">
        <f>"3722"</f>
        <v>3722</v>
      </c>
      <c r="E57" t="str">
        <f t="shared" si="2"/>
        <v>COM</v>
      </c>
      <c r="F57" t="str">
        <f>"PENSE FARMA 47 (10232)"</f>
        <v>PENSE FARMA 47 (10232)</v>
      </c>
      <c r="G57" t="str">
        <f>"Serv.Prest. 27/10/2025 a 02/11/2025 - RPS: 1485 - NFSe: 3722"</f>
        <v>Serv.Prest. 27/10/2025 a 02/11/2025 - RPS: 1485 - NFSe: 3722</v>
      </c>
      <c r="H57" t="str">
        <f t="shared" si="22"/>
        <v>05/11/2025</v>
      </c>
      <c r="I57" t="str">
        <f t="shared" si="23"/>
        <v>03/11/2025</v>
      </c>
      <c r="J57" t="str">
        <f t="shared" si="24"/>
        <v>05/11/2025</v>
      </c>
      <c r="M57">
        <v>303</v>
      </c>
      <c r="N57" t="str">
        <f t="shared" si="25"/>
        <v>RECEITAS COM ENTREGAS</v>
      </c>
      <c r="P57">
        <v>278.45999999999998</v>
      </c>
      <c r="Q57" t="str">
        <f>"PENSE FARMA 47 (10232)"</f>
        <v>PENSE FARMA 47 (10232)</v>
      </c>
      <c r="R57" t="str">
        <f t="shared" si="26"/>
        <v>RECEITAS COM ENTREGAS (303)</v>
      </c>
      <c r="S57">
        <v>2880</v>
      </c>
      <c r="T57">
        <v>2415</v>
      </c>
      <c r="U57" t="s">
        <v>21</v>
      </c>
    </row>
    <row r="58" spans="1:21">
      <c r="A58" t="str">
        <f t="shared" si="19"/>
        <v>05/11/2025</v>
      </c>
      <c r="B58" t="str">
        <f t="shared" si="20"/>
        <v>ENTRADA</v>
      </c>
      <c r="C58" t="str">
        <f t="shared" si="21"/>
        <v>NFSE</v>
      </c>
      <c r="D58" t="str">
        <f>"3723"</f>
        <v>3723</v>
      </c>
      <c r="E58" t="str">
        <f t="shared" si="2"/>
        <v>COM</v>
      </c>
      <c r="F58" t="str">
        <f>"PENSE FARMA 25 (10224)"</f>
        <v>PENSE FARMA 25 (10224)</v>
      </c>
      <c r="G58" t="str">
        <f>"Serv.Prest. 27/10/2025 a 02/11/2025 - RPS: 1486 - NFSe: 3723"</f>
        <v>Serv.Prest. 27/10/2025 a 02/11/2025 - RPS: 1486 - NFSe: 3723</v>
      </c>
      <c r="H58" t="str">
        <f t="shared" si="22"/>
        <v>05/11/2025</v>
      </c>
      <c r="I58" t="str">
        <f t="shared" si="23"/>
        <v>03/11/2025</v>
      </c>
      <c r="J58" t="str">
        <f t="shared" si="24"/>
        <v>05/11/2025</v>
      </c>
      <c r="K58">
        <v>557.11</v>
      </c>
      <c r="L58">
        <v>557.11</v>
      </c>
      <c r="M58">
        <v>303</v>
      </c>
      <c r="N58" t="str">
        <f t="shared" si="25"/>
        <v>RECEITAS COM ENTREGAS</v>
      </c>
      <c r="O58">
        <v>557.11</v>
      </c>
      <c r="R58" t="str">
        <f t="shared" si="26"/>
        <v>RECEITAS COM ENTREGAS (303)</v>
      </c>
      <c r="S58">
        <v>2881</v>
      </c>
      <c r="T58">
        <v>2416</v>
      </c>
      <c r="U58" t="s">
        <v>21</v>
      </c>
    </row>
    <row r="59" spans="1:21">
      <c r="A59" t="str">
        <f t="shared" si="19"/>
        <v>05/11/2025</v>
      </c>
      <c r="B59" t="str">
        <f t="shared" si="20"/>
        <v>ENTRADA</v>
      </c>
      <c r="C59" t="str">
        <f t="shared" si="21"/>
        <v>NFSE</v>
      </c>
      <c r="D59" t="str">
        <f>"3723"</f>
        <v>3723</v>
      </c>
      <c r="E59" t="str">
        <f t="shared" si="2"/>
        <v>COM</v>
      </c>
      <c r="F59" t="str">
        <f>"PENSE FARMA 25 (10224)"</f>
        <v>PENSE FARMA 25 (10224)</v>
      </c>
      <c r="G59" t="str">
        <f>"Serv.Prest. 27/10/2025 a 02/11/2025 - RPS: 1486 - NFSe: 3723"</f>
        <v>Serv.Prest. 27/10/2025 a 02/11/2025 - RPS: 1486 - NFSe: 3723</v>
      </c>
      <c r="H59" t="str">
        <f t="shared" si="22"/>
        <v>05/11/2025</v>
      </c>
      <c r="I59" t="str">
        <f t="shared" si="23"/>
        <v>03/11/2025</v>
      </c>
      <c r="J59" t="str">
        <f t="shared" si="24"/>
        <v>05/11/2025</v>
      </c>
      <c r="M59">
        <v>303</v>
      </c>
      <c r="N59" t="str">
        <f t="shared" si="25"/>
        <v>RECEITAS COM ENTREGAS</v>
      </c>
      <c r="P59">
        <v>557.11</v>
      </c>
      <c r="Q59" t="str">
        <f>"PENSE FARMA 25 (10224)"</f>
        <v>PENSE FARMA 25 (10224)</v>
      </c>
      <c r="R59" t="str">
        <f t="shared" si="26"/>
        <v>RECEITAS COM ENTREGAS (303)</v>
      </c>
      <c r="S59">
        <v>2881</v>
      </c>
      <c r="T59">
        <v>2416</v>
      </c>
      <c r="U59" t="s">
        <v>21</v>
      </c>
    </row>
    <row r="60" spans="1:21">
      <c r="A60" t="str">
        <f t="shared" si="19"/>
        <v>05/11/2025</v>
      </c>
      <c r="B60" t="str">
        <f t="shared" si="20"/>
        <v>ENTRADA</v>
      </c>
      <c r="C60" t="str">
        <f t="shared" si="21"/>
        <v>NFSE</v>
      </c>
      <c r="D60" t="str">
        <f>"3724"</f>
        <v>3724</v>
      </c>
      <c r="E60" t="str">
        <f t="shared" si="2"/>
        <v>COM</v>
      </c>
      <c r="F60" t="str">
        <f>"PENSE FARMA 35 (10227)"</f>
        <v>PENSE FARMA 35 (10227)</v>
      </c>
      <c r="G60" t="str">
        <f>"Serv.Prest. 27/10/2025 a 02/11/2025 - RPS: 1487 - NFSe: 3724"</f>
        <v>Serv.Prest. 27/10/2025 a 02/11/2025 - RPS: 1487 - NFSe: 3724</v>
      </c>
      <c r="H60" t="str">
        <f t="shared" si="22"/>
        <v>05/11/2025</v>
      </c>
      <c r="I60" t="str">
        <f t="shared" si="23"/>
        <v>03/11/2025</v>
      </c>
      <c r="J60" t="str">
        <f t="shared" si="24"/>
        <v>05/11/2025</v>
      </c>
      <c r="K60">
        <v>171.45</v>
      </c>
      <c r="L60">
        <v>171.45</v>
      </c>
      <c r="M60">
        <v>303</v>
      </c>
      <c r="N60" t="str">
        <f t="shared" si="25"/>
        <v>RECEITAS COM ENTREGAS</v>
      </c>
      <c r="O60">
        <v>171.45</v>
      </c>
      <c r="R60" t="str">
        <f t="shared" si="26"/>
        <v>RECEITAS COM ENTREGAS (303)</v>
      </c>
      <c r="S60">
        <v>2882</v>
      </c>
      <c r="T60">
        <v>2417</v>
      </c>
      <c r="U60" t="s">
        <v>21</v>
      </c>
    </row>
    <row r="61" spans="1:21">
      <c r="A61" t="str">
        <f t="shared" si="19"/>
        <v>05/11/2025</v>
      </c>
      <c r="B61" t="str">
        <f t="shared" si="20"/>
        <v>ENTRADA</v>
      </c>
      <c r="C61" t="str">
        <f t="shared" si="21"/>
        <v>NFSE</v>
      </c>
      <c r="D61" t="str">
        <f>"3724"</f>
        <v>3724</v>
      </c>
      <c r="E61" t="str">
        <f t="shared" si="2"/>
        <v>COM</v>
      </c>
      <c r="F61" t="str">
        <f>"PENSE FARMA 35 (10227)"</f>
        <v>PENSE FARMA 35 (10227)</v>
      </c>
      <c r="G61" t="str">
        <f>"Serv.Prest. 27/10/2025 a 02/11/2025 - RPS: 1487 - NFSe: 3724"</f>
        <v>Serv.Prest. 27/10/2025 a 02/11/2025 - RPS: 1487 - NFSe: 3724</v>
      </c>
      <c r="H61" t="str">
        <f t="shared" si="22"/>
        <v>05/11/2025</v>
      </c>
      <c r="I61" t="str">
        <f t="shared" si="23"/>
        <v>03/11/2025</v>
      </c>
      <c r="J61" t="str">
        <f t="shared" si="24"/>
        <v>05/11/2025</v>
      </c>
      <c r="M61">
        <v>303</v>
      </c>
      <c r="N61" t="str">
        <f t="shared" si="25"/>
        <v>RECEITAS COM ENTREGAS</v>
      </c>
      <c r="P61">
        <v>171.45</v>
      </c>
      <c r="Q61" t="str">
        <f>"PENSE FARMA 35 (10227)"</f>
        <v>PENSE FARMA 35 (10227)</v>
      </c>
      <c r="R61" t="str">
        <f t="shared" si="26"/>
        <v>RECEITAS COM ENTREGAS (303)</v>
      </c>
      <c r="S61">
        <v>2882</v>
      </c>
      <c r="T61">
        <v>2417</v>
      </c>
      <c r="U61" t="s">
        <v>21</v>
      </c>
    </row>
    <row r="62" spans="1:21">
      <c r="A62" t="str">
        <f t="shared" si="19"/>
        <v>05/11/2025</v>
      </c>
      <c r="B62" t="str">
        <f t="shared" si="20"/>
        <v>ENTRADA</v>
      </c>
      <c r="C62" t="str">
        <f t="shared" si="21"/>
        <v>NFSE</v>
      </c>
      <c r="D62" t="str">
        <f t="shared" ref="D62:D67" si="27">"3725"</f>
        <v>3725</v>
      </c>
      <c r="E62" t="str">
        <f t="shared" ref="E62:E125" si="28">"COM"</f>
        <v>COM</v>
      </c>
      <c r="F62" t="str">
        <f t="shared" ref="F62:F67" si="29">"PENSE FARMA 08 (10217)"</f>
        <v>PENSE FARMA 08 (10217)</v>
      </c>
      <c r="G62" t="str">
        <f t="shared" ref="G62:G67" si="30">"Serv.Prest. 27/10/2025 a 02/11/2025 - RPS: 1488 - NFSe: 3725"</f>
        <v>Serv.Prest. 27/10/2025 a 02/11/2025 - RPS: 1488 - NFSe: 3725</v>
      </c>
      <c r="H62" t="str">
        <f t="shared" si="22"/>
        <v>05/11/2025</v>
      </c>
      <c r="I62" t="str">
        <f t="shared" si="23"/>
        <v>03/11/2025</v>
      </c>
      <c r="J62" t="str">
        <f t="shared" si="24"/>
        <v>05/11/2025</v>
      </c>
      <c r="K62">
        <v>589.5</v>
      </c>
      <c r="L62">
        <v>589.5</v>
      </c>
      <c r="M62">
        <v>303</v>
      </c>
      <c r="N62" t="str">
        <f t="shared" si="25"/>
        <v>RECEITAS COM ENTREGAS</v>
      </c>
      <c r="O62">
        <v>589.5</v>
      </c>
      <c r="R62" t="str">
        <f t="shared" si="26"/>
        <v>RECEITAS COM ENTREGAS (303)</v>
      </c>
      <c r="S62">
        <v>2883</v>
      </c>
      <c r="T62">
        <v>2418</v>
      </c>
      <c r="U62" t="s">
        <v>21</v>
      </c>
    </row>
    <row r="63" spans="1:21">
      <c r="A63" t="str">
        <f t="shared" si="19"/>
        <v>05/11/2025</v>
      </c>
      <c r="B63" t="str">
        <f t="shared" si="20"/>
        <v>ENTRADA</v>
      </c>
      <c r="C63" t="str">
        <f t="shared" si="21"/>
        <v>NFSE</v>
      </c>
      <c r="D63" t="str">
        <f t="shared" si="27"/>
        <v>3725</v>
      </c>
      <c r="E63" t="str">
        <f t="shared" si="28"/>
        <v>COM</v>
      </c>
      <c r="F63" t="str">
        <f t="shared" si="29"/>
        <v>PENSE FARMA 08 (10217)</v>
      </c>
      <c r="G63" t="str">
        <f t="shared" si="30"/>
        <v>Serv.Prest. 27/10/2025 a 02/11/2025 - RPS: 1488 - NFSe: 3725</v>
      </c>
      <c r="H63" t="str">
        <f t="shared" si="22"/>
        <v>05/11/2025</v>
      </c>
      <c r="I63" t="str">
        <f t="shared" si="23"/>
        <v>03/11/2025</v>
      </c>
      <c r="J63" t="str">
        <f t="shared" si="24"/>
        <v>05/11/2025</v>
      </c>
      <c r="M63">
        <v>303</v>
      </c>
      <c r="N63" t="str">
        <f t="shared" si="25"/>
        <v>RECEITAS COM ENTREGAS</v>
      </c>
      <c r="P63">
        <v>117.9</v>
      </c>
      <c r="Q63" t="str">
        <f>"PENSE FARMA 08 (10217)"</f>
        <v>PENSE FARMA 08 (10217)</v>
      </c>
      <c r="R63" t="str">
        <f t="shared" si="26"/>
        <v>RECEITAS COM ENTREGAS (303)</v>
      </c>
      <c r="S63">
        <v>2883</v>
      </c>
      <c r="T63">
        <v>2418</v>
      </c>
      <c r="U63" t="s">
        <v>21</v>
      </c>
    </row>
    <row r="64" spans="1:21">
      <c r="A64" t="str">
        <f t="shared" si="19"/>
        <v>05/11/2025</v>
      </c>
      <c r="B64" t="str">
        <f t="shared" si="20"/>
        <v>ENTRADA</v>
      </c>
      <c r="C64" t="str">
        <f t="shared" si="21"/>
        <v>NFSE</v>
      </c>
      <c r="D64" t="str">
        <f t="shared" si="27"/>
        <v>3725</v>
      </c>
      <c r="E64" t="str">
        <f t="shared" si="28"/>
        <v>COM</v>
      </c>
      <c r="F64" t="str">
        <f t="shared" si="29"/>
        <v>PENSE FARMA 08 (10217)</v>
      </c>
      <c r="G64" t="str">
        <f t="shared" si="30"/>
        <v>Serv.Prest. 27/10/2025 a 02/11/2025 - RPS: 1488 - NFSe: 3725</v>
      </c>
      <c r="H64" t="str">
        <f t="shared" si="22"/>
        <v>05/11/2025</v>
      </c>
      <c r="I64" t="str">
        <f t="shared" si="23"/>
        <v>03/11/2025</v>
      </c>
      <c r="J64" t="str">
        <f t="shared" si="24"/>
        <v>05/11/2025</v>
      </c>
      <c r="M64">
        <v>303</v>
      </c>
      <c r="N64" t="str">
        <f t="shared" si="25"/>
        <v>RECEITAS COM ENTREGAS</v>
      </c>
      <c r="P64">
        <v>117.9</v>
      </c>
      <c r="Q64" t="str">
        <f>"PENSE FARMA 11 (10220)"</f>
        <v>PENSE FARMA 11 (10220)</v>
      </c>
      <c r="R64" t="str">
        <f t="shared" si="26"/>
        <v>RECEITAS COM ENTREGAS (303)</v>
      </c>
      <c r="S64">
        <v>2883</v>
      </c>
      <c r="T64">
        <v>2418</v>
      </c>
      <c r="U64" t="s">
        <v>21</v>
      </c>
    </row>
    <row r="65" spans="1:21">
      <c r="A65" t="str">
        <f t="shared" si="19"/>
        <v>05/11/2025</v>
      </c>
      <c r="B65" t="str">
        <f t="shared" si="20"/>
        <v>ENTRADA</v>
      </c>
      <c r="C65" t="str">
        <f t="shared" si="21"/>
        <v>NFSE</v>
      </c>
      <c r="D65" t="str">
        <f t="shared" si="27"/>
        <v>3725</v>
      </c>
      <c r="E65" t="str">
        <f t="shared" si="28"/>
        <v>COM</v>
      </c>
      <c r="F65" t="str">
        <f t="shared" si="29"/>
        <v>PENSE FARMA 08 (10217)</v>
      </c>
      <c r="G65" t="str">
        <f t="shared" si="30"/>
        <v>Serv.Prest. 27/10/2025 a 02/11/2025 - RPS: 1488 - NFSe: 3725</v>
      </c>
      <c r="H65" t="str">
        <f t="shared" si="22"/>
        <v>05/11/2025</v>
      </c>
      <c r="I65" t="str">
        <f t="shared" si="23"/>
        <v>03/11/2025</v>
      </c>
      <c r="J65" t="str">
        <f t="shared" si="24"/>
        <v>05/11/2025</v>
      </c>
      <c r="M65">
        <v>303</v>
      </c>
      <c r="N65" t="str">
        <f t="shared" si="25"/>
        <v>RECEITAS COM ENTREGAS</v>
      </c>
      <c r="P65">
        <v>117.9</v>
      </c>
      <c r="Q65" t="str">
        <f>"PENSE FARMA 41 (10229)"</f>
        <v>PENSE FARMA 41 (10229)</v>
      </c>
      <c r="R65" t="str">
        <f t="shared" si="26"/>
        <v>RECEITAS COM ENTREGAS (303)</v>
      </c>
      <c r="S65">
        <v>2883</v>
      </c>
      <c r="T65">
        <v>2418</v>
      </c>
      <c r="U65" t="s">
        <v>21</v>
      </c>
    </row>
    <row r="66" spans="1:21">
      <c r="A66" t="str">
        <f t="shared" si="19"/>
        <v>05/11/2025</v>
      </c>
      <c r="B66" t="str">
        <f t="shared" si="20"/>
        <v>ENTRADA</v>
      </c>
      <c r="C66" t="str">
        <f t="shared" si="21"/>
        <v>NFSE</v>
      </c>
      <c r="D66" t="str">
        <f t="shared" si="27"/>
        <v>3725</v>
      </c>
      <c r="E66" t="str">
        <f t="shared" si="28"/>
        <v>COM</v>
      </c>
      <c r="F66" t="str">
        <f t="shared" si="29"/>
        <v>PENSE FARMA 08 (10217)</v>
      </c>
      <c r="G66" t="str">
        <f t="shared" si="30"/>
        <v>Serv.Prest. 27/10/2025 a 02/11/2025 - RPS: 1488 - NFSe: 3725</v>
      </c>
      <c r="H66" t="str">
        <f t="shared" si="22"/>
        <v>05/11/2025</v>
      </c>
      <c r="I66" t="str">
        <f t="shared" si="23"/>
        <v>03/11/2025</v>
      </c>
      <c r="J66" t="str">
        <f t="shared" si="24"/>
        <v>05/11/2025</v>
      </c>
      <c r="M66">
        <v>303</v>
      </c>
      <c r="N66" t="str">
        <f t="shared" si="25"/>
        <v>RECEITAS COM ENTREGAS</v>
      </c>
      <c r="P66">
        <v>117.9</v>
      </c>
      <c r="Q66" t="str">
        <f>"PENSE FARMA 42 (10230)"</f>
        <v>PENSE FARMA 42 (10230)</v>
      </c>
      <c r="R66" t="str">
        <f t="shared" si="26"/>
        <v>RECEITAS COM ENTREGAS (303)</v>
      </c>
      <c r="S66">
        <v>2883</v>
      </c>
      <c r="T66">
        <v>2418</v>
      </c>
      <c r="U66" t="s">
        <v>21</v>
      </c>
    </row>
    <row r="67" spans="1:21">
      <c r="A67" t="str">
        <f t="shared" si="19"/>
        <v>05/11/2025</v>
      </c>
      <c r="B67" t="str">
        <f t="shared" si="20"/>
        <v>ENTRADA</v>
      </c>
      <c r="C67" t="str">
        <f t="shared" si="21"/>
        <v>NFSE</v>
      </c>
      <c r="D67" t="str">
        <f t="shared" si="27"/>
        <v>3725</v>
      </c>
      <c r="E67" t="str">
        <f t="shared" si="28"/>
        <v>COM</v>
      </c>
      <c r="F67" t="str">
        <f t="shared" si="29"/>
        <v>PENSE FARMA 08 (10217)</v>
      </c>
      <c r="G67" t="str">
        <f t="shared" si="30"/>
        <v>Serv.Prest. 27/10/2025 a 02/11/2025 - RPS: 1488 - NFSe: 3725</v>
      </c>
      <c r="H67" t="str">
        <f t="shared" si="22"/>
        <v>05/11/2025</v>
      </c>
      <c r="I67" t="str">
        <f t="shared" si="23"/>
        <v>03/11/2025</v>
      </c>
      <c r="J67" t="str">
        <f t="shared" si="24"/>
        <v>05/11/2025</v>
      </c>
      <c r="M67">
        <v>303</v>
      </c>
      <c r="N67" t="str">
        <f t="shared" si="25"/>
        <v>RECEITAS COM ENTREGAS</v>
      </c>
      <c r="P67">
        <v>117.9</v>
      </c>
      <c r="Q67" t="str">
        <f>"PENSE FARMA 52 (10236)"</f>
        <v>PENSE FARMA 52 (10236)</v>
      </c>
      <c r="R67" t="str">
        <f t="shared" si="26"/>
        <v>RECEITAS COM ENTREGAS (303)</v>
      </c>
      <c r="S67">
        <v>2883</v>
      </c>
      <c r="T67">
        <v>2418</v>
      </c>
      <c r="U67" t="s">
        <v>21</v>
      </c>
    </row>
    <row r="68" spans="1:21">
      <c r="A68" t="str">
        <f t="shared" si="19"/>
        <v>05/11/2025</v>
      </c>
      <c r="B68" t="str">
        <f t="shared" si="20"/>
        <v>ENTRADA</v>
      </c>
      <c r="C68" t="str">
        <f t="shared" si="21"/>
        <v>NFSE</v>
      </c>
      <c r="D68" t="str">
        <f>"3726"</f>
        <v>3726</v>
      </c>
      <c r="E68" t="str">
        <f t="shared" si="28"/>
        <v>COM</v>
      </c>
      <c r="F68" t="str">
        <f>"PENSE FARMA 09 (10218)"</f>
        <v>PENSE FARMA 09 (10218)</v>
      </c>
      <c r="G68" t="str">
        <f>"Serv.Prest. 27/10/2025 a 02/11/2025 - RPS: 1489 - NFSe: 3726"</f>
        <v>Serv.Prest. 27/10/2025 a 02/11/2025 - RPS: 1489 - NFSe: 3726</v>
      </c>
      <c r="H68" t="str">
        <f t="shared" si="22"/>
        <v>05/11/2025</v>
      </c>
      <c r="I68" t="str">
        <f t="shared" si="23"/>
        <v>03/11/2025</v>
      </c>
      <c r="J68" t="str">
        <f t="shared" si="24"/>
        <v>05/11/2025</v>
      </c>
      <c r="K68">
        <v>294.58999999999997</v>
      </c>
      <c r="L68">
        <v>294.58999999999997</v>
      </c>
      <c r="M68">
        <v>303</v>
      </c>
      <c r="N68" t="str">
        <f t="shared" si="25"/>
        <v>RECEITAS COM ENTREGAS</v>
      </c>
      <c r="O68">
        <v>294.58999999999997</v>
      </c>
      <c r="R68" t="str">
        <f t="shared" si="26"/>
        <v>RECEITAS COM ENTREGAS (303)</v>
      </c>
      <c r="S68">
        <v>2884</v>
      </c>
      <c r="T68">
        <v>2419</v>
      </c>
      <c r="U68" t="s">
        <v>21</v>
      </c>
    </row>
    <row r="69" spans="1:21">
      <c r="A69" t="str">
        <f t="shared" si="19"/>
        <v>05/11/2025</v>
      </c>
      <c r="B69" t="str">
        <f t="shared" si="20"/>
        <v>ENTRADA</v>
      </c>
      <c r="C69" t="str">
        <f t="shared" si="21"/>
        <v>NFSE</v>
      </c>
      <c r="D69" t="str">
        <f>"3726"</f>
        <v>3726</v>
      </c>
      <c r="E69" t="str">
        <f t="shared" si="28"/>
        <v>COM</v>
      </c>
      <c r="F69" t="str">
        <f>"PENSE FARMA 09 (10218)"</f>
        <v>PENSE FARMA 09 (10218)</v>
      </c>
      <c r="G69" t="str">
        <f>"Serv.Prest. 27/10/2025 a 02/11/2025 - RPS: 1489 - NFSe: 3726"</f>
        <v>Serv.Prest. 27/10/2025 a 02/11/2025 - RPS: 1489 - NFSe: 3726</v>
      </c>
      <c r="H69" t="str">
        <f t="shared" si="22"/>
        <v>05/11/2025</v>
      </c>
      <c r="I69" t="str">
        <f t="shared" si="23"/>
        <v>03/11/2025</v>
      </c>
      <c r="J69" t="str">
        <f t="shared" si="24"/>
        <v>05/11/2025</v>
      </c>
      <c r="M69">
        <v>303</v>
      </c>
      <c r="N69" t="str">
        <f t="shared" si="25"/>
        <v>RECEITAS COM ENTREGAS</v>
      </c>
      <c r="P69">
        <v>147.83000000000001</v>
      </c>
      <c r="Q69" t="str">
        <f>"PENSE FARMA 09 (10218)"</f>
        <v>PENSE FARMA 09 (10218)</v>
      </c>
      <c r="R69" t="str">
        <f t="shared" si="26"/>
        <v>RECEITAS COM ENTREGAS (303)</v>
      </c>
      <c r="S69">
        <v>2884</v>
      </c>
      <c r="T69">
        <v>2419</v>
      </c>
      <c r="U69" t="s">
        <v>21</v>
      </c>
    </row>
    <row r="70" spans="1:21">
      <c r="A70" t="str">
        <f t="shared" ref="A70:A101" si="31">("05/11/2025")</f>
        <v>05/11/2025</v>
      </c>
      <c r="B70" t="str">
        <f t="shared" ref="B70:B101" si="32">"ENTRADA"</f>
        <v>ENTRADA</v>
      </c>
      <c r="C70" t="str">
        <f t="shared" ref="C70:C101" si="33">"NFSE"</f>
        <v>NFSE</v>
      </c>
      <c r="D70" t="str">
        <f>"3726"</f>
        <v>3726</v>
      </c>
      <c r="E70" t="str">
        <f t="shared" si="28"/>
        <v>COM</v>
      </c>
      <c r="F70" t="str">
        <f>"PENSE FARMA 09 (10218)"</f>
        <v>PENSE FARMA 09 (10218)</v>
      </c>
      <c r="G70" t="str">
        <f>"Serv.Prest. 27/10/2025 a 02/11/2025 - RPS: 1489 - NFSe: 3726"</f>
        <v>Serv.Prest. 27/10/2025 a 02/11/2025 - RPS: 1489 - NFSe: 3726</v>
      </c>
      <c r="H70" t="str">
        <f t="shared" ref="H70:H101" si="34">("05/11/2025")</f>
        <v>05/11/2025</v>
      </c>
      <c r="I70" t="str">
        <f t="shared" ref="I70:I101" si="35">("03/11/2025")</f>
        <v>03/11/2025</v>
      </c>
      <c r="J70" t="str">
        <f t="shared" ref="J70:J101" si="36">("05/11/2025")</f>
        <v>05/11/2025</v>
      </c>
      <c r="M70">
        <v>303</v>
      </c>
      <c r="N70" t="str">
        <f t="shared" ref="N70:N101" si="37">"RECEITAS COM ENTREGAS"</f>
        <v>RECEITAS COM ENTREGAS</v>
      </c>
      <c r="P70">
        <v>146.76</v>
      </c>
      <c r="Q70" t="str">
        <f>"PENSE FARMA 10 (10219)"</f>
        <v>PENSE FARMA 10 (10219)</v>
      </c>
      <c r="R70" t="str">
        <f t="shared" ref="R70:R101" si="38">"RECEITAS COM ENTREGAS (303)"</f>
        <v>RECEITAS COM ENTREGAS (303)</v>
      </c>
      <c r="S70">
        <v>2884</v>
      </c>
      <c r="T70">
        <v>2419</v>
      </c>
      <c r="U70" t="s">
        <v>21</v>
      </c>
    </row>
    <row r="71" spans="1:21">
      <c r="A71" t="str">
        <f t="shared" si="31"/>
        <v>05/11/2025</v>
      </c>
      <c r="B71" t="str">
        <f t="shared" si="32"/>
        <v>ENTRADA</v>
      </c>
      <c r="C71" t="str">
        <f t="shared" si="33"/>
        <v>NFSE</v>
      </c>
      <c r="D71" t="str">
        <f>"3727"</f>
        <v>3727</v>
      </c>
      <c r="E71" t="str">
        <f t="shared" si="28"/>
        <v>COM</v>
      </c>
      <c r="F71" t="str">
        <f>"PENSE FARMA 46 (10194)"</f>
        <v>PENSE FARMA 46 (10194)</v>
      </c>
      <c r="G71" t="str">
        <f>"Serv.Prest. 27/10/2025 a 02/11/2025 - RPS: 1490 - NFSe: 3727"</f>
        <v>Serv.Prest. 27/10/2025 a 02/11/2025 - RPS: 1490 - NFSe: 3727</v>
      </c>
      <c r="H71" t="str">
        <f t="shared" si="34"/>
        <v>05/11/2025</v>
      </c>
      <c r="I71" t="str">
        <f t="shared" si="35"/>
        <v>03/11/2025</v>
      </c>
      <c r="J71" t="str">
        <f t="shared" si="36"/>
        <v>05/11/2025</v>
      </c>
      <c r="K71">
        <v>300</v>
      </c>
      <c r="L71">
        <v>300</v>
      </c>
      <c r="M71">
        <v>303</v>
      </c>
      <c r="N71" t="str">
        <f t="shared" si="37"/>
        <v>RECEITAS COM ENTREGAS</v>
      </c>
      <c r="O71">
        <v>300</v>
      </c>
      <c r="R71" t="str">
        <f t="shared" si="38"/>
        <v>RECEITAS COM ENTREGAS (303)</v>
      </c>
      <c r="S71">
        <v>2885</v>
      </c>
      <c r="T71">
        <v>2420</v>
      </c>
      <c r="U71" t="s">
        <v>21</v>
      </c>
    </row>
    <row r="72" spans="1:21">
      <c r="A72" t="str">
        <f t="shared" si="31"/>
        <v>05/11/2025</v>
      </c>
      <c r="B72" t="str">
        <f t="shared" si="32"/>
        <v>ENTRADA</v>
      </c>
      <c r="C72" t="str">
        <f t="shared" si="33"/>
        <v>NFSE</v>
      </c>
      <c r="D72" t="str">
        <f>"3727"</f>
        <v>3727</v>
      </c>
      <c r="E72" t="str">
        <f t="shared" si="28"/>
        <v>COM</v>
      </c>
      <c r="F72" t="str">
        <f>"PENSE FARMA 46 (10194)"</f>
        <v>PENSE FARMA 46 (10194)</v>
      </c>
      <c r="G72" t="str">
        <f>"Serv.Prest. 27/10/2025 a 02/11/2025 - RPS: 1490 - NFSe: 3727"</f>
        <v>Serv.Prest. 27/10/2025 a 02/11/2025 - RPS: 1490 - NFSe: 3727</v>
      </c>
      <c r="H72" t="str">
        <f t="shared" si="34"/>
        <v>05/11/2025</v>
      </c>
      <c r="I72" t="str">
        <f t="shared" si="35"/>
        <v>03/11/2025</v>
      </c>
      <c r="J72" t="str">
        <f t="shared" si="36"/>
        <v>05/11/2025</v>
      </c>
      <c r="M72">
        <v>303</v>
      </c>
      <c r="N72" t="str">
        <f t="shared" si="37"/>
        <v>RECEITAS COM ENTREGAS</v>
      </c>
      <c r="P72">
        <v>300</v>
      </c>
      <c r="Q72" t="str">
        <f>"PENSE FARMA 46 (10194)"</f>
        <v>PENSE FARMA 46 (10194)</v>
      </c>
      <c r="R72" t="str">
        <f t="shared" si="38"/>
        <v>RECEITAS COM ENTREGAS (303)</v>
      </c>
      <c r="S72">
        <v>2885</v>
      </c>
      <c r="T72">
        <v>2420</v>
      </c>
      <c r="U72" t="s">
        <v>21</v>
      </c>
    </row>
    <row r="73" spans="1:21">
      <c r="A73" t="str">
        <f t="shared" si="31"/>
        <v>05/11/2025</v>
      </c>
      <c r="B73" t="str">
        <f t="shared" si="32"/>
        <v>ENTRADA</v>
      </c>
      <c r="C73" t="str">
        <f t="shared" si="33"/>
        <v>NFSE</v>
      </c>
      <c r="D73" t="str">
        <f t="shared" ref="D73:D79" si="39">"3728"</f>
        <v>3728</v>
      </c>
      <c r="E73" t="str">
        <f t="shared" si="28"/>
        <v>COM</v>
      </c>
      <c r="F73" t="str">
        <f t="shared" ref="F73:F79" si="40">"PENSE FARMA 36 (10206)"</f>
        <v>PENSE FARMA 36 (10206)</v>
      </c>
      <c r="G73" t="str">
        <f t="shared" ref="G73:G79" si="41">"Serv.Prest. 27/10/2025 a 02/11/2025 - RPS: 1491 - NFSe: 3728"</f>
        <v>Serv.Prest. 27/10/2025 a 02/11/2025 - RPS: 1491 - NFSe: 3728</v>
      </c>
      <c r="H73" t="str">
        <f t="shared" si="34"/>
        <v>05/11/2025</v>
      </c>
      <c r="I73" t="str">
        <f t="shared" si="35"/>
        <v>03/11/2025</v>
      </c>
      <c r="J73" t="str">
        <f t="shared" si="36"/>
        <v>05/11/2025</v>
      </c>
      <c r="K73">
        <v>851.64</v>
      </c>
      <c r="L73">
        <v>851.64</v>
      </c>
      <c r="M73">
        <v>303</v>
      </c>
      <c r="N73" t="str">
        <f t="shared" si="37"/>
        <v>RECEITAS COM ENTREGAS</v>
      </c>
      <c r="O73">
        <v>851.64</v>
      </c>
      <c r="R73" t="str">
        <f t="shared" si="38"/>
        <v>RECEITAS COM ENTREGAS (303)</v>
      </c>
      <c r="S73">
        <v>2886</v>
      </c>
      <c r="T73">
        <v>2421</v>
      </c>
      <c r="U73" t="s">
        <v>21</v>
      </c>
    </row>
    <row r="74" spans="1:21">
      <c r="A74" t="str">
        <f t="shared" si="31"/>
        <v>05/11/2025</v>
      </c>
      <c r="B74" t="str">
        <f t="shared" si="32"/>
        <v>ENTRADA</v>
      </c>
      <c r="C74" t="str">
        <f t="shared" si="33"/>
        <v>NFSE</v>
      </c>
      <c r="D74" t="str">
        <f t="shared" si="39"/>
        <v>3728</v>
      </c>
      <c r="E74" t="str">
        <f t="shared" si="28"/>
        <v>COM</v>
      </c>
      <c r="F74" t="str">
        <f t="shared" si="40"/>
        <v>PENSE FARMA 36 (10206)</v>
      </c>
      <c r="G74" t="str">
        <f t="shared" si="41"/>
        <v>Serv.Prest. 27/10/2025 a 02/11/2025 - RPS: 1491 - NFSe: 3728</v>
      </c>
      <c r="H74" t="str">
        <f t="shared" si="34"/>
        <v>05/11/2025</v>
      </c>
      <c r="I74" t="str">
        <f t="shared" si="35"/>
        <v>03/11/2025</v>
      </c>
      <c r="J74" t="str">
        <f t="shared" si="36"/>
        <v>05/11/2025</v>
      </c>
      <c r="M74">
        <v>303</v>
      </c>
      <c r="N74" t="str">
        <f t="shared" si="37"/>
        <v>RECEITAS COM ENTREGAS</v>
      </c>
      <c r="P74">
        <v>141.79</v>
      </c>
      <c r="Q74" t="str">
        <f>"PENSE FARMA 20 (10203)"</f>
        <v>PENSE FARMA 20 (10203)</v>
      </c>
      <c r="R74" t="str">
        <f t="shared" si="38"/>
        <v>RECEITAS COM ENTREGAS (303)</v>
      </c>
      <c r="S74">
        <v>2886</v>
      </c>
      <c r="T74">
        <v>2421</v>
      </c>
      <c r="U74" t="s">
        <v>21</v>
      </c>
    </row>
    <row r="75" spans="1:21">
      <c r="A75" t="str">
        <f t="shared" si="31"/>
        <v>05/11/2025</v>
      </c>
      <c r="B75" t="str">
        <f t="shared" si="32"/>
        <v>ENTRADA</v>
      </c>
      <c r="C75" t="str">
        <f t="shared" si="33"/>
        <v>NFSE</v>
      </c>
      <c r="D75" t="str">
        <f t="shared" si="39"/>
        <v>3728</v>
      </c>
      <c r="E75" t="str">
        <f t="shared" si="28"/>
        <v>COM</v>
      </c>
      <c r="F75" t="str">
        <f t="shared" si="40"/>
        <v>PENSE FARMA 36 (10206)</v>
      </c>
      <c r="G75" t="str">
        <f t="shared" si="41"/>
        <v>Serv.Prest. 27/10/2025 a 02/11/2025 - RPS: 1491 - NFSe: 3728</v>
      </c>
      <c r="H75" t="str">
        <f t="shared" si="34"/>
        <v>05/11/2025</v>
      </c>
      <c r="I75" t="str">
        <f t="shared" si="35"/>
        <v>03/11/2025</v>
      </c>
      <c r="J75" t="str">
        <f t="shared" si="36"/>
        <v>05/11/2025</v>
      </c>
      <c r="M75">
        <v>303</v>
      </c>
      <c r="N75" t="str">
        <f t="shared" si="37"/>
        <v>RECEITAS COM ENTREGAS</v>
      </c>
      <c r="P75">
        <v>141.80000000000001</v>
      </c>
      <c r="Q75" t="str">
        <f>"PENSE FARMA 36 (10206)"</f>
        <v>PENSE FARMA 36 (10206)</v>
      </c>
      <c r="R75" t="str">
        <f t="shared" si="38"/>
        <v>RECEITAS COM ENTREGAS (303)</v>
      </c>
      <c r="S75">
        <v>2886</v>
      </c>
      <c r="T75">
        <v>2421</v>
      </c>
      <c r="U75" t="s">
        <v>21</v>
      </c>
    </row>
    <row r="76" spans="1:21">
      <c r="A76" t="str">
        <f t="shared" si="31"/>
        <v>05/11/2025</v>
      </c>
      <c r="B76" t="str">
        <f t="shared" si="32"/>
        <v>ENTRADA</v>
      </c>
      <c r="C76" t="str">
        <f t="shared" si="33"/>
        <v>NFSE</v>
      </c>
      <c r="D76" t="str">
        <f t="shared" si="39"/>
        <v>3728</v>
      </c>
      <c r="E76" t="str">
        <f t="shared" si="28"/>
        <v>COM</v>
      </c>
      <c r="F76" t="str">
        <f t="shared" si="40"/>
        <v>PENSE FARMA 36 (10206)</v>
      </c>
      <c r="G76" t="str">
        <f t="shared" si="41"/>
        <v>Serv.Prest. 27/10/2025 a 02/11/2025 - RPS: 1491 - NFSe: 3728</v>
      </c>
      <c r="H76" t="str">
        <f t="shared" si="34"/>
        <v>05/11/2025</v>
      </c>
      <c r="I76" t="str">
        <f t="shared" si="35"/>
        <v>03/11/2025</v>
      </c>
      <c r="J76" t="str">
        <f t="shared" si="36"/>
        <v>05/11/2025</v>
      </c>
      <c r="M76">
        <v>303</v>
      </c>
      <c r="N76" t="str">
        <f t="shared" si="37"/>
        <v>RECEITAS COM ENTREGAS</v>
      </c>
      <c r="P76">
        <v>141.80000000000001</v>
      </c>
      <c r="Q76" t="str">
        <f>"PENSE FARMA 40 (10207)"</f>
        <v>PENSE FARMA 40 (10207)</v>
      </c>
      <c r="R76" t="str">
        <f t="shared" si="38"/>
        <v>RECEITAS COM ENTREGAS (303)</v>
      </c>
      <c r="S76">
        <v>2886</v>
      </c>
      <c r="T76">
        <v>2421</v>
      </c>
      <c r="U76" t="s">
        <v>21</v>
      </c>
    </row>
    <row r="77" spans="1:21">
      <c r="A77" t="str">
        <f t="shared" si="31"/>
        <v>05/11/2025</v>
      </c>
      <c r="B77" t="str">
        <f t="shared" si="32"/>
        <v>ENTRADA</v>
      </c>
      <c r="C77" t="str">
        <f t="shared" si="33"/>
        <v>NFSE</v>
      </c>
      <c r="D77" t="str">
        <f t="shared" si="39"/>
        <v>3728</v>
      </c>
      <c r="E77" t="str">
        <f t="shared" si="28"/>
        <v>COM</v>
      </c>
      <c r="F77" t="str">
        <f t="shared" si="40"/>
        <v>PENSE FARMA 36 (10206)</v>
      </c>
      <c r="G77" t="str">
        <f t="shared" si="41"/>
        <v>Serv.Prest. 27/10/2025 a 02/11/2025 - RPS: 1491 - NFSe: 3728</v>
      </c>
      <c r="H77" t="str">
        <f t="shared" si="34"/>
        <v>05/11/2025</v>
      </c>
      <c r="I77" t="str">
        <f t="shared" si="35"/>
        <v>03/11/2025</v>
      </c>
      <c r="J77" t="str">
        <f t="shared" si="36"/>
        <v>05/11/2025</v>
      </c>
      <c r="M77">
        <v>303</v>
      </c>
      <c r="N77" t="str">
        <f t="shared" si="37"/>
        <v>RECEITAS COM ENTREGAS</v>
      </c>
      <c r="P77">
        <v>141.80000000000001</v>
      </c>
      <c r="Q77" t="str">
        <f>"PENSE FARMA 43 (10208)"</f>
        <v>PENSE FARMA 43 (10208)</v>
      </c>
      <c r="R77" t="str">
        <f t="shared" si="38"/>
        <v>RECEITAS COM ENTREGAS (303)</v>
      </c>
      <c r="S77">
        <v>2886</v>
      </c>
      <c r="T77">
        <v>2421</v>
      </c>
      <c r="U77" t="s">
        <v>21</v>
      </c>
    </row>
    <row r="78" spans="1:21">
      <c r="A78" t="str">
        <f t="shared" si="31"/>
        <v>05/11/2025</v>
      </c>
      <c r="B78" t="str">
        <f t="shared" si="32"/>
        <v>ENTRADA</v>
      </c>
      <c r="C78" t="str">
        <f t="shared" si="33"/>
        <v>NFSE</v>
      </c>
      <c r="D78" t="str">
        <f t="shared" si="39"/>
        <v>3728</v>
      </c>
      <c r="E78" t="str">
        <f t="shared" si="28"/>
        <v>COM</v>
      </c>
      <c r="F78" t="str">
        <f t="shared" si="40"/>
        <v>PENSE FARMA 36 (10206)</v>
      </c>
      <c r="G78" t="str">
        <f t="shared" si="41"/>
        <v>Serv.Prest. 27/10/2025 a 02/11/2025 - RPS: 1491 - NFSe: 3728</v>
      </c>
      <c r="H78" t="str">
        <f t="shared" si="34"/>
        <v>05/11/2025</v>
      </c>
      <c r="I78" t="str">
        <f t="shared" si="35"/>
        <v>03/11/2025</v>
      </c>
      <c r="J78" t="str">
        <f t="shared" si="36"/>
        <v>05/11/2025</v>
      </c>
      <c r="M78">
        <v>303</v>
      </c>
      <c r="N78" t="str">
        <f t="shared" si="37"/>
        <v>RECEITAS COM ENTREGAS</v>
      </c>
      <c r="P78">
        <v>141.80000000000001</v>
      </c>
      <c r="Q78" t="str">
        <f>"PENSE FARMA 59 (10211)"</f>
        <v>PENSE FARMA 59 (10211)</v>
      </c>
      <c r="R78" t="str">
        <f t="shared" si="38"/>
        <v>RECEITAS COM ENTREGAS (303)</v>
      </c>
      <c r="S78">
        <v>2886</v>
      </c>
      <c r="T78">
        <v>2421</v>
      </c>
      <c r="U78" t="s">
        <v>21</v>
      </c>
    </row>
    <row r="79" spans="1:21">
      <c r="A79" t="str">
        <f t="shared" si="31"/>
        <v>05/11/2025</v>
      </c>
      <c r="B79" t="str">
        <f t="shared" si="32"/>
        <v>ENTRADA</v>
      </c>
      <c r="C79" t="str">
        <f t="shared" si="33"/>
        <v>NFSE</v>
      </c>
      <c r="D79" t="str">
        <f t="shared" si="39"/>
        <v>3728</v>
      </c>
      <c r="E79" t="str">
        <f t="shared" si="28"/>
        <v>COM</v>
      </c>
      <c r="F79" t="str">
        <f t="shared" si="40"/>
        <v>PENSE FARMA 36 (10206)</v>
      </c>
      <c r="G79" t="str">
        <f t="shared" si="41"/>
        <v>Serv.Prest. 27/10/2025 a 02/11/2025 - RPS: 1491 - NFSe: 3728</v>
      </c>
      <c r="H79" t="str">
        <f t="shared" si="34"/>
        <v>05/11/2025</v>
      </c>
      <c r="I79" t="str">
        <f t="shared" si="35"/>
        <v>03/11/2025</v>
      </c>
      <c r="J79" t="str">
        <f t="shared" si="36"/>
        <v>05/11/2025</v>
      </c>
      <c r="M79">
        <v>303</v>
      </c>
      <c r="N79" t="str">
        <f t="shared" si="37"/>
        <v>RECEITAS COM ENTREGAS</v>
      </c>
      <c r="P79">
        <v>142.65</v>
      </c>
      <c r="Q79" t="str">
        <f>"PENSE FARMA DARK STORE 361 (10212)"</f>
        <v>PENSE FARMA DARK STORE 361 (10212)</v>
      </c>
      <c r="R79" t="str">
        <f t="shared" si="38"/>
        <v>RECEITAS COM ENTREGAS (303)</v>
      </c>
      <c r="S79">
        <v>2886</v>
      </c>
      <c r="T79">
        <v>2421</v>
      </c>
      <c r="U79" t="s">
        <v>21</v>
      </c>
    </row>
    <row r="80" spans="1:21">
      <c r="A80" t="str">
        <f t="shared" si="31"/>
        <v>05/11/2025</v>
      </c>
      <c r="B80" t="str">
        <f t="shared" si="32"/>
        <v>ENTRADA</v>
      </c>
      <c r="C80" t="str">
        <f t="shared" si="33"/>
        <v>NFSE</v>
      </c>
      <c r="D80" t="str">
        <f>"3729"</f>
        <v>3729</v>
      </c>
      <c r="E80" t="str">
        <f t="shared" si="28"/>
        <v>COM</v>
      </c>
      <c r="F80" t="str">
        <f>"PENSE FARMA 27 (10204)"</f>
        <v>PENSE FARMA 27 (10204)</v>
      </c>
      <c r="G80" t="str">
        <f>"Serv.Prest. 27/10/2025 a 02/11/2025 - RPS: 1492 - NFSe: 3729"</f>
        <v>Serv.Prest. 27/10/2025 a 02/11/2025 - RPS: 1492 - NFSe: 3729</v>
      </c>
      <c r="H80" t="str">
        <f t="shared" si="34"/>
        <v>05/11/2025</v>
      </c>
      <c r="I80" t="str">
        <f t="shared" si="35"/>
        <v>03/11/2025</v>
      </c>
      <c r="J80" t="str">
        <f t="shared" si="36"/>
        <v>05/11/2025</v>
      </c>
      <c r="K80">
        <v>535.5</v>
      </c>
      <c r="L80">
        <v>535.5</v>
      </c>
      <c r="M80">
        <v>303</v>
      </c>
      <c r="N80" t="str">
        <f t="shared" si="37"/>
        <v>RECEITAS COM ENTREGAS</v>
      </c>
      <c r="O80">
        <v>535.5</v>
      </c>
      <c r="R80" t="str">
        <f t="shared" si="38"/>
        <v>RECEITAS COM ENTREGAS (303)</v>
      </c>
      <c r="S80">
        <v>2887</v>
      </c>
      <c r="T80">
        <v>2422</v>
      </c>
      <c r="U80" t="s">
        <v>21</v>
      </c>
    </row>
    <row r="81" spans="1:21">
      <c r="A81" t="str">
        <f t="shared" si="31"/>
        <v>05/11/2025</v>
      </c>
      <c r="B81" t="str">
        <f t="shared" si="32"/>
        <v>ENTRADA</v>
      </c>
      <c r="C81" t="str">
        <f t="shared" si="33"/>
        <v>NFSE</v>
      </c>
      <c r="D81" t="str">
        <f>"3729"</f>
        <v>3729</v>
      </c>
      <c r="E81" t="str">
        <f t="shared" si="28"/>
        <v>COM</v>
      </c>
      <c r="F81" t="str">
        <f>"PENSE FARMA 27 (10204)"</f>
        <v>PENSE FARMA 27 (10204)</v>
      </c>
      <c r="G81" t="str">
        <f>"Serv.Prest. 27/10/2025 a 02/11/2025 - RPS: 1492 - NFSe: 3729"</f>
        <v>Serv.Prest. 27/10/2025 a 02/11/2025 - RPS: 1492 - NFSe: 3729</v>
      </c>
      <c r="H81" t="str">
        <f t="shared" si="34"/>
        <v>05/11/2025</v>
      </c>
      <c r="I81" t="str">
        <f t="shared" si="35"/>
        <v>03/11/2025</v>
      </c>
      <c r="J81" t="str">
        <f t="shared" si="36"/>
        <v>05/11/2025</v>
      </c>
      <c r="M81">
        <v>303</v>
      </c>
      <c r="N81" t="str">
        <f t="shared" si="37"/>
        <v>RECEITAS COM ENTREGAS</v>
      </c>
      <c r="P81">
        <v>178.48</v>
      </c>
      <c r="Q81" t="str">
        <f>"PENSE FARMA 05 (10200)"</f>
        <v>PENSE FARMA 05 (10200)</v>
      </c>
      <c r="R81" t="str">
        <f t="shared" si="38"/>
        <v>RECEITAS COM ENTREGAS (303)</v>
      </c>
      <c r="S81">
        <v>2887</v>
      </c>
      <c r="T81">
        <v>2422</v>
      </c>
      <c r="U81" t="s">
        <v>21</v>
      </c>
    </row>
    <row r="82" spans="1:21">
      <c r="A82" t="str">
        <f t="shared" si="31"/>
        <v>05/11/2025</v>
      </c>
      <c r="B82" t="str">
        <f t="shared" si="32"/>
        <v>ENTRADA</v>
      </c>
      <c r="C82" t="str">
        <f t="shared" si="33"/>
        <v>NFSE</v>
      </c>
      <c r="D82" t="str">
        <f>"3729"</f>
        <v>3729</v>
      </c>
      <c r="E82" t="str">
        <f t="shared" si="28"/>
        <v>COM</v>
      </c>
      <c r="F82" t="str">
        <f>"PENSE FARMA 27 (10204)"</f>
        <v>PENSE FARMA 27 (10204)</v>
      </c>
      <c r="G82" t="str">
        <f>"Serv.Prest. 27/10/2025 a 02/11/2025 - RPS: 1492 - NFSe: 3729"</f>
        <v>Serv.Prest. 27/10/2025 a 02/11/2025 - RPS: 1492 - NFSe: 3729</v>
      </c>
      <c r="H82" t="str">
        <f t="shared" si="34"/>
        <v>05/11/2025</v>
      </c>
      <c r="I82" t="str">
        <f t="shared" si="35"/>
        <v>03/11/2025</v>
      </c>
      <c r="J82" t="str">
        <f t="shared" si="36"/>
        <v>05/11/2025</v>
      </c>
      <c r="M82">
        <v>303</v>
      </c>
      <c r="N82" t="str">
        <f t="shared" si="37"/>
        <v>RECEITAS COM ENTREGAS</v>
      </c>
      <c r="P82">
        <v>178.48</v>
      </c>
      <c r="Q82" t="str">
        <f>"PENSE FARMA 13 (10202)"</f>
        <v>PENSE FARMA 13 (10202)</v>
      </c>
      <c r="R82" t="str">
        <f t="shared" si="38"/>
        <v>RECEITAS COM ENTREGAS (303)</v>
      </c>
      <c r="S82">
        <v>2887</v>
      </c>
      <c r="T82">
        <v>2422</v>
      </c>
      <c r="U82" t="s">
        <v>21</v>
      </c>
    </row>
    <row r="83" spans="1:21">
      <c r="A83" t="str">
        <f t="shared" si="31"/>
        <v>05/11/2025</v>
      </c>
      <c r="B83" t="str">
        <f t="shared" si="32"/>
        <v>ENTRADA</v>
      </c>
      <c r="C83" t="str">
        <f t="shared" si="33"/>
        <v>NFSE</v>
      </c>
      <c r="D83" t="str">
        <f>"3729"</f>
        <v>3729</v>
      </c>
      <c r="E83" t="str">
        <f t="shared" si="28"/>
        <v>COM</v>
      </c>
      <c r="F83" t="str">
        <f>"PENSE FARMA 27 (10204)"</f>
        <v>PENSE FARMA 27 (10204)</v>
      </c>
      <c r="G83" t="str">
        <f>"Serv.Prest. 27/10/2025 a 02/11/2025 - RPS: 1492 - NFSe: 3729"</f>
        <v>Serv.Prest. 27/10/2025 a 02/11/2025 - RPS: 1492 - NFSe: 3729</v>
      </c>
      <c r="H83" t="str">
        <f t="shared" si="34"/>
        <v>05/11/2025</v>
      </c>
      <c r="I83" t="str">
        <f t="shared" si="35"/>
        <v>03/11/2025</v>
      </c>
      <c r="J83" t="str">
        <f t="shared" si="36"/>
        <v>05/11/2025</v>
      </c>
      <c r="M83">
        <v>303</v>
      </c>
      <c r="N83" t="str">
        <f t="shared" si="37"/>
        <v>RECEITAS COM ENTREGAS</v>
      </c>
      <c r="P83">
        <v>178.54</v>
      </c>
      <c r="Q83" t="str">
        <f>"PENSE FARMA 27 (10204)"</f>
        <v>PENSE FARMA 27 (10204)</v>
      </c>
      <c r="R83" t="str">
        <f t="shared" si="38"/>
        <v>RECEITAS COM ENTREGAS (303)</v>
      </c>
      <c r="S83">
        <v>2887</v>
      </c>
      <c r="T83">
        <v>2422</v>
      </c>
      <c r="U83" t="s">
        <v>21</v>
      </c>
    </row>
    <row r="84" spans="1:21">
      <c r="A84" t="str">
        <f t="shared" si="31"/>
        <v>05/11/2025</v>
      </c>
      <c r="B84" t="str">
        <f t="shared" si="32"/>
        <v>ENTRADA</v>
      </c>
      <c r="C84" t="str">
        <f t="shared" si="33"/>
        <v>NFSE</v>
      </c>
      <c r="D84" t="str">
        <f>"3730"</f>
        <v>3730</v>
      </c>
      <c r="E84" t="str">
        <f t="shared" si="28"/>
        <v>COM</v>
      </c>
      <c r="F84" t="str">
        <f>"PENSE FARMA 07 (10201)"</f>
        <v>PENSE FARMA 07 (10201)</v>
      </c>
      <c r="G84" t="str">
        <f>"Serv.Prest. 27/10/2025 a 02/11/2025 - RPS: 1493 - NFSe: 3730"</f>
        <v>Serv.Prest. 27/10/2025 a 02/11/2025 - RPS: 1493 - NFSe: 3730</v>
      </c>
      <c r="H84" t="str">
        <f t="shared" si="34"/>
        <v>05/11/2025</v>
      </c>
      <c r="I84" t="str">
        <f t="shared" si="35"/>
        <v>03/11/2025</v>
      </c>
      <c r="J84" t="str">
        <f t="shared" si="36"/>
        <v>05/11/2025</v>
      </c>
      <c r="K84">
        <v>267.75</v>
      </c>
      <c r="L84">
        <v>267.75</v>
      </c>
      <c r="M84">
        <v>303</v>
      </c>
      <c r="N84" t="str">
        <f t="shared" si="37"/>
        <v>RECEITAS COM ENTREGAS</v>
      </c>
      <c r="O84">
        <v>267.75</v>
      </c>
      <c r="R84" t="str">
        <f t="shared" si="38"/>
        <v>RECEITAS COM ENTREGAS (303)</v>
      </c>
      <c r="S84">
        <v>2888</v>
      </c>
      <c r="T84">
        <v>2423</v>
      </c>
      <c r="U84" t="s">
        <v>21</v>
      </c>
    </row>
    <row r="85" spans="1:21">
      <c r="A85" t="str">
        <f t="shared" si="31"/>
        <v>05/11/2025</v>
      </c>
      <c r="B85" t="str">
        <f t="shared" si="32"/>
        <v>ENTRADA</v>
      </c>
      <c r="C85" t="str">
        <f t="shared" si="33"/>
        <v>NFSE</v>
      </c>
      <c r="D85" t="str">
        <f>"3730"</f>
        <v>3730</v>
      </c>
      <c r="E85" t="str">
        <f t="shared" si="28"/>
        <v>COM</v>
      </c>
      <c r="F85" t="str">
        <f>"PENSE FARMA 07 (10201)"</f>
        <v>PENSE FARMA 07 (10201)</v>
      </c>
      <c r="G85" t="str">
        <f>"Serv.Prest. 27/10/2025 a 02/11/2025 - RPS: 1493 - NFSe: 3730"</f>
        <v>Serv.Prest. 27/10/2025 a 02/11/2025 - RPS: 1493 - NFSe: 3730</v>
      </c>
      <c r="H85" t="str">
        <f t="shared" si="34"/>
        <v>05/11/2025</v>
      </c>
      <c r="I85" t="str">
        <f t="shared" si="35"/>
        <v>03/11/2025</v>
      </c>
      <c r="J85" t="str">
        <f t="shared" si="36"/>
        <v>05/11/2025</v>
      </c>
      <c r="M85">
        <v>303</v>
      </c>
      <c r="N85" t="str">
        <f t="shared" si="37"/>
        <v>RECEITAS COM ENTREGAS</v>
      </c>
      <c r="P85">
        <v>89.24</v>
      </c>
      <c r="Q85" t="str">
        <f>"PENSE FARMA 07 (10201)"</f>
        <v>PENSE FARMA 07 (10201)</v>
      </c>
      <c r="R85" t="str">
        <f t="shared" si="38"/>
        <v>RECEITAS COM ENTREGAS (303)</v>
      </c>
      <c r="S85">
        <v>2888</v>
      </c>
      <c r="T85">
        <v>2423</v>
      </c>
      <c r="U85" t="s">
        <v>21</v>
      </c>
    </row>
    <row r="86" spans="1:21">
      <c r="A86" t="str">
        <f t="shared" si="31"/>
        <v>05/11/2025</v>
      </c>
      <c r="B86" t="str">
        <f t="shared" si="32"/>
        <v>ENTRADA</v>
      </c>
      <c r="C86" t="str">
        <f t="shared" si="33"/>
        <v>NFSE</v>
      </c>
      <c r="D86" t="str">
        <f>"3730"</f>
        <v>3730</v>
      </c>
      <c r="E86" t="str">
        <f t="shared" si="28"/>
        <v>COM</v>
      </c>
      <c r="F86" t="str">
        <f>"PENSE FARMA 07 (10201)"</f>
        <v>PENSE FARMA 07 (10201)</v>
      </c>
      <c r="G86" t="str">
        <f>"Serv.Prest. 27/10/2025 a 02/11/2025 - RPS: 1493 - NFSe: 3730"</f>
        <v>Serv.Prest. 27/10/2025 a 02/11/2025 - RPS: 1493 - NFSe: 3730</v>
      </c>
      <c r="H86" t="str">
        <f t="shared" si="34"/>
        <v>05/11/2025</v>
      </c>
      <c r="I86" t="str">
        <f t="shared" si="35"/>
        <v>03/11/2025</v>
      </c>
      <c r="J86" t="str">
        <f t="shared" si="36"/>
        <v>05/11/2025</v>
      </c>
      <c r="M86">
        <v>303</v>
      </c>
      <c r="N86" t="str">
        <f t="shared" si="37"/>
        <v>RECEITAS COM ENTREGAS</v>
      </c>
      <c r="P86">
        <v>89.24</v>
      </c>
      <c r="Q86" t="str">
        <f>"PENSE FARMA 45 (10209)"</f>
        <v>PENSE FARMA 45 (10209)</v>
      </c>
      <c r="R86" t="str">
        <f t="shared" si="38"/>
        <v>RECEITAS COM ENTREGAS (303)</v>
      </c>
      <c r="S86">
        <v>2888</v>
      </c>
      <c r="T86">
        <v>2423</v>
      </c>
      <c r="U86" t="s">
        <v>21</v>
      </c>
    </row>
    <row r="87" spans="1:21">
      <c r="A87" t="str">
        <f t="shared" si="31"/>
        <v>05/11/2025</v>
      </c>
      <c r="B87" t="str">
        <f t="shared" si="32"/>
        <v>ENTRADA</v>
      </c>
      <c r="C87" t="str">
        <f t="shared" si="33"/>
        <v>NFSE</v>
      </c>
      <c r="D87" t="str">
        <f>"3730"</f>
        <v>3730</v>
      </c>
      <c r="E87" t="str">
        <f t="shared" si="28"/>
        <v>COM</v>
      </c>
      <c r="F87" t="str">
        <f>"PENSE FARMA 07 (10201)"</f>
        <v>PENSE FARMA 07 (10201)</v>
      </c>
      <c r="G87" t="str">
        <f>"Serv.Prest. 27/10/2025 a 02/11/2025 - RPS: 1493 - NFSe: 3730"</f>
        <v>Serv.Prest. 27/10/2025 a 02/11/2025 - RPS: 1493 - NFSe: 3730</v>
      </c>
      <c r="H87" t="str">
        <f t="shared" si="34"/>
        <v>05/11/2025</v>
      </c>
      <c r="I87" t="str">
        <f t="shared" si="35"/>
        <v>03/11/2025</v>
      </c>
      <c r="J87" t="str">
        <f t="shared" si="36"/>
        <v>05/11/2025</v>
      </c>
      <c r="M87">
        <v>303</v>
      </c>
      <c r="N87" t="str">
        <f t="shared" si="37"/>
        <v>RECEITAS COM ENTREGAS</v>
      </c>
      <c r="P87">
        <v>89.27</v>
      </c>
      <c r="Q87" t="str">
        <f>"PENSE FARMA 50 (10210)"</f>
        <v>PENSE FARMA 50 (10210)</v>
      </c>
      <c r="R87" t="str">
        <f t="shared" si="38"/>
        <v>RECEITAS COM ENTREGAS (303)</v>
      </c>
      <c r="S87">
        <v>2888</v>
      </c>
      <c r="T87">
        <v>2423</v>
      </c>
      <c r="U87" t="s">
        <v>21</v>
      </c>
    </row>
    <row r="88" spans="1:21">
      <c r="A88" t="str">
        <f t="shared" si="31"/>
        <v>05/11/2025</v>
      </c>
      <c r="B88" t="str">
        <f t="shared" si="32"/>
        <v>ENTRADA</v>
      </c>
      <c r="C88" t="str">
        <f t="shared" si="33"/>
        <v>NFSE</v>
      </c>
      <c r="D88" t="str">
        <f>"3731"</f>
        <v>3731</v>
      </c>
      <c r="E88" t="str">
        <f t="shared" si="28"/>
        <v>COM</v>
      </c>
      <c r="F88" t="str">
        <f>"PENSE FARMA 15 (10195)"</f>
        <v>PENSE FARMA 15 (10195)</v>
      </c>
      <c r="G88" t="str">
        <f>"Serv.Prest. 27/10/2025 a 02/11/2025 - RPS: 1494 - NFSe: 3731"</f>
        <v>Serv.Prest. 27/10/2025 a 02/11/2025 - RPS: 1494 - NFSe: 3731</v>
      </c>
      <c r="H88" t="str">
        <f t="shared" si="34"/>
        <v>05/11/2025</v>
      </c>
      <c r="I88" t="str">
        <f t="shared" si="35"/>
        <v>03/11/2025</v>
      </c>
      <c r="J88" t="str">
        <f t="shared" si="36"/>
        <v>05/11/2025</v>
      </c>
      <c r="K88">
        <v>412.5</v>
      </c>
      <c r="L88">
        <v>412.5</v>
      </c>
      <c r="M88">
        <v>303</v>
      </c>
      <c r="N88" t="str">
        <f t="shared" si="37"/>
        <v>RECEITAS COM ENTREGAS</v>
      </c>
      <c r="O88">
        <v>412.5</v>
      </c>
      <c r="R88" t="str">
        <f t="shared" si="38"/>
        <v>RECEITAS COM ENTREGAS (303)</v>
      </c>
      <c r="S88">
        <v>2889</v>
      </c>
      <c r="T88">
        <v>2424</v>
      </c>
      <c r="U88" t="s">
        <v>21</v>
      </c>
    </row>
    <row r="89" spans="1:21">
      <c r="A89" t="str">
        <f t="shared" si="31"/>
        <v>05/11/2025</v>
      </c>
      <c r="B89" t="str">
        <f t="shared" si="32"/>
        <v>ENTRADA</v>
      </c>
      <c r="C89" t="str">
        <f t="shared" si="33"/>
        <v>NFSE</v>
      </c>
      <c r="D89" t="str">
        <f>"3731"</f>
        <v>3731</v>
      </c>
      <c r="E89" t="str">
        <f t="shared" si="28"/>
        <v>COM</v>
      </c>
      <c r="F89" t="str">
        <f>"PENSE FARMA 15 (10195)"</f>
        <v>PENSE FARMA 15 (10195)</v>
      </c>
      <c r="G89" t="str">
        <f>"Serv.Prest. 27/10/2025 a 02/11/2025 - RPS: 1494 - NFSe: 3731"</f>
        <v>Serv.Prest. 27/10/2025 a 02/11/2025 - RPS: 1494 - NFSe: 3731</v>
      </c>
      <c r="H89" t="str">
        <f t="shared" si="34"/>
        <v>05/11/2025</v>
      </c>
      <c r="I89" t="str">
        <f t="shared" si="35"/>
        <v>03/11/2025</v>
      </c>
      <c r="J89" t="str">
        <f t="shared" si="36"/>
        <v>05/11/2025</v>
      </c>
      <c r="M89">
        <v>303</v>
      </c>
      <c r="N89" t="str">
        <f t="shared" si="37"/>
        <v>RECEITAS COM ENTREGAS</v>
      </c>
      <c r="P89">
        <v>112.49</v>
      </c>
      <c r="Q89" t="str">
        <f>"PENSE FARMA 15 (10195)"</f>
        <v>PENSE FARMA 15 (10195)</v>
      </c>
      <c r="R89" t="str">
        <f t="shared" si="38"/>
        <v>RECEITAS COM ENTREGAS (303)</v>
      </c>
      <c r="S89">
        <v>2889</v>
      </c>
      <c r="T89">
        <v>2424</v>
      </c>
      <c r="U89" t="s">
        <v>21</v>
      </c>
    </row>
    <row r="90" spans="1:21">
      <c r="A90" t="str">
        <f t="shared" si="31"/>
        <v>05/11/2025</v>
      </c>
      <c r="B90" t="str">
        <f t="shared" si="32"/>
        <v>ENTRADA</v>
      </c>
      <c r="C90" t="str">
        <f t="shared" si="33"/>
        <v>NFSE</v>
      </c>
      <c r="D90" t="str">
        <f>"3731"</f>
        <v>3731</v>
      </c>
      <c r="E90" t="str">
        <f t="shared" si="28"/>
        <v>COM</v>
      </c>
      <c r="F90" t="str">
        <f>"PENSE FARMA 15 (10195)"</f>
        <v>PENSE FARMA 15 (10195)</v>
      </c>
      <c r="G90" t="str">
        <f>"Serv.Prest. 27/10/2025 a 02/11/2025 - RPS: 1494 - NFSe: 3731"</f>
        <v>Serv.Prest. 27/10/2025 a 02/11/2025 - RPS: 1494 - NFSe: 3731</v>
      </c>
      <c r="H90" t="str">
        <f t="shared" si="34"/>
        <v>05/11/2025</v>
      </c>
      <c r="I90" t="str">
        <f t="shared" si="35"/>
        <v>03/11/2025</v>
      </c>
      <c r="J90" t="str">
        <f t="shared" si="36"/>
        <v>05/11/2025</v>
      </c>
      <c r="M90">
        <v>303</v>
      </c>
      <c r="N90" t="str">
        <f t="shared" si="37"/>
        <v>RECEITAS COM ENTREGAS</v>
      </c>
      <c r="P90">
        <v>112.49</v>
      </c>
      <c r="Q90" t="str">
        <f>"PENSE FARMA 26 (10196)"</f>
        <v>PENSE FARMA 26 (10196)</v>
      </c>
      <c r="R90" t="str">
        <f t="shared" si="38"/>
        <v>RECEITAS COM ENTREGAS (303)</v>
      </c>
      <c r="S90">
        <v>2889</v>
      </c>
      <c r="T90">
        <v>2424</v>
      </c>
      <c r="U90" t="s">
        <v>21</v>
      </c>
    </row>
    <row r="91" spans="1:21">
      <c r="A91" t="str">
        <f t="shared" si="31"/>
        <v>05/11/2025</v>
      </c>
      <c r="B91" t="str">
        <f t="shared" si="32"/>
        <v>ENTRADA</v>
      </c>
      <c r="C91" t="str">
        <f t="shared" si="33"/>
        <v>NFSE</v>
      </c>
      <c r="D91" t="str">
        <f>"3731"</f>
        <v>3731</v>
      </c>
      <c r="E91" t="str">
        <f t="shared" si="28"/>
        <v>COM</v>
      </c>
      <c r="F91" t="str">
        <f>"PENSE FARMA 15 (10195)"</f>
        <v>PENSE FARMA 15 (10195)</v>
      </c>
      <c r="G91" t="str">
        <f>"Serv.Prest. 27/10/2025 a 02/11/2025 - RPS: 1494 - NFSe: 3731"</f>
        <v>Serv.Prest. 27/10/2025 a 02/11/2025 - RPS: 1494 - NFSe: 3731</v>
      </c>
      <c r="H91" t="str">
        <f t="shared" si="34"/>
        <v>05/11/2025</v>
      </c>
      <c r="I91" t="str">
        <f t="shared" si="35"/>
        <v>03/11/2025</v>
      </c>
      <c r="J91" t="str">
        <f t="shared" si="36"/>
        <v>05/11/2025</v>
      </c>
      <c r="M91">
        <v>303</v>
      </c>
      <c r="N91" t="str">
        <f t="shared" si="37"/>
        <v>RECEITAS COM ENTREGAS</v>
      </c>
      <c r="P91">
        <v>112.49</v>
      </c>
      <c r="Q91" t="str">
        <f>"PENSE FARMA 60 (10197)"</f>
        <v>PENSE FARMA 60 (10197)</v>
      </c>
      <c r="R91" t="str">
        <f t="shared" si="38"/>
        <v>RECEITAS COM ENTREGAS (303)</v>
      </c>
      <c r="S91">
        <v>2889</v>
      </c>
      <c r="T91">
        <v>2424</v>
      </c>
      <c r="U91" t="s">
        <v>21</v>
      </c>
    </row>
    <row r="92" spans="1:21">
      <c r="A92" t="str">
        <f t="shared" si="31"/>
        <v>05/11/2025</v>
      </c>
      <c r="B92" t="str">
        <f t="shared" si="32"/>
        <v>ENTRADA</v>
      </c>
      <c r="C92" t="str">
        <f t="shared" si="33"/>
        <v>NFSE</v>
      </c>
      <c r="D92" t="str">
        <f>"3731"</f>
        <v>3731</v>
      </c>
      <c r="E92" t="str">
        <f t="shared" si="28"/>
        <v>COM</v>
      </c>
      <c r="F92" t="str">
        <f>"PENSE FARMA 15 (10195)"</f>
        <v>PENSE FARMA 15 (10195)</v>
      </c>
      <c r="G92" t="str">
        <f>"Serv.Prest. 27/10/2025 a 02/11/2025 - RPS: 1494 - NFSe: 3731"</f>
        <v>Serv.Prest. 27/10/2025 a 02/11/2025 - RPS: 1494 - NFSe: 3731</v>
      </c>
      <c r="H92" t="str">
        <f t="shared" si="34"/>
        <v>05/11/2025</v>
      </c>
      <c r="I92" t="str">
        <f t="shared" si="35"/>
        <v>03/11/2025</v>
      </c>
      <c r="J92" t="str">
        <f t="shared" si="36"/>
        <v>05/11/2025</v>
      </c>
      <c r="M92">
        <v>303</v>
      </c>
      <c r="N92" t="str">
        <f t="shared" si="37"/>
        <v>RECEITAS COM ENTREGAS</v>
      </c>
      <c r="P92">
        <v>75.03</v>
      </c>
      <c r="Q92" t="str">
        <f>"PENSE FARMA 61 (10243)"</f>
        <v>PENSE FARMA 61 (10243)</v>
      </c>
      <c r="R92" t="str">
        <f t="shared" si="38"/>
        <v>RECEITAS COM ENTREGAS (303)</v>
      </c>
      <c r="S92">
        <v>2889</v>
      </c>
      <c r="T92">
        <v>2424</v>
      </c>
      <c r="U92" t="s">
        <v>21</v>
      </c>
    </row>
    <row r="93" spans="1:21">
      <c r="A93" t="str">
        <f t="shared" si="31"/>
        <v>05/11/2025</v>
      </c>
      <c r="B93" t="str">
        <f t="shared" si="32"/>
        <v>ENTRADA</v>
      </c>
      <c r="C93" t="str">
        <f t="shared" si="33"/>
        <v>NFSE</v>
      </c>
      <c r="D93" t="str">
        <f>"3732"</f>
        <v>3732</v>
      </c>
      <c r="E93" t="str">
        <f t="shared" si="28"/>
        <v>COM</v>
      </c>
      <c r="F93" t="str">
        <f>"PENSE FARMA 22 (10198)"</f>
        <v>PENSE FARMA 22 (10198)</v>
      </c>
      <c r="G93" t="str">
        <f>"Serv.Prest. 27/10/2025 a 02/11/2025 - RPS: 1495 - NFSe: 3732"</f>
        <v>Serv.Prest. 27/10/2025 a 02/11/2025 - RPS: 1495 - NFSe: 3732</v>
      </c>
      <c r="H93" t="str">
        <f t="shared" si="34"/>
        <v>05/11/2025</v>
      </c>
      <c r="I93" t="str">
        <f t="shared" si="35"/>
        <v>03/11/2025</v>
      </c>
      <c r="J93" t="str">
        <f t="shared" si="36"/>
        <v>05/11/2025</v>
      </c>
      <c r="K93">
        <v>450</v>
      </c>
      <c r="L93">
        <v>450</v>
      </c>
      <c r="M93">
        <v>303</v>
      </c>
      <c r="N93" t="str">
        <f t="shared" si="37"/>
        <v>RECEITAS COM ENTREGAS</v>
      </c>
      <c r="O93">
        <v>450</v>
      </c>
      <c r="R93" t="str">
        <f t="shared" si="38"/>
        <v>RECEITAS COM ENTREGAS (303)</v>
      </c>
      <c r="S93">
        <v>2890</v>
      </c>
      <c r="T93">
        <v>2425</v>
      </c>
      <c r="U93" t="s">
        <v>21</v>
      </c>
    </row>
    <row r="94" spans="1:21">
      <c r="A94" t="str">
        <f t="shared" si="31"/>
        <v>05/11/2025</v>
      </c>
      <c r="B94" t="str">
        <f t="shared" si="32"/>
        <v>ENTRADA</v>
      </c>
      <c r="C94" t="str">
        <f t="shared" si="33"/>
        <v>NFSE</v>
      </c>
      <c r="D94" t="str">
        <f>"3732"</f>
        <v>3732</v>
      </c>
      <c r="E94" t="str">
        <f t="shared" si="28"/>
        <v>COM</v>
      </c>
      <c r="F94" t="str">
        <f>"PENSE FARMA 22 (10198)"</f>
        <v>PENSE FARMA 22 (10198)</v>
      </c>
      <c r="G94" t="str">
        <f>"Serv.Prest. 27/10/2025 a 02/11/2025 - RPS: 1495 - NFSe: 3732"</f>
        <v>Serv.Prest. 27/10/2025 a 02/11/2025 - RPS: 1495 - NFSe: 3732</v>
      </c>
      <c r="H94" t="str">
        <f t="shared" si="34"/>
        <v>05/11/2025</v>
      </c>
      <c r="I94" t="str">
        <f t="shared" si="35"/>
        <v>03/11/2025</v>
      </c>
      <c r="J94" t="str">
        <f t="shared" si="36"/>
        <v>05/11/2025</v>
      </c>
      <c r="M94">
        <v>303</v>
      </c>
      <c r="N94" t="str">
        <f t="shared" si="37"/>
        <v>RECEITAS COM ENTREGAS</v>
      </c>
      <c r="P94">
        <v>450</v>
      </c>
      <c r="Q94" t="str">
        <f>"PENSE FARMA 22 (10198)"</f>
        <v>PENSE FARMA 22 (10198)</v>
      </c>
      <c r="R94" t="str">
        <f t="shared" si="38"/>
        <v>RECEITAS COM ENTREGAS (303)</v>
      </c>
      <c r="S94">
        <v>2890</v>
      </c>
      <c r="T94">
        <v>2425</v>
      </c>
      <c r="U94" t="s">
        <v>21</v>
      </c>
    </row>
    <row r="95" spans="1:21">
      <c r="A95" t="str">
        <f t="shared" si="31"/>
        <v>05/11/2025</v>
      </c>
      <c r="B95" t="str">
        <f t="shared" si="32"/>
        <v>ENTRADA</v>
      </c>
      <c r="C95" t="str">
        <f t="shared" si="33"/>
        <v>NFSE</v>
      </c>
      <c r="D95" t="str">
        <f>"3735"</f>
        <v>3735</v>
      </c>
      <c r="E95" t="str">
        <f t="shared" si="28"/>
        <v>COM</v>
      </c>
      <c r="F95" t="str">
        <f>"DROGARIA ANA VISCONDE DO RIO BRANCO (10182)"</f>
        <v>DROGARIA ANA VISCONDE DO RIO BRANCO (10182)</v>
      </c>
      <c r="G95" t="str">
        <f>"Serv.Prest. 27/10/2025 a 02/11/2025 - RPS: 1498 - NFSe: 3735"</f>
        <v>Serv.Prest. 27/10/2025 a 02/11/2025 - RPS: 1498 - NFSe: 3735</v>
      </c>
      <c r="H95" t="str">
        <f t="shared" si="34"/>
        <v>05/11/2025</v>
      </c>
      <c r="I95" t="str">
        <f t="shared" si="35"/>
        <v>03/11/2025</v>
      </c>
      <c r="J95" t="str">
        <f t="shared" si="36"/>
        <v>05/11/2025</v>
      </c>
      <c r="K95">
        <v>792.45</v>
      </c>
      <c r="L95">
        <v>792.45</v>
      </c>
      <c r="M95">
        <v>303</v>
      </c>
      <c r="N95" t="str">
        <f t="shared" si="37"/>
        <v>RECEITAS COM ENTREGAS</v>
      </c>
      <c r="O95">
        <v>792.45</v>
      </c>
      <c r="R95" t="str">
        <f t="shared" si="38"/>
        <v>RECEITAS COM ENTREGAS (303)</v>
      </c>
      <c r="S95">
        <v>2891</v>
      </c>
      <c r="T95">
        <v>2428</v>
      </c>
      <c r="U95" t="s">
        <v>21</v>
      </c>
    </row>
    <row r="96" spans="1:21">
      <c r="A96" t="str">
        <f t="shared" si="31"/>
        <v>05/11/2025</v>
      </c>
      <c r="B96" t="str">
        <f t="shared" si="32"/>
        <v>ENTRADA</v>
      </c>
      <c r="C96" t="str">
        <f t="shared" si="33"/>
        <v>NFSE</v>
      </c>
      <c r="D96" t="str">
        <f>"3735"</f>
        <v>3735</v>
      </c>
      <c r="E96" t="str">
        <f t="shared" si="28"/>
        <v>COM</v>
      </c>
      <c r="F96" t="str">
        <f>"DROGARIA ANA VISCONDE DO RIO BRANCO (10182)"</f>
        <v>DROGARIA ANA VISCONDE DO RIO BRANCO (10182)</v>
      </c>
      <c r="G96" t="str">
        <f>"Serv.Prest. 27/10/2025 a 02/11/2025 - RPS: 1498 - NFSe: 3735"</f>
        <v>Serv.Prest. 27/10/2025 a 02/11/2025 - RPS: 1498 - NFSe: 3735</v>
      </c>
      <c r="H96" t="str">
        <f t="shared" si="34"/>
        <v>05/11/2025</v>
      </c>
      <c r="I96" t="str">
        <f t="shared" si="35"/>
        <v>03/11/2025</v>
      </c>
      <c r="J96" t="str">
        <f t="shared" si="36"/>
        <v>05/11/2025</v>
      </c>
      <c r="M96">
        <v>303</v>
      </c>
      <c r="N96" t="str">
        <f t="shared" si="37"/>
        <v>RECEITAS COM ENTREGAS</v>
      </c>
      <c r="P96">
        <v>792.45</v>
      </c>
      <c r="Q96" t="str">
        <f>"DROGARIA ANA VISCONDE DO RIO BRANCO (10182)"</f>
        <v>DROGARIA ANA VISCONDE DO RIO BRANCO (10182)</v>
      </c>
      <c r="R96" t="str">
        <f t="shared" si="38"/>
        <v>RECEITAS COM ENTREGAS (303)</v>
      </c>
      <c r="S96">
        <v>2891</v>
      </c>
      <c r="T96">
        <v>2428</v>
      </c>
      <c r="U96" t="s">
        <v>21</v>
      </c>
    </row>
    <row r="97" spans="1:21">
      <c r="A97" t="str">
        <f t="shared" si="31"/>
        <v>05/11/2025</v>
      </c>
      <c r="B97" t="str">
        <f t="shared" si="32"/>
        <v>ENTRADA</v>
      </c>
      <c r="C97" t="str">
        <f t="shared" si="33"/>
        <v>NFSE</v>
      </c>
      <c r="D97" t="str">
        <f>"3746"</f>
        <v>3746</v>
      </c>
      <c r="E97" t="str">
        <f t="shared" si="28"/>
        <v>COM</v>
      </c>
      <c r="F97" t="str">
        <f>"JAL FARMACIA E DROGARIA LJ 2 (10138)"</f>
        <v>JAL FARMACIA E DROGARIA LJ 2 (10138)</v>
      </c>
      <c r="G97" t="str">
        <f>"Serv.Prest. 27/10/2025 a 02/11/2025 - RPS: 1509 - NFSe: 3746"</f>
        <v>Serv.Prest. 27/10/2025 a 02/11/2025 - RPS: 1509 - NFSe: 3746</v>
      </c>
      <c r="H97" t="str">
        <f t="shared" si="34"/>
        <v>05/11/2025</v>
      </c>
      <c r="I97" t="str">
        <f t="shared" si="35"/>
        <v>03/11/2025</v>
      </c>
      <c r="J97" t="str">
        <f t="shared" si="36"/>
        <v>05/11/2025</v>
      </c>
      <c r="K97">
        <v>298.5</v>
      </c>
      <c r="L97">
        <v>298.5</v>
      </c>
      <c r="M97">
        <v>303</v>
      </c>
      <c r="N97" t="str">
        <f t="shared" si="37"/>
        <v>RECEITAS COM ENTREGAS</v>
      </c>
      <c r="O97">
        <v>298.5</v>
      </c>
      <c r="R97" t="str">
        <f t="shared" si="38"/>
        <v>RECEITAS COM ENTREGAS (303)</v>
      </c>
      <c r="S97">
        <v>2892</v>
      </c>
      <c r="T97">
        <v>2441</v>
      </c>
      <c r="U97" t="s">
        <v>21</v>
      </c>
    </row>
    <row r="98" spans="1:21">
      <c r="A98" t="str">
        <f t="shared" si="31"/>
        <v>05/11/2025</v>
      </c>
      <c r="B98" t="str">
        <f t="shared" si="32"/>
        <v>ENTRADA</v>
      </c>
      <c r="C98" t="str">
        <f t="shared" si="33"/>
        <v>NFSE</v>
      </c>
      <c r="D98" t="str">
        <f>"3746"</f>
        <v>3746</v>
      </c>
      <c r="E98" t="str">
        <f t="shared" si="28"/>
        <v>COM</v>
      </c>
      <c r="F98" t="str">
        <f>"JAL FARMACIA E DROGARIA LJ 2 (10138)"</f>
        <v>JAL FARMACIA E DROGARIA LJ 2 (10138)</v>
      </c>
      <c r="G98" t="str">
        <f>"Serv.Prest. 27/10/2025 a 02/11/2025 - RPS: 1509 - NFSe: 3746"</f>
        <v>Serv.Prest. 27/10/2025 a 02/11/2025 - RPS: 1509 - NFSe: 3746</v>
      </c>
      <c r="H98" t="str">
        <f t="shared" si="34"/>
        <v>05/11/2025</v>
      </c>
      <c r="I98" t="str">
        <f t="shared" si="35"/>
        <v>03/11/2025</v>
      </c>
      <c r="J98" t="str">
        <f t="shared" si="36"/>
        <v>05/11/2025</v>
      </c>
      <c r="M98">
        <v>303</v>
      </c>
      <c r="N98" t="str">
        <f t="shared" si="37"/>
        <v>RECEITAS COM ENTREGAS</v>
      </c>
      <c r="P98">
        <v>298.5</v>
      </c>
      <c r="Q98" t="str">
        <f>"JAL FARMACIA E DROGARIA LJ 2 (10138)"</f>
        <v>JAL FARMACIA E DROGARIA LJ 2 (10138)</v>
      </c>
      <c r="R98" t="str">
        <f t="shared" si="38"/>
        <v>RECEITAS COM ENTREGAS (303)</v>
      </c>
      <c r="S98">
        <v>2892</v>
      </c>
      <c r="T98">
        <v>2441</v>
      </c>
      <c r="U98" t="s">
        <v>21</v>
      </c>
    </row>
    <row r="99" spans="1:21">
      <c r="A99" t="str">
        <f t="shared" si="31"/>
        <v>05/11/2025</v>
      </c>
      <c r="B99" t="str">
        <f t="shared" si="32"/>
        <v>ENTRADA</v>
      </c>
      <c r="C99" t="str">
        <f t="shared" si="33"/>
        <v>NFSE</v>
      </c>
      <c r="D99" t="str">
        <f>"3734"</f>
        <v>3734</v>
      </c>
      <c r="E99" t="str">
        <f t="shared" si="28"/>
        <v>COM</v>
      </c>
      <c r="F99" t="str">
        <f>"DROGARIA AGAPEAMA (10167)"</f>
        <v>DROGARIA AGAPEAMA (10167)</v>
      </c>
      <c r="G99" t="str">
        <f>"Serv.Prest. 27/10/2025 a 02/11/2025 - RPS: 1497 - NFSe: 3734"</f>
        <v>Serv.Prest. 27/10/2025 a 02/11/2025 - RPS: 1497 - NFSe: 3734</v>
      </c>
      <c r="H99" t="str">
        <f t="shared" si="34"/>
        <v>05/11/2025</v>
      </c>
      <c r="I99" t="str">
        <f t="shared" si="35"/>
        <v>03/11/2025</v>
      </c>
      <c r="J99" t="str">
        <f t="shared" si="36"/>
        <v>05/11/2025</v>
      </c>
      <c r="K99">
        <v>368</v>
      </c>
      <c r="L99">
        <v>368</v>
      </c>
      <c r="M99">
        <v>303</v>
      </c>
      <c r="N99" t="str">
        <f t="shared" si="37"/>
        <v>RECEITAS COM ENTREGAS</v>
      </c>
      <c r="O99">
        <v>368</v>
      </c>
      <c r="R99" t="str">
        <f t="shared" si="38"/>
        <v>RECEITAS COM ENTREGAS (303)</v>
      </c>
      <c r="S99">
        <v>2893</v>
      </c>
      <c r="T99">
        <v>2427</v>
      </c>
      <c r="U99" t="s">
        <v>21</v>
      </c>
    </row>
    <row r="100" spans="1:21">
      <c r="A100" t="str">
        <f t="shared" si="31"/>
        <v>05/11/2025</v>
      </c>
      <c r="B100" t="str">
        <f t="shared" si="32"/>
        <v>ENTRADA</v>
      </c>
      <c r="C100" t="str">
        <f t="shared" si="33"/>
        <v>NFSE</v>
      </c>
      <c r="D100" t="str">
        <f>"3734"</f>
        <v>3734</v>
      </c>
      <c r="E100" t="str">
        <f t="shared" si="28"/>
        <v>COM</v>
      </c>
      <c r="F100" t="str">
        <f>"DROGARIA AGAPEAMA (10167)"</f>
        <v>DROGARIA AGAPEAMA (10167)</v>
      </c>
      <c r="G100" t="str">
        <f>"Serv.Prest. 27/10/2025 a 02/11/2025 - RPS: 1497 - NFSe: 3734"</f>
        <v>Serv.Prest. 27/10/2025 a 02/11/2025 - RPS: 1497 - NFSe: 3734</v>
      </c>
      <c r="H100" t="str">
        <f t="shared" si="34"/>
        <v>05/11/2025</v>
      </c>
      <c r="I100" t="str">
        <f t="shared" si="35"/>
        <v>03/11/2025</v>
      </c>
      <c r="J100" t="str">
        <f t="shared" si="36"/>
        <v>05/11/2025</v>
      </c>
      <c r="M100">
        <v>303</v>
      </c>
      <c r="N100" t="str">
        <f t="shared" si="37"/>
        <v>RECEITAS COM ENTREGAS</v>
      </c>
      <c r="P100">
        <v>368</v>
      </c>
      <c r="Q100" t="str">
        <f>"DROGARIA AGAPEAMA (10167)"</f>
        <v>DROGARIA AGAPEAMA (10167)</v>
      </c>
      <c r="R100" t="str">
        <f t="shared" si="38"/>
        <v>RECEITAS COM ENTREGAS (303)</v>
      </c>
      <c r="S100">
        <v>2893</v>
      </c>
      <c r="T100">
        <v>2427</v>
      </c>
      <c r="U100" t="s">
        <v>21</v>
      </c>
    </row>
    <row r="101" spans="1:21">
      <c r="A101" t="str">
        <f t="shared" si="31"/>
        <v>05/11/2025</v>
      </c>
      <c r="B101" t="str">
        <f t="shared" si="32"/>
        <v>ENTRADA</v>
      </c>
      <c r="C101" t="str">
        <f t="shared" si="33"/>
        <v>NFSE</v>
      </c>
      <c r="D101" t="str">
        <f>"3737"</f>
        <v>3737</v>
      </c>
      <c r="E101" t="str">
        <f t="shared" si="28"/>
        <v>COM</v>
      </c>
      <c r="F101" t="str">
        <f>"DROGARIA MORENO LTDA (10171)"</f>
        <v>DROGARIA MORENO LTDA (10171)</v>
      </c>
      <c r="G101" t="str">
        <f>"Serv.Prest. 27/10/2025 a 02/11/2025 - RPS: 1500 - NFSe: 3737"</f>
        <v>Serv.Prest. 27/10/2025 a 02/11/2025 - RPS: 1500 - NFSe: 3737</v>
      </c>
      <c r="H101" t="str">
        <f t="shared" si="34"/>
        <v>05/11/2025</v>
      </c>
      <c r="I101" t="str">
        <f t="shared" si="35"/>
        <v>03/11/2025</v>
      </c>
      <c r="J101" t="str">
        <f t="shared" si="36"/>
        <v>05/11/2025</v>
      </c>
      <c r="K101">
        <v>408.6</v>
      </c>
      <c r="L101">
        <v>408.6</v>
      </c>
      <c r="M101">
        <v>303</v>
      </c>
      <c r="N101" t="str">
        <f t="shared" si="37"/>
        <v>RECEITAS COM ENTREGAS</v>
      </c>
      <c r="O101">
        <v>408.6</v>
      </c>
      <c r="R101" t="str">
        <f t="shared" si="38"/>
        <v>RECEITAS COM ENTREGAS (303)</v>
      </c>
      <c r="S101">
        <v>2894</v>
      </c>
      <c r="T101">
        <v>2430</v>
      </c>
      <c r="U101" t="s">
        <v>21</v>
      </c>
    </row>
    <row r="102" spans="1:21">
      <c r="A102" t="str">
        <f t="shared" ref="A102:A133" si="42">("05/11/2025")</f>
        <v>05/11/2025</v>
      </c>
      <c r="B102" t="str">
        <f t="shared" ref="B102:B121" si="43">"ENTRADA"</f>
        <v>ENTRADA</v>
      </c>
      <c r="C102" t="str">
        <f t="shared" ref="C102:C121" si="44">"NFSE"</f>
        <v>NFSE</v>
      </c>
      <c r="D102" t="str">
        <f>"3737"</f>
        <v>3737</v>
      </c>
      <c r="E102" t="str">
        <f t="shared" si="28"/>
        <v>COM</v>
      </c>
      <c r="F102" t="str">
        <f>"DROGARIA MORENO LTDA (10171)"</f>
        <v>DROGARIA MORENO LTDA (10171)</v>
      </c>
      <c r="G102" t="str">
        <f>"Serv.Prest. 27/10/2025 a 02/11/2025 - RPS: 1500 - NFSe: 3737"</f>
        <v>Serv.Prest. 27/10/2025 a 02/11/2025 - RPS: 1500 - NFSe: 3737</v>
      </c>
      <c r="H102" t="str">
        <f t="shared" ref="H102:H111" si="45">("05/11/2025")</f>
        <v>05/11/2025</v>
      </c>
      <c r="I102" t="str">
        <f t="shared" ref="I102:I109" si="46">("03/11/2025")</f>
        <v>03/11/2025</v>
      </c>
      <c r="J102" t="str">
        <f t="shared" ref="J102:J133" si="47">("05/11/2025")</f>
        <v>05/11/2025</v>
      </c>
      <c r="M102">
        <v>303</v>
      </c>
      <c r="N102" t="str">
        <f t="shared" ref="N102:N121" si="48">"RECEITAS COM ENTREGAS"</f>
        <v>RECEITAS COM ENTREGAS</v>
      </c>
      <c r="P102">
        <v>408.6</v>
      </c>
      <c r="Q102" t="str">
        <f>"DROGARIA MORENO LTDA (10171)"</f>
        <v>DROGARIA MORENO LTDA (10171)</v>
      </c>
      <c r="R102" t="str">
        <f t="shared" ref="R102:R121" si="49">"RECEITAS COM ENTREGAS (303)"</f>
        <v>RECEITAS COM ENTREGAS (303)</v>
      </c>
      <c r="S102">
        <v>2894</v>
      </c>
      <c r="T102">
        <v>2430</v>
      </c>
      <c r="U102" t="s">
        <v>21</v>
      </c>
    </row>
    <row r="103" spans="1:21">
      <c r="A103" t="str">
        <f t="shared" si="42"/>
        <v>05/11/2025</v>
      </c>
      <c r="B103" t="str">
        <f t="shared" si="43"/>
        <v>ENTRADA</v>
      </c>
      <c r="C103" t="str">
        <f t="shared" si="44"/>
        <v>NFSE</v>
      </c>
      <c r="D103" t="str">
        <f>"3741"</f>
        <v>3741</v>
      </c>
      <c r="E103" t="str">
        <f t="shared" si="28"/>
        <v>COM</v>
      </c>
      <c r="F103" t="str">
        <f>"ENTREFARMA (10164)"</f>
        <v>ENTREFARMA (10164)</v>
      </c>
      <c r="G103" t="str">
        <f>"Serv.Prest. 27/10/2025 a 02/11/2025 - RPS: 1504 - NFSe: 3741"</f>
        <v>Serv.Prest. 27/10/2025 a 02/11/2025 - RPS: 1504 - NFSe: 3741</v>
      </c>
      <c r="H103" t="str">
        <f t="shared" si="45"/>
        <v>05/11/2025</v>
      </c>
      <c r="I103" t="str">
        <f t="shared" si="46"/>
        <v>03/11/2025</v>
      </c>
      <c r="J103" t="str">
        <f t="shared" si="47"/>
        <v>05/11/2025</v>
      </c>
      <c r="K103">
        <v>1124.55</v>
      </c>
      <c r="L103">
        <v>1124.55</v>
      </c>
      <c r="M103">
        <v>303</v>
      </c>
      <c r="N103" t="str">
        <f t="shared" si="48"/>
        <v>RECEITAS COM ENTREGAS</v>
      </c>
      <c r="O103">
        <v>1124.55</v>
      </c>
      <c r="R103" t="str">
        <f t="shared" si="49"/>
        <v>RECEITAS COM ENTREGAS (303)</v>
      </c>
      <c r="S103">
        <v>2895</v>
      </c>
      <c r="T103">
        <v>2434</v>
      </c>
      <c r="U103" t="s">
        <v>21</v>
      </c>
    </row>
    <row r="104" spans="1:21">
      <c r="A104" t="str">
        <f t="shared" si="42"/>
        <v>05/11/2025</v>
      </c>
      <c r="B104" t="str">
        <f t="shared" si="43"/>
        <v>ENTRADA</v>
      </c>
      <c r="C104" t="str">
        <f t="shared" si="44"/>
        <v>NFSE</v>
      </c>
      <c r="D104" t="str">
        <f>"3741"</f>
        <v>3741</v>
      </c>
      <c r="E104" t="str">
        <f t="shared" si="28"/>
        <v>COM</v>
      </c>
      <c r="F104" t="str">
        <f>"ENTREFARMA (10164)"</f>
        <v>ENTREFARMA (10164)</v>
      </c>
      <c r="G104" t="str">
        <f>"Serv.Prest. 27/10/2025 a 02/11/2025 - RPS: 1504 - NFSe: 3741"</f>
        <v>Serv.Prest. 27/10/2025 a 02/11/2025 - RPS: 1504 - NFSe: 3741</v>
      </c>
      <c r="H104" t="str">
        <f t="shared" si="45"/>
        <v>05/11/2025</v>
      </c>
      <c r="I104" t="str">
        <f t="shared" si="46"/>
        <v>03/11/2025</v>
      </c>
      <c r="J104" t="str">
        <f t="shared" si="47"/>
        <v>05/11/2025</v>
      </c>
      <c r="M104">
        <v>303</v>
      </c>
      <c r="N104" t="str">
        <f t="shared" si="48"/>
        <v>RECEITAS COM ENTREGAS</v>
      </c>
      <c r="P104">
        <v>1124.55</v>
      </c>
      <c r="Q104" t="str">
        <f>"ENTREFARMA (10164)"</f>
        <v>ENTREFARMA (10164)</v>
      </c>
      <c r="R104" t="str">
        <f t="shared" si="49"/>
        <v>RECEITAS COM ENTREGAS (303)</v>
      </c>
      <c r="S104">
        <v>2895</v>
      </c>
      <c r="T104">
        <v>2434</v>
      </c>
      <c r="U104" t="s">
        <v>21</v>
      </c>
    </row>
    <row r="105" spans="1:21">
      <c r="A105" t="str">
        <f t="shared" si="42"/>
        <v>05/11/2025</v>
      </c>
      <c r="B105" t="str">
        <f t="shared" si="43"/>
        <v>ENTRADA</v>
      </c>
      <c r="C105" t="str">
        <f t="shared" si="44"/>
        <v>NFSE</v>
      </c>
      <c r="D105" t="str">
        <f>"3742"</f>
        <v>3742</v>
      </c>
      <c r="E105" t="str">
        <f t="shared" si="28"/>
        <v>COM</v>
      </c>
      <c r="F105" t="str">
        <f>"FRAN FARMA (10124)"</f>
        <v>FRAN FARMA (10124)</v>
      </c>
      <c r="G105" t="str">
        <f>"Serv.Prest. 27/10/2025 a 02/11/2025 - RPS: 1505 - NFSe: 3742"</f>
        <v>Serv.Prest. 27/10/2025 a 02/11/2025 - RPS: 1505 - NFSe: 3742</v>
      </c>
      <c r="H105" t="str">
        <f t="shared" si="45"/>
        <v>05/11/2025</v>
      </c>
      <c r="I105" t="str">
        <f t="shared" si="46"/>
        <v>03/11/2025</v>
      </c>
      <c r="J105" t="str">
        <f t="shared" si="47"/>
        <v>05/11/2025</v>
      </c>
      <c r="K105">
        <v>160</v>
      </c>
      <c r="L105">
        <v>160</v>
      </c>
      <c r="M105">
        <v>303</v>
      </c>
      <c r="N105" t="str">
        <f t="shared" si="48"/>
        <v>RECEITAS COM ENTREGAS</v>
      </c>
      <c r="O105">
        <v>160</v>
      </c>
      <c r="R105" t="str">
        <f t="shared" si="49"/>
        <v>RECEITAS COM ENTREGAS (303)</v>
      </c>
      <c r="S105">
        <v>2896</v>
      </c>
      <c r="T105">
        <v>2435</v>
      </c>
      <c r="U105" t="s">
        <v>21</v>
      </c>
    </row>
    <row r="106" spans="1:21">
      <c r="A106" t="str">
        <f t="shared" si="42"/>
        <v>05/11/2025</v>
      </c>
      <c r="B106" t="str">
        <f t="shared" si="43"/>
        <v>ENTRADA</v>
      </c>
      <c r="C106" t="str">
        <f t="shared" si="44"/>
        <v>NFSE</v>
      </c>
      <c r="D106" t="str">
        <f>"3742"</f>
        <v>3742</v>
      </c>
      <c r="E106" t="str">
        <f t="shared" si="28"/>
        <v>COM</v>
      </c>
      <c r="F106" t="str">
        <f>"FRAN FARMA (10124)"</f>
        <v>FRAN FARMA (10124)</v>
      </c>
      <c r="G106" t="str">
        <f>"Serv.Prest. 27/10/2025 a 02/11/2025 - RPS: 1505 - NFSe: 3742"</f>
        <v>Serv.Prest. 27/10/2025 a 02/11/2025 - RPS: 1505 - NFSe: 3742</v>
      </c>
      <c r="H106" t="str">
        <f t="shared" si="45"/>
        <v>05/11/2025</v>
      </c>
      <c r="I106" t="str">
        <f t="shared" si="46"/>
        <v>03/11/2025</v>
      </c>
      <c r="J106" t="str">
        <f t="shared" si="47"/>
        <v>05/11/2025</v>
      </c>
      <c r="M106">
        <v>303</v>
      </c>
      <c r="N106" t="str">
        <f t="shared" si="48"/>
        <v>RECEITAS COM ENTREGAS</v>
      </c>
      <c r="P106">
        <v>96</v>
      </c>
      <c r="Q106" t="str">
        <f>"FRAN FARMA LJ 2 (10131)"</f>
        <v>FRAN FARMA LJ 2 (10131)</v>
      </c>
      <c r="R106" t="str">
        <f t="shared" si="49"/>
        <v>RECEITAS COM ENTREGAS (303)</v>
      </c>
      <c r="S106">
        <v>2896</v>
      </c>
      <c r="T106">
        <v>2435</v>
      </c>
      <c r="U106" t="s">
        <v>21</v>
      </c>
    </row>
    <row r="107" spans="1:21">
      <c r="A107" t="str">
        <f t="shared" si="42"/>
        <v>05/11/2025</v>
      </c>
      <c r="B107" t="str">
        <f t="shared" si="43"/>
        <v>ENTRADA</v>
      </c>
      <c r="C107" t="str">
        <f t="shared" si="44"/>
        <v>NFSE</v>
      </c>
      <c r="D107" t="str">
        <f>"3742"</f>
        <v>3742</v>
      </c>
      <c r="E107" t="str">
        <f t="shared" si="28"/>
        <v>COM</v>
      </c>
      <c r="F107" t="str">
        <f>"FRAN FARMA (10124)"</f>
        <v>FRAN FARMA (10124)</v>
      </c>
      <c r="G107" t="str">
        <f>"Serv.Prest. 27/10/2025 a 02/11/2025 - RPS: 1505 - NFSe: 3742"</f>
        <v>Serv.Prest. 27/10/2025 a 02/11/2025 - RPS: 1505 - NFSe: 3742</v>
      </c>
      <c r="H107" t="str">
        <f t="shared" si="45"/>
        <v>05/11/2025</v>
      </c>
      <c r="I107" t="str">
        <f t="shared" si="46"/>
        <v>03/11/2025</v>
      </c>
      <c r="J107" t="str">
        <f t="shared" si="47"/>
        <v>05/11/2025</v>
      </c>
      <c r="M107">
        <v>303</v>
      </c>
      <c r="N107" t="str">
        <f t="shared" si="48"/>
        <v>RECEITAS COM ENTREGAS</v>
      </c>
      <c r="P107">
        <v>64</v>
      </c>
      <c r="Q107" t="str">
        <f>"FRAN FARMA LJ 3 (10132)"</f>
        <v>FRAN FARMA LJ 3 (10132)</v>
      </c>
      <c r="R107" t="str">
        <f t="shared" si="49"/>
        <v>RECEITAS COM ENTREGAS (303)</v>
      </c>
      <c r="S107">
        <v>2896</v>
      </c>
      <c r="T107">
        <v>2435</v>
      </c>
      <c r="U107" t="s">
        <v>21</v>
      </c>
    </row>
    <row r="108" spans="1:21">
      <c r="A108" t="str">
        <f t="shared" si="42"/>
        <v>05/11/2025</v>
      </c>
      <c r="B108" t="str">
        <f t="shared" si="43"/>
        <v>ENTRADA</v>
      </c>
      <c r="C108" t="str">
        <f t="shared" si="44"/>
        <v>NFSE</v>
      </c>
      <c r="D108" t="str">
        <f>"3749"</f>
        <v>3749</v>
      </c>
      <c r="E108" t="str">
        <f t="shared" si="28"/>
        <v>COM</v>
      </c>
      <c r="F108" t="str">
        <f>"LBL FARMACIA LTDA (10189)"</f>
        <v>LBL FARMACIA LTDA (10189)</v>
      </c>
      <c r="G108" t="str">
        <f>"Serv.Prest. 27/10/2025 a 02/11/2025 - RPS: 1512 - NFSe: 3749"</f>
        <v>Serv.Prest. 27/10/2025 a 02/11/2025 - RPS: 1512 - NFSe: 3749</v>
      </c>
      <c r="H108" t="str">
        <f t="shared" si="45"/>
        <v>05/11/2025</v>
      </c>
      <c r="I108" t="str">
        <f t="shared" si="46"/>
        <v>03/11/2025</v>
      </c>
      <c r="J108" t="str">
        <f t="shared" si="47"/>
        <v>05/11/2025</v>
      </c>
      <c r="K108">
        <v>91.35</v>
      </c>
      <c r="L108">
        <v>91.35</v>
      </c>
      <c r="M108">
        <v>303</v>
      </c>
      <c r="N108" t="str">
        <f t="shared" si="48"/>
        <v>RECEITAS COM ENTREGAS</v>
      </c>
      <c r="O108">
        <v>91.35</v>
      </c>
      <c r="R108" t="str">
        <f t="shared" si="49"/>
        <v>RECEITAS COM ENTREGAS (303)</v>
      </c>
      <c r="S108">
        <v>2897</v>
      </c>
      <c r="T108">
        <v>2444</v>
      </c>
      <c r="U108" t="s">
        <v>21</v>
      </c>
    </row>
    <row r="109" spans="1:21">
      <c r="A109" t="str">
        <f t="shared" si="42"/>
        <v>05/11/2025</v>
      </c>
      <c r="B109" t="str">
        <f t="shared" si="43"/>
        <v>ENTRADA</v>
      </c>
      <c r="C109" t="str">
        <f t="shared" si="44"/>
        <v>NFSE</v>
      </c>
      <c r="D109" t="str">
        <f>"3749"</f>
        <v>3749</v>
      </c>
      <c r="E109" t="str">
        <f t="shared" si="28"/>
        <v>COM</v>
      </c>
      <c r="F109" t="str">
        <f>"LBL FARMACIA LTDA (10189)"</f>
        <v>LBL FARMACIA LTDA (10189)</v>
      </c>
      <c r="G109" t="str">
        <f>"Serv.Prest. 27/10/2025 a 02/11/2025 - RPS: 1512 - NFSe: 3749"</f>
        <v>Serv.Prest. 27/10/2025 a 02/11/2025 - RPS: 1512 - NFSe: 3749</v>
      </c>
      <c r="H109" t="str">
        <f t="shared" si="45"/>
        <v>05/11/2025</v>
      </c>
      <c r="I109" t="str">
        <f t="shared" si="46"/>
        <v>03/11/2025</v>
      </c>
      <c r="J109" t="str">
        <f t="shared" si="47"/>
        <v>05/11/2025</v>
      </c>
      <c r="M109">
        <v>303</v>
      </c>
      <c r="N109" t="str">
        <f t="shared" si="48"/>
        <v>RECEITAS COM ENTREGAS</v>
      </c>
      <c r="P109">
        <v>91.35</v>
      </c>
      <c r="Q109" t="str">
        <f>"LBL FARMACIA LTDA (10189)"</f>
        <v>LBL FARMACIA LTDA (10189)</v>
      </c>
      <c r="R109" t="str">
        <f t="shared" si="49"/>
        <v>RECEITAS COM ENTREGAS (303)</v>
      </c>
      <c r="S109">
        <v>2897</v>
      </c>
      <c r="T109">
        <v>2444</v>
      </c>
      <c r="U109" t="s">
        <v>21</v>
      </c>
    </row>
    <row r="110" spans="1:21">
      <c r="A110" t="str">
        <f t="shared" si="42"/>
        <v>05/11/2025</v>
      </c>
      <c r="B110" t="str">
        <f t="shared" si="43"/>
        <v>ENTRADA</v>
      </c>
      <c r="C110" t="str">
        <f t="shared" si="44"/>
        <v>NFSE</v>
      </c>
      <c r="D110" t="str">
        <f>"3758"</f>
        <v>3758</v>
      </c>
      <c r="E110" t="str">
        <f t="shared" si="28"/>
        <v>COM</v>
      </c>
      <c r="F110" t="str">
        <f>"DELTA LOJA 2 (10123)"</f>
        <v>DELTA LOJA 2 (10123)</v>
      </c>
      <c r="G110" t="str">
        <f>"Serv.Prest. 27/10/2025 a 02/11/2025 - RPS: 1521 - NFSe: 3758"</f>
        <v>Serv.Prest. 27/10/2025 a 02/11/2025 - RPS: 1521 - NFSe: 3758</v>
      </c>
      <c r="H110" t="str">
        <f t="shared" si="45"/>
        <v>05/11/2025</v>
      </c>
      <c r="I110" t="str">
        <f>("04/11/2025")</f>
        <v>04/11/2025</v>
      </c>
      <c r="J110" t="str">
        <f t="shared" si="47"/>
        <v>05/11/2025</v>
      </c>
      <c r="K110">
        <v>862.05</v>
      </c>
      <c r="L110">
        <v>862.05</v>
      </c>
      <c r="M110">
        <v>303</v>
      </c>
      <c r="N110" t="str">
        <f t="shared" si="48"/>
        <v>RECEITAS COM ENTREGAS</v>
      </c>
      <c r="O110">
        <v>862.05</v>
      </c>
      <c r="R110" t="str">
        <f t="shared" si="49"/>
        <v>RECEITAS COM ENTREGAS (303)</v>
      </c>
      <c r="S110">
        <v>2898</v>
      </c>
      <c r="T110">
        <v>2453</v>
      </c>
      <c r="U110" t="s">
        <v>21</v>
      </c>
    </row>
    <row r="111" spans="1:21">
      <c r="A111" t="str">
        <f t="shared" si="42"/>
        <v>05/11/2025</v>
      </c>
      <c r="B111" t="str">
        <f t="shared" si="43"/>
        <v>ENTRADA</v>
      </c>
      <c r="C111" t="str">
        <f t="shared" si="44"/>
        <v>NFSE</v>
      </c>
      <c r="D111" t="str">
        <f>"3758"</f>
        <v>3758</v>
      </c>
      <c r="E111" t="str">
        <f t="shared" si="28"/>
        <v>COM</v>
      </c>
      <c r="F111" t="str">
        <f>"DELTA LOJA 2 (10123)"</f>
        <v>DELTA LOJA 2 (10123)</v>
      </c>
      <c r="G111" t="str">
        <f>"Serv.Prest. 27/10/2025 a 02/11/2025 - RPS: 1521 - NFSe: 3758"</f>
        <v>Serv.Prest. 27/10/2025 a 02/11/2025 - RPS: 1521 - NFSe: 3758</v>
      </c>
      <c r="H111" t="str">
        <f t="shared" si="45"/>
        <v>05/11/2025</v>
      </c>
      <c r="I111" t="str">
        <f>("04/11/2025")</f>
        <v>04/11/2025</v>
      </c>
      <c r="J111" t="str">
        <f t="shared" si="47"/>
        <v>05/11/2025</v>
      </c>
      <c r="M111">
        <v>303</v>
      </c>
      <c r="N111" t="str">
        <f t="shared" si="48"/>
        <v>RECEITAS COM ENTREGAS</v>
      </c>
      <c r="P111">
        <v>862.05</v>
      </c>
      <c r="Q111" t="str">
        <f>"DELTA LOJA 2 (10123)"</f>
        <v>DELTA LOJA 2 (10123)</v>
      </c>
      <c r="R111" t="str">
        <f t="shared" si="49"/>
        <v>RECEITAS COM ENTREGAS (303)</v>
      </c>
      <c r="S111">
        <v>2898</v>
      </c>
      <c r="T111">
        <v>2453</v>
      </c>
      <c r="U111" t="s">
        <v>21</v>
      </c>
    </row>
    <row r="112" spans="1:21">
      <c r="A112" t="str">
        <f t="shared" si="42"/>
        <v>05/11/2025</v>
      </c>
      <c r="B112" t="str">
        <f t="shared" si="43"/>
        <v>ENTRADA</v>
      </c>
      <c r="C112" t="str">
        <f t="shared" si="44"/>
        <v>NFSE</v>
      </c>
      <c r="D112" t="str">
        <f>"3707"</f>
        <v>3707</v>
      </c>
      <c r="E112" t="str">
        <f t="shared" si="28"/>
        <v>COM</v>
      </c>
      <c r="F112" t="str">
        <f>"DROGALIDER 25 (10246)"</f>
        <v>DROGALIDER 25 (10246)</v>
      </c>
      <c r="G112" t="str">
        <f>"Serv.Prest. 20/10/2025 a 26/10/2025 - RPS: 1471 - NFSe: 3707"</f>
        <v>Serv.Prest. 20/10/2025 a 26/10/2025 - RPS: 1471 - NFSe: 3707</v>
      </c>
      <c r="H112" t="str">
        <f t="shared" ref="H112:H121" si="50">("04/11/2025")</f>
        <v>04/11/2025</v>
      </c>
      <c r="I112" t="str">
        <f t="shared" ref="I112:I121" si="51">("30/10/2025")</f>
        <v>30/10/2025</v>
      </c>
      <c r="J112" t="str">
        <f t="shared" si="47"/>
        <v>05/11/2025</v>
      </c>
      <c r="K112">
        <v>34.200000000000003</v>
      </c>
      <c r="L112">
        <v>34.200000000000003</v>
      </c>
      <c r="M112">
        <v>303</v>
      </c>
      <c r="N112" t="str">
        <f t="shared" si="48"/>
        <v>RECEITAS COM ENTREGAS</v>
      </c>
      <c r="O112">
        <v>34.200000000000003</v>
      </c>
      <c r="R112" t="str">
        <f t="shared" si="49"/>
        <v>RECEITAS COM ENTREGAS (303)</v>
      </c>
      <c r="S112">
        <v>2899</v>
      </c>
      <c r="T112">
        <v>2401</v>
      </c>
      <c r="U112" t="s">
        <v>21</v>
      </c>
    </row>
    <row r="113" spans="1:21">
      <c r="A113" t="str">
        <f t="shared" si="42"/>
        <v>05/11/2025</v>
      </c>
      <c r="B113" t="str">
        <f t="shared" si="43"/>
        <v>ENTRADA</v>
      </c>
      <c r="C113" t="str">
        <f t="shared" si="44"/>
        <v>NFSE</v>
      </c>
      <c r="D113" t="str">
        <f>"3707"</f>
        <v>3707</v>
      </c>
      <c r="E113" t="str">
        <f t="shared" si="28"/>
        <v>COM</v>
      </c>
      <c r="F113" t="str">
        <f>"DROGALIDER 25 (10246)"</f>
        <v>DROGALIDER 25 (10246)</v>
      </c>
      <c r="G113" t="str">
        <f>"Serv.Prest. 20/10/2025 a 26/10/2025 - RPS: 1471 - NFSe: 3707"</f>
        <v>Serv.Prest. 20/10/2025 a 26/10/2025 - RPS: 1471 - NFSe: 3707</v>
      </c>
      <c r="H113" t="str">
        <f t="shared" si="50"/>
        <v>04/11/2025</v>
      </c>
      <c r="I113" t="str">
        <f t="shared" si="51"/>
        <v>30/10/2025</v>
      </c>
      <c r="J113" t="str">
        <f t="shared" si="47"/>
        <v>05/11/2025</v>
      </c>
      <c r="M113">
        <v>303</v>
      </c>
      <c r="N113" t="str">
        <f t="shared" si="48"/>
        <v>RECEITAS COM ENTREGAS</v>
      </c>
      <c r="P113">
        <v>34.200000000000003</v>
      </c>
      <c r="Q113" t="str">
        <f>"DROGALIDER 25 (10246)"</f>
        <v>DROGALIDER 25 (10246)</v>
      </c>
      <c r="R113" t="str">
        <f t="shared" si="49"/>
        <v>RECEITAS COM ENTREGAS (303)</v>
      </c>
      <c r="S113">
        <v>2899</v>
      </c>
      <c r="T113">
        <v>2401</v>
      </c>
      <c r="U113" t="s">
        <v>21</v>
      </c>
    </row>
    <row r="114" spans="1:21">
      <c r="A114" t="str">
        <f t="shared" si="42"/>
        <v>05/11/2025</v>
      </c>
      <c r="B114" t="str">
        <f t="shared" si="43"/>
        <v>ENTRADA</v>
      </c>
      <c r="C114" t="str">
        <f t="shared" si="44"/>
        <v>NFSE</v>
      </c>
      <c r="D114" t="str">
        <f>"3708"</f>
        <v>3708</v>
      </c>
      <c r="E114" t="str">
        <f t="shared" si="28"/>
        <v>COM</v>
      </c>
      <c r="F114" t="str">
        <f>"DROGALIDER 46 (10248)"</f>
        <v>DROGALIDER 46 (10248)</v>
      </c>
      <c r="G114" t="str">
        <f>"Serv.Prest. 20/10/2025 a 26/10/2025 - RPS: 1472 - NFSe: 3708"</f>
        <v>Serv.Prest. 20/10/2025 a 26/10/2025 - RPS: 1472 - NFSe: 3708</v>
      </c>
      <c r="H114" t="str">
        <f t="shared" si="50"/>
        <v>04/11/2025</v>
      </c>
      <c r="I114" t="str">
        <f t="shared" si="51"/>
        <v>30/10/2025</v>
      </c>
      <c r="J114" t="str">
        <f t="shared" si="47"/>
        <v>05/11/2025</v>
      </c>
      <c r="K114">
        <v>34.200000000000003</v>
      </c>
      <c r="L114">
        <v>34.200000000000003</v>
      </c>
      <c r="M114">
        <v>303</v>
      </c>
      <c r="N114" t="str">
        <f t="shared" si="48"/>
        <v>RECEITAS COM ENTREGAS</v>
      </c>
      <c r="O114">
        <v>34.200000000000003</v>
      </c>
      <c r="R114" t="str">
        <f t="shared" si="49"/>
        <v>RECEITAS COM ENTREGAS (303)</v>
      </c>
      <c r="S114">
        <v>2900</v>
      </c>
      <c r="T114">
        <v>2402</v>
      </c>
      <c r="U114" t="s">
        <v>21</v>
      </c>
    </row>
    <row r="115" spans="1:21">
      <c r="A115" t="str">
        <f t="shared" si="42"/>
        <v>05/11/2025</v>
      </c>
      <c r="B115" t="str">
        <f t="shared" si="43"/>
        <v>ENTRADA</v>
      </c>
      <c r="C115" t="str">
        <f t="shared" si="44"/>
        <v>NFSE</v>
      </c>
      <c r="D115" t="str">
        <f>"3708"</f>
        <v>3708</v>
      </c>
      <c r="E115" t="str">
        <f t="shared" si="28"/>
        <v>COM</v>
      </c>
      <c r="F115" t="str">
        <f>"DROGALIDER 46 (10248)"</f>
        <v>DROGALIDER 46 (10248)</v>
      </c>
      <c r="G115" t="str">
        <f>"Serv.Prest. 20/10/2025 a 26/10/2025 - RPS: 1472 - NFSe: 3708"</f>
        <v>Serv.Prest. 20/10/2025 a 26/10/2025 - RPS: 1472 - NFSe: 3708</v>
      </c>
      <c r="H115" t="str">
        <f t="shared" si="50"/>
        <v>04/11/2025</v>
      </c>
      <c r="I115" t="str">
        <f t="shared" si="51"/>
        <v>30/10/2025</v>
      </c>
      <c r="J115" t="str">
        <f t="shared" si="47"/>
        <v>05/11/2025</v>
      </c>
      <c r="M115">
        <v>303</v>
      </c>
      <c r="N115" t="str">
        <f t="shared" si="48"/>
        <v>RECEITAS COM ENTREGAS</v>
      </c>
      <c r="P115">
        <v>34.200000000000003</v>
      </c>
      <c r="Q115" t="str">
        <f>"DROGALIDER 46 (10248)"</f>
        <v>DROGALIDER 46 (10248)</v>
      </c>
      <c r="R115" t="str">
        <f t="shared" si="49"/>
        <v>RECEITAS COM ENTREGAS (303)</v>
      </c>
      <c r="S115">
        <v>2900</v>
      </c>
      <c r="T115">
        <v>2402</v>
      </c>
      <c r="U115" t="s">
        <v>21</v>
      </c>
    </row>
    <row r="116" spans="1:21">
      <c r="A116" t="str">
        <f t="shared" si="42"/>
        <v>05/11/2025</v>
      </c>
      <c r="B116" t="str">
        <f t="shared" si="43"/>
        <v>ENTRADA</v>
      </c>
      <c r="C116" t="str">
        <f t="shared" si="44"/>
        <v>NFSE</v>
      </c>
      <c r="D116" t="str">
        <f>"3709"</f>
        <v>3709</v>
      </c>
      <c r="E116" t="str">
        <f t="shared" si="28"/>
        <v>COM</v>
      </c>
      <c r="F116" t="str">
        <f>"DROGALIDER 58 (10213)"</f>
        <v>DROGALIDER 58 (10213)</v>
      </c>
      <c r="G116" t="str">
        <f>"Serv.Prest. 20/10/2025 a 26/10/2025 - RPS: 1473 - NFSe: 3709"</f>
        <v>Serv.Prest. 20/10/2025 a 26/10/2025 - RPS: 1473 - NFSe: 3709</v>
      </c>
      <c r="H116" t="str">
        <f t="shared" si="50"/>
        <v>04/11/2025</v>
      </c>
      <c r="I116" t="str">
        <f t="shared" si="51"/>
        <v>30/10/2025</v>
      </c>
      <c r="J116" t="str">
        <f t="shared" si="47"/>
        <v>05/11/2025</v>
      </c>
      <c r="K116">
        <v>34.200000000000003</v>
      </c>
      <c r="L116">
        <v>34.200000000000003</v>
      </c>
      <c r="M116">
        <v>303</v>
      </c>
      <c r="N116" t="str">
        <f t="shared" si="48"/>
        <v>RECEITAS COM ENTREGAS</v>
      </c>
      <c r="O116">
        <v>34.200000000000003</v>
      </c>
      <c r="R116" t="str">
        <f t="shared" si="49"/>
        <v>RECEITAS COM ENTREGAS (303)</v>
      </c>
      <c r="S116">
        <v>2901</v>
      </c>
      <c r="T116">
        <v>2403</v>
      </c>
      <c r="U116" t="s">
        <v>21</v>
      </c>
    </row>
    <row r="117" spans="1:21">
      <c r="A117" t="str">
        <f t="shared" si="42"/>
        <v>05/11/2025</v>
      </c>
      <c r="B117" t="str">
        <f t="shared" si="43"/>
        <v>ENTRADA</v>
      </c>
      <c r="C117" t="str">
        <f t="shared" si="44"/>
        <v>NFSE</v>
      </c>
      <c r="D117" t="str">
        <f>"3709"</f>
        <v>3709</v>
      </c>
      <c r="E117" t="str">
        <f t="shared" si="28"/>
        <v>COM</v>
      </c>
      <c r="F117" t="str">
        <f>"DROGALIDER 58 (10213)"</f>
        <v>DROGALIDER 58 (10213)</v>
      </c>
      <c r="G117" t="str">
        <f>"Serv.Prest. 20/10/2025 a 26/10/2025 - RPS: 1473 - NFSe: 3709"</f>
        <v>Serv.Prest. 20/10/2025 a 26/10/2025 - RPS: 1473 - NFSe: 3709</v>
      </c>
      <c r="H117" t="str">
        <f t="shared" si="50"/>
        <v>04/11/2025</v>
      </c>
      <c r="I117" t="str">
        <f t="shared" si="51"/>
        <v>30/10/2025</v>
      </c>
      <c r="J117" t="str">
        <f t="shared" si="47"/>
        <v>05/11/2025</v>
      </c>
      <c r="M117">
        <v>303</v>
      </c>
      <c r="N117" t="str">
        <f t="shared" si="48"/>
        <v>RECEITAS COM ENTREGAS</v>
      </c>
      <c r="P117">
        <v>34.200000000000003</v>
      </c>
      <c r="Q117" t="str">
        <f>"DROGALIDER 58 (10213)"</f>
        <v>DROGALIDER 58 (10213)</v>
      </c>
      <c r="R117" t="str">
        <f t="shared" si="49"/>
        <v>RECEITAS COM ENTREGAS (303)</v>
      </c>
      <c r="S117">
        <v>2901</v>
      </c>
      <c r="T117">
        <v>2403</v>
      </c>
      <c r="U117" t="s">
        <v>21</v>
      </c>
    </row>
    <row r="118" spans="1:21">
      <c r="A118" t="str">
        <f t="shared" si="42"/>
        <v>05/11/2025</v>
      </c>
      <c r="B118" t="str">
        <f t="shared" si="43"/>
        <v>ENTRADA</v>
      </c>
      <c r="C118" t="str">
        <f t="shared" si="44"/>
        <v>NFSE</v>
      </c>
      <c r="D118" t="str">
        <f>"3710"</f>
        <v>3710</v>
      </c>
      <c r="E118" t="str">
        <f t="shared" si="28"/>
        <v>COM</v>
      </c>
      <c r="F118" t="str">
        <f>"DROGALIDER 64 (10250)"</f>
        <v>DROGALIDER 64 (10250)</v>
      </c>
      <c r="G118" t="str">
        <f>"Serv.Prest. 20/10/2025 a 26/10/2025 - RPS: 1474 - NFSe: 3710"</f>
        <v>Serv.Prest. 20/10/2025 a 26/10/2025 - RPS: 1474 - NFSe: 3710</v>
      </c>
      <c r="H118" t="str">
        <f t="shared" si="50"/>
        <v>04/11/2025</v>
      </c>
      <c r="I118" t="str">
        <f t="shared" si="51"/>
        <v>30/10/2025</v>
      </c>
      <c r="J118" t="str">
        <f t="shared" si="47"/>
        <v>05/11/2025</v>
      </c>
      <c r="K118">
        <v>34.200000000000003</v>
      </c>
      <c r="L118">
        <v>34.200000000000003</v>
      </c>
      <c r="M118">
        <v>303</v>
      </c>
      <c r="N118" t="str">
        <f t="shared" si="48"/>
        <v>RECEITAS COM ENTREGAS</v>
      </c>
      <c r="O118">
        <v>34.200000000000003</v>
      </c>
      <c r="R118" t="str">
        <f t="shared" si="49"/>
        <v>RECEITAS COM ENTREGAS (303)</v>
      </c>
      <c r="S118">
        <v>2902</v>
      </c>
      <c r="T118">
        <v>2404</v>
      </c>
      <c r="U118" t="s">
        <v>21</v>
      </c>
    </row>
    <row r="119" spans="1:21">
      <c r="A119" t="str">
        <f t="shared" si="42"/>
        <v>05/11/2025</v>
      </c>
      <c r="B119" t="str">
        <f t="shared" si="43"/>
        <v>ENTRADA</v>
      </c>
      <c r="C119" t="str">
        <f t="shared" si="44"/>
        <v>NFSE</v>
      </c>
      <c r="D119" t="str">
        <f>"3710"</f>
        <v>3710</v>
      </c>
      <c r="E119" t="str">
        <f t="shared" si="28"/>
        <v>COM</v>
      </c>
      <c r="F119" t="str">
        <f>"DROGALIDER 64 (10250)"</f>
        <v>DROGALIDER 64 (10250)</v>
      </c>
      <c r="G119" t="str">
        <f>"Serv.Prest. 20/10/2025 a 26/10/2025 - RPS: 1474 - NFSe: 3710"</f>
        <v>Serv.Prest. 20/10/2025 a 26/10/2025 - RPS: 1474 - NFSe: 3710</v>
      </c>
      <c r="H119" t="str">
        <f t="shared" si="50"/>
        <v>04/11/2025</v>
      </c>
      <c r="I119" t="str">
        <f t="shared" si="51"/>
        <v>30/10/2025</v>
      </c>
      <c r="J119" t="str">
        <f t="shared" si="47"/>
        <v>05/11/2025</v>
      </c>
      <c r="M119">
        <v>303</v>
      </c>
      <c r="N119" t="str">
        <f t="shared" si="48"/>
        <v>RECEITAS COM ENTREGAS</v>
      </c>
      <c r="P119">
        <v>34.200000000000003</v>
      </c>
      <c r="Q119" t="str">
        <f>"DROGALIDER 64 (10250)"</f>
        <v>DROGALIDER 64 (10250)</v>
      </c>
      <c r="R119" t="str">
        <f t="shared" si="49"/>
        <v>RECEITAS COM ENTREGAS (303)</v>
      </c>
      <c r="S119">
        <v>2902</v>
      </c>
      <c r="T119">
        <v>2404</v>
      </c>
      <c r="U119" t="s">
        <v>21</v>
      </c>
    </row>
    <row r="120" spans="1:21">
      <c r="A120" t="str">
        <f t="shared" si="42"/>
        <v>05/11/2025</v>
      </c>
      <c r="B120" t="str">
        <f t="shared" si="43"/>
        <v>ENTRADA</v>
      </c>
      <c r="C120" t="str">
        <f t="shared" si="44"/>
        <v>NFSE</v>
      </c>
      <c r="D120" t="str">
        <f>"3711"</f>
        <v>3711</v>
      </c>
      <c r="E120" t="str">
        <f t="shared" si="28"/>
        <v>COM</v>
      </c>
      <c r="F120" t="str">
        <f>"DROGALIDER 66 (10251)"</f>
        <v>DROGALIDER 66 (10251)</v>
      </c>
      <c r="G120" t="str">
        <f>"Serv.Prest. 20/10/2025 a 26/10/2025 - RPS: 1475 - NFSe: 3711"</f>
        <v>Serv.Prest. 20/10/2025 a 26/10/2025 - RPS: 1475 - NFSe: 3711</v>
      </c>
      <c r="H120" t="str">
        <f t="shared" si="50"/>
        <v>04/11/2025</v>
      </c>
      <c r="I120" t="str">
        <f t="shared" si="51"/>
        <v>30/10/2025</v>
      </c>
      <c r="J120" t="str">
        <f t="shared" si="47"/>
        <v>05/11/2025</v>
      </c>
      <c r="K120">
        <v>34.6</v>
      </c>
      <c r="L120">
        <v>34.6</v>
      </c>
      <c r="M120">
        <v>303</v>
      </c>
      <c r="N120" t="str">
        <f t="shared" si="48"/>
        <v>RECEITAS COM ENTREGAS</v>
      </c>
      <c r="O120">
        <v>34.6</v>
      </c>
      <c r="R120" t="str">
        <f t="shared" si="49"/>
        <v>RECEITAS COM ENTREGAS (303)</v>
      </c>
      <c r="S120">
        <v>2903</v>
      </c>
      <c r="T120">
        <v>2405</v>
      </c>
      <c r="U120" t="s">
        <v>21</v>
      </c>
    </row>
    <row r="121" spans="1:21">
      <c r="A121" t="str">
        <f t="shared" si="42"/>
        <v>05/11/2025</v>
      </c>
      <c r="B121" t="str">
        <f t="shared" si="43"/>
        <v>ENTRADA</v>
      </c>
      <c r="C121" t="str">
        <f t="shared" si="44"/>
        <v>NFSE</v>
      </c>
      <c r="D121" t="str">
        <f>"3711"</f>
        <v>3711</v>
      </c>
      <c r="E121" t="str">
        <f t="shared" si="28"/>
        <v>COM</v>
      </c>
      <c r="F121" t="str">
        <f>"DROGALIDER 66 (10251)"</f>
        <v>DROGALIDER 66 (10251)</v>
      </c>
      <c r="G121" t="str">
        <f>"Serv.Prest. 20/10/2025 a 26/10/2025 - RPS: 1475 - NFSe: 3711"</f>
        <v>Serv.Prest. 20/10/2025 a 26/10/2025 - RPS: 1475 - NFSe: 3711</v>
      </c>
      <c r="H121" t="str">
        <f t="shared" si="50"/>
        <v>04/11/2025</v>
      </c>
      <c r="I121" t="str">
        <f t="shared" si="51"/>
        <v>30/10/2025</v>
      </c>
      <c r="J121" t="str">
        <f t="shared" si="47"/>
        <v>05/11/2025</v>
      </c>
      <c r="M121">
        <v>303</v>
      </c>
      <c r="N121" t="str">
        <f t="shared" si="48"/>
        <v>RECEITAS COM ENTREGAS</v>
      </c>
      <c r="P121">
        <v>34.6</v>
      </c>
      <c r="Q121" t="str">
        <f>"DROGALIDER 66 (10251)"</f>
        <v>DROGALIDER 66 (10251)</v>
      </c>
      <c r="R121" t="str">
        <f t="shared" si="49"/>
        <v>RECEITAS COM ENTREGAS (303)</v>
      </c>
      <c r="S121">
        <v>2903</v>
      </c>
      <c r="T121">
        <v>2405</v>
      </c>
      <c r="U121" t="s">
        <v>21</v>
      </c>
    </row>
    <row r="122" spans="1:21">
      <c r="A122" t="str">
        <f t="shared" si="42"/>
        <v>05/11/2025</v>
      </c>
      <c r="B122" t="str">
        <f t="shared" ref="B122:B153" si="52">"SAÍDA"</f>
        <v>SAÍDA</v>
      </c>
      <c r="C122" t="str">
        <f>"PIX"</f>
        <v>PIX</v>
      </c>
      <c r="D122" t="str">
        <f>"05112025"</f>
        <v>05112025</v>
      </c>
      <c r="E122" t="str">
        <f t="shared" si="28"/>
        <v>COM</v>
      </c>
      <c r="F122" t="str">
        <f>"LILIANE DE FATIMA REZENDE JUSTINO (20013)"</f>
        <v>LILIANE DE FATIMA REZENDE JUSTINO (20013)</v>
      </c>
      <c r="G122" t="str">
        <f>"DISTRIBUIÇÃO DE LUCROS "</f>
        <v xml:space="preserve">DISTRIBUIÇÃO DE LUCROS </v>
      </c>
      <c r="H122" t="str">
        <f t="shared" ref="H122:I141" si="53">("05/11/2025")</f>
        <v>05/11/2025</v>
      </c>
      <c r="I122" t="str">
        <f t="shared" si="53"/>
        <v>05/11/2025</v>
      </c>
      <c r="J122" t="str">
        <f t="shared" si="47"/>
        <v>05/11/2025</v>
      </c>
      <c r="K122">
        <v>11666</v>
      </c>
      <c r="L122">
        <v>11666</v>
      </c>
      <c r="M122">
        <v>125</v>
      </c>
      <c r="N122" t="str">
        <f>"DISTRIBUIÇÃO DE LUCRO"</f>
        <v>DISTRIBUIÇÃO DE LUCRO</v>
      </c>
      <c r="O122">
        <v>11666</v>
      </c>
      <c r="R122" t="str">
        <f t="shared" ref="R122:R153" si="54">"BANCO CORA (102)"</f>
        <v>BANCO CORA (102)</v>
      </c>
      <c r="S122">
        <v>3012</v>
      </c>
      <c r="T122">
        <v>2527</v>
      </c>
      <c r="U122" t="s">
        <v>21</v>
      </c>
    </row>
    <row r="123" spans="1:21">
      <c r="A123" t="str">
        <f t="shared" si="42"/>
        <v>05/11/2025</v>
      </c>
      <c r="B123" t="str">
        <f t="shared" si="52"/>
        <v>SAÍDA</v>
      </c>
      <c r="C123" t="str">
        <f>"PIX"</f>
        <v>PIX</v>
      </c>
      <c r="D123" t="str">
        <f>"05112025"</f>
        <v>05112025</v>
      </c>
      <c r="E123" t="str">
        <f t="shared" si="28"/>
        <v>COM</v>
      </c>
      <c r="F123" t="str">
        <f>"LILIANE DE FATIMA REZENDE JUSTINO (20013)"</f>
        <v>LILIANE DE FATIMA REZENDE JUSTINO (20013)</v>
      </c>
      <c r="G123" t="str">
        <f>"DISTRIBUIÇÃO DE LUCROS "</f>
        <v xml:space="preserve">DISTRIBUIÇÃO DE LUCROS </v>
      </c>
      <c r="H123" t="str">
        <f t="shared" si="53"/>
        <v>05/11/2025</v>
      </c>
      <c r="I123" t="str">
        <f t="shared" si="53"/>
        <v>05/11/2025</v>
      </c>
      <c r="J123" t="str">
        <f t="shared" si="47"/>
        <v>05/11/2025</v>
      </c>
      <c r="M123">
        <v>125</v>
      </c>
      <c r="N123" t="str">
        <f>"DISTRIBUIÇÃO DE LUCRO"</f>
        <v>DISTRIBUIÇÃO DE LUCRO</v>
      </c>
      <c r="P123">
        <v>11666</v>
      </c>
      <c r="Q123" t="str">
        <f>"LILIANE DE FATIMA REZENDE JUSTINO (20013)"</f>
        <v>LILIANE DE FATIMA REZENDE JUSTINO (20013)</v>
      </c>
      <c r="R123" t="str">
        <f t="shared" si="54"/>
        <v>BANCO CORA (102)</v>
      </c>
      <c r="S123">
        <v>3012</v>
      </c>
      <c r="T123">
        <v>2527</v>
      </c>
      <c r="U123" t="s">
        <v>21</v>
      </c>
    </row>
    <row r="124" spans="1:21">
      <c r="A124" t="str">
        <f t="shared" si="42"/>
        <v>05/11/2025</v>
      </c>
      <c r="B124" t="str">
        <f t="shared" si="52"/>
        <v>SAÍDA</v>
      </c>
      <c r="C124" t="str">
        <f>"PIX"</f>
        <v>PIX</v>
      </c>
      <c r="D124" t="str">
        <f>"05112025"</f>
        <v>05112025</v>
      </c>
      <c r="E124" t="str">
        <f t="shared" si="28"/>
        <v>COM</v>
      </c>
      <c r="F124" t="str">
        <f>"MARCELO REZENDE ARANTES (20014)"</f>
        <v>MARCELO REZENDE ARANTES (20014)</v>
      </c>
      <c r="G124" t="str">
        <f>"DISTRIBUIÇÃO DE LUCROS"</f>
        <v>DISTRIBUIÇÃO DE LUCROS</v>
      </c>
      <c r="H124" t="str">
        <f t="shared" si="53"/>
        <v>05/11/2025</v>
      </c>
      <c r="I124" t="str">
        <f t="shared" si="53"/>
        <v>05/11/2025</v>
      </c>
      <c r="J124" t="str">
        <f t="shared" si="47"/>
        <v>05/11/2025</v>
      </c>
      <c r="K124">
        <v>5000</v>
      </c>
      <c r="L124">
        <v>5000</v>
      </c>
      <c r="M124">
        <v>125</v>
      </c>
      <c r="N124" t="str">
        <f>"DISTRIBUIÇÃO DE LUCRO"</f>
        <v>DISTRIBUIÇÃO DE LUCRO</v>
      </c>
      <c r="O124">
        <v>5000</v>
      </c>
      <c r="R124" t="str">
        <f t="shared" si="54"/>
        <v>BANCO CORA (102)</v>
      </c>
      <c r="S124">
        <v>3013</v>
      </c>
      <c r="T124">
        <v>2528</v>
      </c>
      <c r="U124" t="s">
        <v>21</v>
      </c>
    </row>
    <row r="125" spans="1:21">
      <c r="A125" t="str">
        <f t="shared" si="42"/>
        <v>05/11/2025</v>
      </c>
      <c r="B125" t="str">
        <f t="shared" si="52"/>
        <v>SAÍDA</v>
      </c>
      <c r="C125" t="str">
        <f>"PIX"</f>
        <v>PIX</v>
      </c>
      <c r="D125" t="str">
        <f>"05112025"</f>
        <v>05112025</v>
      </c>
      <c r="E125" t="str">
        <f t="shared" si="28"/>
        <v>COM</v>
      </c>
      <c r="F125" t="str">
        <f>"MARCELO REZENDE ARANTES (20014)"</f>
        <v>MARCELO REZENDE ARANTES (20014)</v>
      </c>
      <c r="G125" t="str">
        <f>"DISTRIBUIÇÃO DE LUCROS"</f>
        <v>DISTRIBUIÇÃO DE LUCROS</v>
      </c>
      <c r="H125" t="str">
        <f t="shared" si="53"/>
        <v>05/11/2025</v>
      </c>
      <c r="I125" t="str">
        <f t="shared" si="53"/>
        <v>05/11/2025</v>
      </c>
      <c r="J125" t="str">
        <f t="shared" si="47"/>
        <v>05/11/2025</v>
      </c>
      <c r="M125">
        <v>125</v>
      </c>
      <c r="N125" t="str">
        <f>"DISTRIBUIÇÃO DE LUCRO"</f>
        <v>DISTRIBUIÇÃO DE LUCRO</v>
      </c>
      <c r="P125">
        <v>5000</v>
      </c>
      <c r="Q125" t="str">
        <f>"MARCELO REZENDE ARANTES (20014)"</f>
        <v>MARCELO REZENDE ARANTES (20014)</v>
      </c>
      <c r="R125" t="str">
        <f t="shared" si="54"/>
        <v>BANCO CORA (102)</v>
      </c>
      <c r="S125">
        <v>3013</v>
      </c>
      <c r="T125">
        <v>2528</v>
      </c>
      <c r="U125" t="s">
        <v>21</v>
      </c>
    </row>
    <row r="126" spans="1:21">
      <c r="A126" t="str">
        <f t="shared" si="42"/>
        <v>05/11/2025</v>
      </c>
      <c r="B126" t="str">
        <f t="shared" si="52"/>
        <v>SAÍDA</v>
      </c>
      <c r="C126" t="str">
        <f t="shared" ref="C126:C157" si="55">"BOLETO"</f>
        <v>BOLETO</v>
      </c>
      <c r="D126" t="str">
        <f t="shared" ref="D126:D157" si="56">"01112025"</f>
        <v>01112025</v>
      </c>
      <c r="E126" t="str">
        <f t="shared" ref="E126:E189" si="57">"COM"</f>
        <v>COM</v>
      </c>
      <c r="F126" t="str">
        <f t="shared" ref="F126:F157" si="58">"CORA SOCIEDADE DE CREDITO, FINANCIAMENTO E INVESTIMENTO (20035)"</f>
        <v>CORA SOCIEDADE DE CREDITO, FINANCIAMENTO E INVESTIMENTO (20035)</v>
      </c>
      <c r="G126" t="str">
        <f t="shared" ref="G126:G157" si="59">"TAXA BOLETO CORA "</f>
        <v xml:space="preserve">TAXA BOLETO CORA </v>
      </c>
      <c r="H126" t="str">
        <f t="shared" si="53"/>
        <v>05/11/2025</v>
      </c>
      <c r="I126" t="str">
        <f t="shared" si="53"/>
        <v>05/11/2025</v>
      </c>
      <c r="J126" t="str">
        <f t="shared" si="47"/>
        <v>05/11/2025</v>
      </c>
      <c r="K126">
        <v>1.7</v>
      </c>
      <c r="L126">
        <v>1.7</v>
      </c>
      <c r="M126">
        <v>401</v>
      </c>
      <c r="N126" t="str">
        <f t="shared" ref="N126:N157" si="60">"IOF/JUROS/DESP.FINANCEIRA"</f>
        <v>IOF/JUROS/DESP.FINANCEIRA</v>
      </c>
      <c r="O126">
        <v>1.7</v>
      </c>
      <c r="R126" t="str">
        <f t="shared" si="54"/>
        <v>BANCO CORA (102)</v>
      </c>
      <c r="S126">
        <v>3015</v>
      </c>
      <c r="T126">
        <v>2530</v>
      </c>
      <c r="U126" t="s">
        <v>21</v>
      </c>
    </row>
    <row r="127" spans="1:21">
      <c r="A127" t="str">
        <f t="shared" si="42"/>
        <v>05/11/2025</v>
      </c>
      <c r="B127" t="str">
        <f t="shared" si="52"/>
        <v>SAÍDA</v>
      </c>
      <c r="C127" t="str">
        <f t="shared" si="55"/>
        <v>BOLETO</v>
      </c>
      <c r="D127" t="str">
        <f t="shared" si="56"/>
        <v>01112025</v>
      </c>
      <c r="E127" t="str">
        <f t="shared" si="57"/>
        <v>COM</v>
      </c>
      <c r="F127" t="str">
        <f t="shared" si="58"/>
        <v>CORA SOCIEDADE DE CREDITO, FINANCIAMENTO E INVESTIMENTO (20035)</v>
      </c>
      <c r="G127" t="str">
        <f t="shared" si="59"/>
        <v xml:space="preserve">TAXA BOLETO CORA </v>
      </c>
      <c r="H127" t="str">
        <f t="shared" si="53"/>
        <v>05/11/2025</v>
      </c>
      <c r="I127" t="str">
        <f t="shared" si="53"/>
        <v>05/11/2025</v>
      </c>
      <c r="J127" t="str">
        <f t="shared" si="47"/>
        <v>05/11/2025</v>
      </c>
      <c r="M127">
        <v>401</v>
      </c>
      <c r="N127" t="str">
        <f t="shared" si="60"/>
        <v>IOF/JUROS/DESP.FINANCEIRA</v>
      </c>
      <c r="P127">
        <v>1.7</v>
      </c>
      <c r="Q127" t="str">
        <f>"CORA SOCIEDADE DE CREDITO, FINANCIAMENTO E INVESTIMENTO (20035)"</f>
        <v>CORA SOCIEDADE DE CREDITO, FINANCIAMENTO E INVESTIMENTO (20035)</v>
      </c>
      <c r="R127" t="str">
        <f t="shared" si="54"/>
        <v>BANCO CORA (102)</v>
      </c>
      <c r="S127">
        <v>3015</v>
      </c>
      <c r="T127">
        <v>2530</v>
      </c>
      <c r="U127" t="s">
        <v>21</v>
      </c>
    </row>
    <row r="128" spans="1:21">
      <c r="A128" t="str">
        <f t="shared" si="42"/>
        <v>05/11/2025</v>
      </c>
      <c r="B128" t="str">
        <f t="shared" si="52"/>
        <v>SAÍDA</v>
      </c>
      <c r="C128" t="str">
        <f t="shared" si="55"/>
        <v>BOLETO</v>
      </c>
      <c r="D128" t="str">
        <f t="shared" si="56"/>
        <v>01112025</v>
      </c>
      <c r="E128" t="str">
        <f t="shared" si="57"/>
        <v>COM</v>
      </c>
      <c r="F128" t="str">
        <f t="shared" si="58"/>
        <v>CORA SOCIEDADE DE CREDITO, FINANCIAMENTO E INVESTIMENTO (20035)</v>
      </c>
      <c r="G128" t="str">
        <f t="shared" si="59"/>
        <v xml:space="preserve">TAXA BOLETO CORA </v>
      </c>
      <c r="H128" t="str">
        <f t="shared" si="53"/>
        <v>05/11/2025</v>
      </c>
      <c r="I128" t="str">
        <f t="shared" si="53"/>
        <v>05/11/2025</v>
      </c>
      <c r="J128" t="str">
        <f t="shared" si="47"/>
        <v>05/11/2025</v>
      </c>
      <c r="K128">
        <v>1.7</v>
      </c>
      <c r="L128">
        <v>1.7</v>
      </c>
      <c r="M128">
        <v>401</v>
      </c>
      <c r="N128" t="str">
        <f t="shared" si="60"/>
        <v>IOF/JUROS/DESP.FINANCEIRA</v>
      </c>
      <c r="O128">
        <v>1.7</v>
      </c>
      <c r="R128" t="str">
        <f t="shared" si="54"/>
        <v>BANCO CORA (102)</v>
      </c>
      <c r="S128">
        <v>3016</v>
      </c>
      <c r="T128">
        <v>2531</v>
      </c>
      <c r="U128" t="s">
        <v>21</v>
      </c>
    </row>
    <row r="129" spans="1:21">
      <c r="A129" t="str">
        <f t="shared" si="42"/>
        <v>05/11/2025</v>
      </c>
      <c r="B129" t="str">
        <f t="shared" si="52"/>
        <v>SAÍDA</v>
      </c>
      <c r="C129" t="str">
        <f t="shared" si="55"/>
        <v>BOLETO</v>
      </c>
      <c r="D129" t="str">
        <f t="shared" si="56"/>
        <v>01112025</v>
      </c>
      <c r="E129" t="str">
        <f t="shared" si="57"/>
        <v>COM</v>
      </c>
      <c r="F129" t="str">
        <f t="shared" si="58"/>
        <v>CORA SOCIEDADE DE CREDITO, FINANCIAMENTO E INVESTIMENTO (20035)</v>
      </c>
      <c r="G129" t="str">
        <f t="shared" si="59"/>
        <v xml:space="preserve">TAXA BOLETO CORA </v>
      </c>
      <c r="H129" t="str">
        <f t="shared" si="53"/>
        <v>05/11/2025</v>
      </c>
      <c r="I129" t="str">
        <f t="shared" si="53"/>
        <v>05/11/2025</v>
      </c>
      <c r="J129" t="str">
        <f t="shared" si="47"/>
        <v>05/11/2025</v>
      </c>
      <c r="M129">
        <v>401</v>
      </c>
      <c r="N129" t="str">
        <f t="shared" si="60"/>
        <v>IOF/JUROS/DESP.FINANCEIRA</v>
      </c>
      <c r="P129">
        <v>1.7</v>
      </c>
      <c r="Q129" t="str">
        <f>"CORA SOCIEDADE DE CREDITO, FINANCIAMENTO E INVESTIMENTO (20035)"</f>
        <v>CORA SOCIEDADE DE CREDITO, FINANCIAMENTO E INVESTIMENTO (20035)</v>
      </c>
      <c r="R129" t="str">
        <f t="shared" si="54"/>
        <v>BANCO CORA (102)</v>
      </c>
      <c r="S129">
        <v>3016</v>
      </c>
      <c r="T129">
        <v>2531</v>
      </c>
      <c r="U129" t="s">
        <v>21</v>
      </c>
    </row>
    <row r="130" spans="1:21">
      <c r="A130" t="str">
        <f t="shared" si="42"/>
        <v>05/11/2025</v>
      </c>
      <c r="B130" t="str">
        <f t="shared" si="52"/>
        <v>SAÍDA</v>
      </c>
      <c r="C130" t="str">
        <f t="shared" si="55"/>
        <v>BOLETO</v>
      </c>
      <c r="D130" t="str">
        <f t="shared" si="56"/>
        <v>01112025</v>
      </c>
      <c r="E130" t="str">
        <f t="shared" si="57"/>
        <v>COM</v>
      </c>
      <c r="F130" t="str">
        <f t="shared" si="58"/>
        <v>CORA SOCIEDADE DE CREDITO, FINANCIAMENTO E INVESTIMENTO (20035)</v>
      </c>
      <c r="G130" t="str">
        <f t="shared" si="59"/>
        <v xml:space="preserve">TAXA BOLETO CORA </v>
      </c>
      <c r="H130" t="str">
        <f t="shared" si="53"/>
        <v>05/11/2025</v>
      </c>
      <c r="I130" t="str">
        <f t="shared" si="53"/>
        <v>05/11/2025</v>
      </c>
      <c r="J130" t="str">
        <f t="shared" si="47"/>
        <v>05/11/2025</v>
      </c>
      <c r="K130">
        <v>1.7</v>
      </c>
      <c r="L130">
        <v>1.7</v>
      </c>
      <c r="M130">
        <v>401</v>
      </c>
      <c r="N130" t="str">
        <f t="shared" si="60"/>
        <v>IOF/JUROS/DESP.FINANCEIRA</v>
      </c>
      <c r="O130">
        <v>1.7</v>
      </c>
      <c r="R130" t="str">
        <f t="shared" si="54"/>
        <v>BANCO CORA (102)</v>
      </c>
      <c r="S130">
        <v>3017</v>
      </c>
      <c r="T130">
        <v>2532</v>
      </c>
      <c r="U130" t="s">
        <v>21</v>
      </c>
    </row>
    <row r="131" spans="1:21">
      <c r="A131" t="str">
        <f t="shared" si="42"/>
        <v>05/11/2025</v>
      </c>
      <c r="B131" t="str">
        <f t="shared" si="52"/>
        <v>SAÍDA</v>
      </c>
      <c r="C131" t="str">
        <f t="shared" si="55"/>
        <v>BOLETO</v>
      </c>
      <c r="D131" t="str">
        <f t="shared" si="56"/>
        <v>01112025</v>
      </c>
      <c r="E131" t="str">
        <f t="shared" si="57"/>
        <v>COM</v>
      </c>
      <c r="F131" t="str">
        <f t="shared" si="58"/>
        <v>CORA SOCIEDADE DE CREDITO, FINANCIAMENTO E INVESTIMENTO (20035)</v>
      </c>
      <c r="G131" t="str">
        <f t="shared" si="59"/>
        <v xml:space="preserve">TAXA BOLETO CORA </v>
      </c>
      <c r="H131" t="str">
        <f t="shared" si="53"/>
        <v>05/11/2025</v>
      </c>
      <c r="I131" t="str">
        <f t="shared" si="53"/>
        <v>05/11/2025</v>
      </c>
      <c r="J131" t="str">
        <f t="shared" si="47"/>
        <v>05/11/2025</v>
      </c>
      <c r="M131">
        <v>401</v>
      </c>
      <c r="N131" t="str">
        <f t="shared" si="60"/>
        <v>IOF/JUROS/DESP.FINANCEIRA</v>
      </c>
      <c r="P131">
        <v>1.7</v>
      </c>
      <c r="Q131" t="str">
        <f>"CORA SOCIEDADE DE CREDITO, FINANCIAMENTO E INVESTIMENTO (20035)"</f>
        <v>CORA SOCIEDADE DE CREDITO, FINANCIAMENTO E INVESTIMENTO (20035)</v>
      </c>
      <c r="R131" t="str">
        <f t="shared" si="54"/>
        <v>BANCO CORA (102)</v>
      </c>
      <c r="S131">
        <v>3017</v>
      </c>
      <c r="T131">
        <v>2532</v>
      </c>
      <c r="U131" t="s">
        <v>21</v>
      </c>
    </row>
    <row r="132" spans="1:21">
      <c r="A132" t="str">
        <f t="shared" si="42"/>
        <v>05/11/2025</v>
      </c>
      <c r="B132" t="str">
        <f t="shared" si="52"/>
        <v>SAÍDA</v>
      </c>
      <c r="C132" t="str">
        <f t="shared" si="55"/>
        <v>BOLETO</v>
      </c>
      <c r="D132" t="str">
        <f t="shared" si="56"/>
        <v>01112025</v>
      </c>
      <c r="E132" t="str">
        <f t="shared" si="57"/>
        <v>COM</v>
      </c>
      <c r="F132" t="str">
        <f t="shared" si="58"/>
        <v>CORA SOCIEDADE DE CREDITO, FINANCIAMENTO E INVESTIMENTO (20035)</v>
      </c>
      <c r="G132" t="str">
        <f t="shared" si="59"/>
        <v xml:space="preserve">TAXA BOLETO CORA </v>
      </c>
      <c r="H132" t="str">
        <f t="shared" si="53"/>
        <v>05/11/2025</v>
      </c>
      <c r="I132" t="str">
        <f t="shared" si="53"/>
        <v>05/11/2025</v>
      </c>
      <c r="J132" t="str">
        <f t="shared" si="47"/>
        <v>05/11/2025</v>
      </c>
      <c r="K132">
        <v>1.7</v>
      </c>
      <c r="L132">
        <v>1.7</v>
      </c>
      <c r="M132">
        <v>401</v>
      </c>
      <c r="N132" t="str">
        <f t="shared" si="60"/>
        <v>IOF/JUROS/DESP.FINANCEIRA</v>
      </c>
      <c r="O132">
        <v>1.7</v>
      </c>
      <c r="R132" t="str">
        <f t="shared" si="54"/>
        <v>BANCO CORA (102)</v>
      </c>
      <c r="S132">
        <v>3018</v>
      </c>
      <c r="T132">
        <v>2533</v>
      </c>
      <c r="U132" t="s">
        <v>21</v>
      </c>
    </row>
    <row r="133" spans="1:21">
      <c r="A133" t="str">
        <f t="shared" si="42"/>
        <v>05/11/2025</v>
      </c>
      <c r="B133" t="str">
        <f t="shared" si="52"/>
        <v>SAÍDA</v>
      </c>
      <c r="C133" t="str">
        <f t="shared" si="55"/>
        <v>BOLETO</v>
      </c>
      <c r="D133" t="str">
        <f t="shared" si="56"/>
        <v>01112025</v>
      </c>
      <c r="E133" t="str">
        <f t="shared" si="57"/>
        <v>COM</v>
      </c>
      <c r="F133" t="str">
        <f t="shared" si="58"/>
        <v>CORA SOCIEDADE DE CREDITO, FINANCIAMENTO E INVESTIMENTO (20035)</v>
      </c>
      <c r="G133" t="str">
        <f t="shared" si="59"/>
        <v xml:space="preserve">TAXA BOLETO CORA </v>
      </c>
      <c r="H133" t="str">
        <f t="shared" si="53"/>
        <v>05/11/2025</v>
      </c>
      <c r="I133" t="str">
        <f t="shared" si="53"/>
        <v>05/11/2025</v>
      </c>
      <c r="J133" t="str">
        <f t="shared" si="47"/>
        <v>05/11/2025</v>
      </c>
      <c r="M133">
        <v>401</v>
      </c>
      <c r="N133" t="str">
        <f t="shared" si="60"/>
        <v>IOF/JUROS/DESP.FINANCEIRA</v>
      </c>
      <c r="P133">
        <v>1.7</v>
      </c>
      <c r="Q133" t="str">
        <f>"CORA SOCIEDADE DE CREDITO, FINANCIAMENTO E INVESTIMENTO (20035)"</f>
        <v>CORA SOCIEDADE DE CREDITO, FINANCIAMENTO E INVESTIMENTO (20035)</v>
      </c>
      <c r="R133" t="str">
        <f t="shared" si="54"/>
        <v>BANCO CORA (102)</v>
      </c>
      <c r="S133">
        <v>3018</v>
      </c>
      <c r="T133">
        <v>2533</v>
      </c>
      <c r="U133" t="s">
        <v>21</v>
      </c>
    </row>
    <row r="134" spans="1:21">
      <c r="A134" t="str">
        <f t="shared" ref="A134:A165" si="61">("05/11/2025")</f>
        <v>05/11/2025</v>
      </c>
      <c r="B134" t="str">
        <f t="shared" si="52"/>
        <v>SAÍDA</v>
      </c>
      <c r="C134" t="str">
        <f t="shared" si="55"/>
        <v>BOLETO</v>
      </c>
      <c r="D134" t="str">
        <f t="shared" si="56"/>
        <v>01112025</v>
      </c>
      <c r="E134" t="str">
        <f t="shared" si="57"/>
        <v>COM</v>
      </c>
      <c r="F134" t="str">
        <f t="shared" si="58"/>
        <v>CORA SOCIEDADE DE CREDITO, FINANCIAMENTO E INVESTIMENTO (20035)</v>
      </c>
      <c r="G134" t="str">
        <f t="shared" si="59"/>
        <v xml:space="preserve">TAXA BOLETO CORA </v>
      </c>
      <c r="H134" t="str">
        <f t="shared" si="53"/>
        <v>05/11/2025</v>
      </c>
      <c r="I134" t="str">
        <f t="shared" si="53"/>
        <v>05/11/2025</v>
      </c>
      <c r="J134" t="str">
        <f t="shared" ref="J134:J165" si="62">("05/11/2025")</f>
        <v>05/11/2025</v>
      </c>
      <c r="K134">
        <v>1.7</v>
      </c>
      <c r="L134">
        <v>1.7</v>
      </c>
      <c r="M134">
        <v>401</v>
      </c>
      <c r="N134" t="str">
        <f t="shared" si="60"/>
        <v>IOF/JUROS/DESP.FINANCEIRA</v>
      </c>
      <c r="O134">
        <v>1.7</v>
      </c>
      <c r="R134" t="str">
        <f t="shared" si="54"/>
        <v>BANCO CORA (102)</v>
      </c>
      <c r="S134">
        <v>3019</v>
      </c>
      <c r="T134">
        <v>2534</v>
      </c>
      <c r="U134" t="s">
        <v>21</v>
      </c>
    </row>
    <row r="135" spans="1:21">
      <c r="A135" t="str">
        <f t="shared" si="61"/>
        <v>05/11/2025</v>
      </c>
      <c r="B135" t="str">
        <f t="shared" si="52"/>
        <v>SAÍDA</v>
      </c>
      <c r="C135" t="str">
        <f t="shared" si="55"/>
        <v>BOLETO</v>
      </c>
      <c r="D135" t="str">
        <f t="shared" si="56"/>
        <v>01112025</v>
      </c>
      <c r="E135" t="str">
        <f t="shared" si="57"/>
        <v>COM</v>
      </c>
      <c r="F135" t="str">
        <f t="shared" si="58"/>
        <v>CORA SOCIEDADE DE CREDITO, FINANCIAMENTO E INVESTIMENTO (20035)</v>
      </c>
      <c r="G135" t="str">
        <f t="shared" si="59"/>
        <v xml:space="preserve">TAXA BOLETO CORA </v>
      </c>
      <c r="H135" t="str">
        <f t="shared" si="53"/>
        <v>05/11/2025</v>
      </c>
      <c r="I135" t="str">
        <f t="shared" si="53"/>
        <v>05/11/2025</v>
      </c>
      <c r="J135" t="str">
        <f t="shared" si="62"/>
        <v>05/11/2025</v>
      </c>
      <c r="M135">
        <v>401</v>
      </c>
      <c r="N135" t="str">
        <f t="shared" si="60"/>
        <v>IOF/JUROS/DESP.FINANCEIRA</v>
      </c>
      <c r="P135">
        <v>1.7</v>
      </c>
      <c r="Q135" t="str">
        <f>"CORA SOCIEDADE DE CREDITO, FINANCIAMENTO E INVESTIMENTO (20035)"</f>
        <v>CORA SOCIEDADE DE CREDITO, FINANCIAMENTO E INVESTIMENTO (20035)</v>
      </c>
      <c r="R135" t="str">
        <f t="shared" si="54"/>
        <v>BANCO CORA (102)</v>
      </c>
      <c r="S135">
        <v>3019</v>
      </c>
      <c r="T135">
        <v>2534</v>
      </c>
      <c r="U135" t="s">
        <v>21</v>
      </c>
    </row>
    <row r="136" spans="1:21">
      <c r="A136" t="str">
        <f t="shared" si="61"/>
        <v>05/11/2025</v>
      </c>
      <c r="B136" t="str">
        <f t="shared" si="52"/>
        <v>SAÍDA</v>
      </c>
      <c r="C136" t="str">
        <f t="shared" si="55"/>
        <v>BOLETO</v>
      </c>
      <c r="D136" t="str">
        <f t="shared" si="56"/>
        <v>01112025</v>
      </c>
      <c r="E136" t="str">
        <f t="shared" si="57"/>
        <v>COM</v>
      </c>
      <c r="F136" t="str">
        <f t="shared" si="58"/>
        <v>CORA SOCIEDADE DE CREDITO, FINANCIAMENTO E INVESTIMENTO (20035)</v>
      </c>
      <c r="G136" t="str">
        <f t="shared" si="59"/>
        <v xml:space="preserve">TAXA BOLETO CORA </v>
      </c>
      <c r="H136" t="str">
        <f t="shared" si="53"/>
        <v>05/11/2025</v>
      </c>
      <c r="I136" t="str">
        <f t="shared" si="53"/>
        <v>05/11/2025</v>
      </c>
      <c r="J136" t="str">
        <f t="shared" si="62"/>
        <v>05/11/2025</v>
      </c>
      <c r="K136">
        <v>1.7</v>
      </c>
      <c r="L136">
        <v>1.7</v>
      </c>
      <c r="M136">
        <v>401</v>
      </c>
      <c r="N136" t="str">
        <f t="shared" si="60"/>
        <v>IOF/JUROS/DESP.FINANCEIRA</v>
      </c>
      <c r="O136">
        <v>1.7</v>
      </c>
      <c r="R136" t="str">
        <f t="shared" si="54"/>
        <v>BANCO CORA (102)</v>
      </c>
      <c r="S136">
        <v>3020</v>
      </c>
      <c r="T136">
        <v>2535</v>
      </c>
      <c r="U136" t="s">
        <v>21</v>
      </c>
    </row>
    <row r="137" spans="1:21">
      <c r="A137" t="str">
        <f t="shared" si="61"/>
        <v>05/11/2025</v>
      </c>
      <c r="B137" t="str">
        <f t="shared" si="52"/>
        <v>SAÍDA</v>
      </c>
      <c r="C137" t="str">
        <f t="shared" si="55"/>
        <v>BOLETO</v>
      </c>
      <c r="D137" t="str">
        <f t="shared" si="56"/>
        <v>01112025</v>
      </c>
      <c r="E137" t="str">
        <f t="shared" si="57"/>
        <v>COM</v>
      </c>
      <c r="F137" t="str">
        <f t="shared" si="58"/>
        <v>CORA SOCIEDADE DE CREDITO, FINANCIAMENTO E INVESTIMENTO (20035)</v>
      </c>
      <c r="G137" t="str">
        <f t="shared" si="59"/>
        <v xml:space="preserve">TAXA BOLETO CORA </v>
      </c>
      <c r="H137" t="str">
        <f t="shared" si="53"/>
        <v>05/11/2025</v>
      </c>
      <c r="I137" t="str">
        <f t="shared" si="53"/>
        <v>05/11/2025</v>
      </c>
      <c r="J137" t="str">
        <f t="shared" si="62"/>
        <v>05/11/2025</v>
      </c>
      <c r="M137">
        <v>401</v>
      </c>
      <c r="N137" t="str">
        <f t="shared" si="60"/>
        <v>IOF/JUROS/DESP.FINANCEIRA</v>
      </c>
      <c r="P137">
        <v>1.7</v>
      </c>
      <c r="Q137" t="str">
        <f>"CORA SOCIEDADE DE CREDITO, FINANCIAMENTO E INVESTIMENTO (20035)"</f>
        <v>CORA SOCIEDADE DE CREDITO, FINANCIAMENTO E INVESTIMENTO (20035)</v>
      </c>
      <c r="R137" t="str">
        <f t="shared" si="54"/>
        <v>BANCO CORA (102)</v>
      </c>
      <c r="S137">
        <v>3020</v>
      </c>
      <c r="T137">
        <v>2535</v>
      </c>
      <c r="U137" t="s">
        <v>21</v>
      </c>
    </row>
    <row r="138" spans="1:21">
      <c r="A138" t="str">
        <f t="shared" si="61"/>
        <v>05/11/2025</v>
      </c>
      <c r="B138" t="str">
        <f t="shared" si="52"/>
        <v>SAÍDA</v>
      </c>
      <c r="C138" t="str">
        <f t="shared" si="55"/>
        <v>BOLETO</v>
      </c>
      <c r="D138" t="str">
        <f t="shared" si="56"/>
        <v>01112025</v>
      </c>
      <c r="E138" t="str">
        <f t="shared" si="57"/>
        <v>COM</v>
      </c>
      <c r="F138" t="str">
        <f t="shared" si="58"/>
        <v>CORA SOCIEDADE DE CREDITO, FINANCIAMENTO E INVESTIMENTO (20035)</v>
      </c>
      <c r="G138" t="str">
        <f t="shared" si="59"/>
        <v xml:space="preserve">TAXA BOLETO CORA </v>
      </c>
      <c r="H138" t="str">
        <f t="shared" si="53"/>
        <v>05/11/2025</v>
      </c>
      <c r="I138" t="str">
        <f t="shared" si="53"/>
        <v>05/11/2025</v>
      </c>
      <c r="J138" t="str">
        <f t="shared" si="62"/>
        <v>05/11/2025</v>
      </c>
      <c r="K138">
        <v>1.7</v>
      </c>
      <c r="L138">
        <v>1.7</v>
      </c>
      <c r="M138">
        <v>401</v>
      </c>
      <c r="N138" t="str">
        <f t="shared" si="60"/>
        <v>IOF/JUROS/DESP.FINANCEIRA</v>
      </c>
      <c r="O138">
        <v>1.7</v>
      </c>
      <c r="R138" t="str">
        <f t="shared" si="54"/>
        <v>BANCO CORA (102)</v>
      </c>
      <c r="S138">
        <v>3021</v>
      </c>
      <c r="T138">
        <v>2536</v>
      </c>
      <c r="U138" t="s">
        <v>21</v>
      </c>
    </row>
    <row r="139" spans="1:21">
      <c r="A139" t="str">
        <f t="shared" si="61"/>
        <v>05/11/2025</v>
      </c>
      <c r="B139" t="str">
        <f t="shared" si="52"/>
        <v>SAÍDA</v>
      </c>
      <c r="C139" t="str">
        <f t="shared" si="55"/>
        <v>BOLETO</v>
      </c>
      <c r="D139" t="str">
        <f t="shared" si="56"/>
        <v>01112025</v>
      </c>
      <c r="E139" t="str">
        <f t="shared" si="57"/>
        <v>COM</v>
      </c>
      <c r="F139" t="str">
        <f t="shared" si="58"/>
        <v>CORA SOCIEDADE DE CREDITO, FINANCIAMENTO E INVESTIMENTO (20035)</v>
      </c>
      <c r="G139" t="str">
        <f t="shared" si="59"/>
        <v xml:space="preserve">TAXA BOLETO CORA </v>
      </c>
      <c r="H139" t="str">
        <f t="shared" si="53"/>
        <v>05/11/2025</v>
      </c>
      <c r="I139" t="str">
        <f t="shared" si="53"/>
        <v>05/11/2025</v>
      </c>
      <c r="J139" t="str">
        <f t="shared" si="62"/>
        <v>05/11/2025</v>
      </c>
      <c r="M139">
        <v>401</v>
      </c>
      <c r="N139" t="str">
        <f t="shared" si="60"/>
        <v>IOF/JUROS/DESP.FINANCEIRA</v>
      </c>
      <c r="P139">
        <v>1.7</v>
      </c>
      <c r="Q139" t="str">
        <f>"CORA SOCIEDADE DE CREDITO, FINANCIAMENTO E INVESTIMENTO (20035)"</f>
        <v>CORA SOCIEDADE DE CREDITO, FINANCIAMENTO E INVESTIMENTO (20035)</v>
      </c>
      <c r="R139" t="str">
        <f t="shared" si="54"/>
        <v>BANCO CORA (102)</v>
      </c>
      <c r="S139">
        <v>3021</v>
      </c>
      <c r="T139">
        <v>2536</v>
      </c>
      <c r="U139" t="s">
        <v>21</v>
      </c>
    </row>
    <row r="140" spans="1:21">
      <c r="A140" t="str">
        <f t="shared" si="61"/>
        <v>05/11/2025</v>
      </c>
      <c r="B140" t="str">
        <f t="shared" si="52"/>
        <v>SAÍDA</v>
      </c>
      <c r="C140" t="str">
        <f t="shared" si="55"/>
        <v>BOLETO</v>
      </c>
      <c r="D140" t="str">
        <f t="shared" si="56"/>
        <v>01112025</v>
      </c>
      <c r="E140" t="str">
        <f t="shared" si="57"/>
        <v>COM</v>
      </c>
      <c r="F140" t="str">
        <f t="shared" si="58"/>
        <v>CORA SOCIEDADE DE CREDITO, FINANCIAMENTO E INVESTIMENTO (20035)</v>
      </c>
      <c r="G140" t="str">
        <f t="shared" si="59"/>
        <v xml:space="preserve">TAXA BOLETO CORA </v>
      </c>
      <c r="H140" t="str">
        <f t="shared" si="53"/>
        <v>05/11/2025</v>
      </c>
      <c r="I140" t="str">
        <f t="shared" si="53"/>
        <v>05/11/2025</v>
      </c>
      <c r="J140" t="str">
        <f t="shared" si="62"/>
        <v>05/11/2025</v>
      </c>
      <c r="K140">
        <v>1.7</v>
      </c>
      <c r="L140">
        <v>1.7</v>
      </c>
      <c r="M140">
        <v>401</v>
      </c>
      <c r="N140" t="str">
        <f t="shared" si="60"/>
        <v>IOF/JUROS/DESP.FINANCEIRA</v>
      </c>
      <c r="O140">
        <v>1.7</v>
      </c>
      <c r="R140" t="str">
        <f t="shared" si="54"/>
        <v>BANCO CORA (102)</v>
      </c>
      <c r="S140">
        <v>3022</v>
      </c>
      <c r="T140">
        <v>2537</v>
      </c>
      <c r="U140" t="s">
        <v>21</v>
      </c>
    </row>
    <row r="141" spans="1:21">
      <c r="A141" t="str">
        <f t="shared" si="61"/>
        <v>05/11/2025</v>
      </c>
      <c r="B141" t="str">
        <f t="shared" si="52"/>
        <v>SAÍDA</v>
      </c>
      <c r="C141" t="str">
        <f t="shared" si="55"/>
        <v>BOLETO</v>
      </c>
      <c r="D141" t="str">
        <f t="shared" si="56"/>
        <v>01112025</v>
      </c>
      <c r="E141" t="str">
        <f t="shared" si="57"/>
        <v>COM</v>
      </c>
      <c r="F141" t="str">
        <f t="shared" si="58"/>
        <v>CORA SOCIEDADE DE CREDITO, FINANCIAMENTO E INVESTIMENTO (20035)</v>
      </c>
      <c r="G141" t="str">
        <f t="shared" si="59"/>
        <v xml:space="preserve">TAXA BOLETO CORA </v>
      </c>
      <c r="H141" t="str">
        <f t="shared" si="53"/>
        <v>05/11/2025</v>
      </c>
      <c r="I141" t="str">
        <f t="shared" si="53"/>
        <v>05/11/2025</v>
      </c>
      <c r="J141" t="str">
        <f t="shared" si="62"/>
        <v>05/11/2025</v>
      </c>
      <c r="M141">
        <v>401</v>
      </c>
      <c r="N141" t="str">
        <f t="shared" si="60"/>
        <v>IOF/JUROS/DESP.FINANCEIRA</v>
      </c>
      <c r="P141">
        <v>1.7</v>
      </c>
      <c r="Q141" t="str">
        <f>"CORA SOCIEDADE DE CREDITO, FINANCIAMENTO E INVESTIMENTO (20035)"</f>
        <v>CORA SOCIEDADE DE CREDITO, FINANCIAMENTO E INVESTIMENTO (20035)</v>
      </c>
      <c r="R141" t="str">
        <f t="shared" si="54"/>
        <v>BANCO CORA (102)</v>
      </c>
      <c r="S141">
        <v>3022</v>
      </c>
      <c r="T141">
        <v>2537</v>
      </c>
      <c r="U141" t="s">
        <v>21</v>
      </c>
    </row>
    <row r="142" spans="1:21">
      <c r="A142" t="str">
        <f t="shared" si="61"/>
        <v>05/11/2025</v>
      </c>
      <c r="B142" t="str">
        <f t="shared" si="52"/>
        <v>SAÍDA</v>
      </c>
      <c r="C142" t="str">
        <f t="shared" si="55"/>
        <v>BOLETO</v>
      </c>
      <c r="D142" t="str">
        <f t="shared" si="56"/>
        <v>01112025</v>
      </c>
      <c r="E142" t="str">
        <f t="shared" si="57"/>
        <v>COM</v>
      </c>
      <c r="F142" t="str">
        <f t="shared" si="58"/>
        <v>CORA SOCIEDADE DE CREDITO, FINANCIAMENTO E INVESTIMENTO (20035)</v>
      </c>
      <c r="G142" t="str">
        <f t="shared" si="59"/>
        <v xml:space="preserve">TAXA BOLETO CORA </v>
      </c>
      <c r="H142" t="str">
        <f t="shared" ref="H142:I161" si="63">("05/11/2025")</f>
        <v>05/11/2025</v>
      </c>
      <c r="I142" t="str">
        <f t="shared" si="63"/>
        <v>05/11/2025</v>
      </c>
      <c r="J142" t="str">
        <f t="shared" si="62"/>
        <v>05/11/2025</v>
      </c>
      <c r="K142">
        <v>1.7</v>
      </c>
      <c r="L142">
        <v>1.7</v>
      </c>
      <c r="M142">
        <v>401</v>
      </c>
      <c r="N142" t="str">
        <f t="shared" si="60"/>
        <v>IOF/JUROS/DESP.FINANCEIRA</v>
      </c>
      <c r="O142">
        <v>1.7</v>
      </c>
      <c r="R142" t="str">
        <f t="shared" si="54"/>
        <v>BANCO CORA (102)</v>
      </c>
      <c r="S142">
        <v>3023</v>
      </c>
      <c r="T142">
        <v>2538</v>
      </c>
      <c r="U142" t="s">
        <v>21</v>
      </c>
    </row>
    <row r="143" spans="1:21">
      <c r="A143" t="str">
        <f t="shared" si="61"/>
        <v>05/11/2025</v>
      </c>
      <c r="B143" t="str">
        <f t="shared" si="52"/>
        <v>SAÍDA</v>
      </c>
      <c r="C143" t="str">
        <f t="shared" si="55"/>
        <v>BOLETO</v>
      </c>
      <c r="D143" t="str">
        <f t="shared" si="56"/>
        <v>01112025</v>
      </c>
      <c r="E143" t="str">
        <f t="shared" si="57"/>
        <v>COM</v>
      </c>
      <c r="F143" t="str">
        <f t="shared" si="58"/>
        <v>CORA SOCIEDADE DE CREDITO, FINANCIAMENTO E INVESTIMENTO (20035)</v>
      </c>
      <c r="G143" t="str">
        <f t="shared" si="59"/>
        <v xml:space="preserve">TAXA BOLETO CORA </v>
      </c>
      <c r="H143" t="str">
        <f t="shared" si="63"/>
        <v>05/11/2025</v>
      </c>
      <c r="I143" t="str">
        <f t="shared" si="63"/>
        <v>05/11/2025</v>
      </c>
      <c r="J143" t="str">
        <f t="shared" si="62"/>
        <v>05/11/2025</v>
      </c>
      <c r="M143">
        <v>401</v>
      </c>
      <c r="N143" t="str">
        <f t="shared" si="60"/>
        <v>IOF/JUROS/DESP.FINANCEIRA</v>
      </c>
      <c r="P143">
        <v>1.7</v>
      </c>
      <c r="Q143" t="str">
        <f>"CORA SOCIEDADE DE CREDITO, FINANCIAMENTO E INVESTIMENTO (20035)"</f>
        <v>CORA SOCIEDADE DE CREDITO, FINANCIAMENTO E INVESTIMENTO (20035)</v>
      </c>
      <c r="R143" t="str">
        <f t="shared" si="54"/>
        <v>BANCO CORA (102)</v>
      </c>
      <c r="S143">
        <v>3023</v>
      </c>
      <c r="T143">
        <v>2538</v>
      </c>
      <c r="U143" t="s">
        <v>21</v>
      </c>
    </row>
    <row r="144" spans="1:21">
      <c r="A144" t="str">
        <f t="shared" si="61"/>
        <v>05/11/2025</v>
      </c>
      <c r="B144" t="str">
        <f t="shared" si="52"/>
        <v>SAÍDA</v>
      </c>
      <c r="C144" t="str">
        <f t="shared" si="55"/>
        <v>BOLETO</v>
      </c>
      <c r="D144" t="str">
        <f t="shared" si="56"/>
        <v>01112025</v>
      </c>
      <c r="E144" t="str">
        <f t="shared" si="57"/>
        <v>COM</v>
      </c>
      <c r="F144" t="str">
        <f t="shared" si="58"/>
        <v>CORA SOCIEDADE DE CREDITO, FINANCIAMENTO E INVESTIMENTO (20035)</v>
      </c>
      <c r="G144" t="str">
        <f t="shared" si="59"/>
        <v xml:space="preserve">TAXA BOLETO CORA </v>
      </c>
      <c r="H144" t="str">
        <f t="shared" si="63"/>
        <v>05/11/2025</v>
      </c>
      <c r="I144" t="str">
        <f t="shared" si="63"/>
        <v>05/11/2025</v>
      </c>
      <c r="J144" t="str">
        <f t="shared" si="62"/>
        <v>05/11/2025</v>
      </c>
      <c r="K144">
        <v>1.7</v>
      </c>
      <c r="L144">
        <v>1.7</v>
      </c>
      <c r="M144">
        <v>401</v>
      </c>
      <c r="N144" t="str">
        <f t="shared" si="60"/>
        <v>IOF/JUROS/DESP.FINANCEIRA</v>
      </c>
      <c r="O144">
        <v>1.7</v>
      </c>
      <c r="R144" t="str">
        <f t="shared" si="54"/>
        <v>BANCO CORA (102)</v>
      </c>
      <c r="S144">
        <v>3024</v>
      </c>
      <c r="T144">
        <v>2539</v>
      </c>
      <c r="U144" t="s">
        <v>21</v>
      </c>
    </row>
    <row r="145" spans="1:21">
      <c r="A145" t="str">
        <f t="shared" si="61"/>
        <v>05/11/2025</v>
      </c>
      <c r="B145" t="str">
        <f t="shared" si="52"/>
        <v>SAÍDA</v>
      </c>
      <c r="C145" t="str">
        <f t="shared" si="55"/>
        <v>BOLETO</v>
      </c>
      <c r="D145" t="str">
        <f t="shared" si="56"/>
        <v>01112025</v>
      </c>
      <c r="E145" t="str">
        <f t="shared" si="57"/>
        <v>COM</v>
      </c>
      <c r="F145" t="str">
        <f t="shared" si="58"/>
        <v>CORA SOCIEDADE DE CREDITO, FINANCIAMENTO E INVESTIMENTO (20035)</v>
      </c>
      <c r="G145" t="str">
        <f t="shared" si="59"/>
        <v xml:space="preserve">TAXA BOLETO CORA </v>
      </c>
      <c r="H145" t="str">
        <f t="shared" si="63"/>
        <v>05/11/2025</v>
      </c>
      <c r="I145" t="str">
        <f t="shared" si="63"/>
        <v>05/11/2025</v>
      </c>
      <c r="J145" t="str">
        <f t="shared" si="62"/>
        <v>05/11/2025</v>
      </c>
      <c r="M145">
        <v>401</v>
      </c>
      <c r="N145" t="str">
        <f t="shared" si="60"/>
        <v>IOF/JUROS/DESP.FINANCEIRA</v>
      </c>
      <c r="P145">
        <v>1.7</v>
      </c>
      <c r="Q145" t="str">
        <f>"CORA SOCIEDADE DE CREDITO, FINANCIAMENTO E INVESTIMENTO (20035)"</f>
        <v>CORA SOCIEDADE DE CREDITO, FINANCIAMENTO E INVESTIMENTO (20035)</v>
      </c>
      <c r="R145" t="str">
        <f t="shared" si="54"/>
        <v>BANCO CORA (102)</v>
      </c>
      <c r="S145">
        <v>3024</v>
      </c>
      <c r="T145">
        <v>2539</v>
      </c>
      <c r="U145" t="s">
        <v>21</v>
      </c>
    </row>
    <row r="146" spans="1:21">
      <c r="A146" t="str">
        <f t="shared" si="61"/>
        <v>05/11/2025</v>
      </c>
      <c r="B146" t="str">
        <f t="shared" si="52"/>
        <v>SAÍDA</v>
      </c>
      <c r="C146" t="str">
        <f t="shared" si="55"/>
        <v>BOLETO</v>
      </c>
      <c r="D146" t="str">
        <f t="shared" si="56"/>
        <v>01112025</v>
      </c>
      <c r="E146" t="str">
        <f t="shared" si="57"/>
        <v>COM</v>
      </c>
      <c r="F146" t="str">
        <f t="shared" si="58"/>
        <v>CORA SOCIEDADE DE CREDITO, FINANCIAMENTO E INVESTIMENTO (20035)</v>
      </c>
      <c r="G146" t="str">
        <f t="shared" si="59"/>
        <v xml:space="preserve">TAXA BOLETO CORA </v>
      </c>
      <c r="H146" t="str">
        <f t="shared" si="63"/>
        <v>05/11/2025</v>
      </c>
      <c r="I146" t="str">
        <f t="shared" si="63"/>
        <v>05/11/2025</v>
      </c>
      <c r="J146" t="str">
        <f t="shared" si="62"/>
        <v>05/11/2025</v>
      </c>
      <c r="K146">
        <v>1.7</v>
      </c>
      <c r="L146">
        <v>1.7</v>
      </c>
      <c r="M146">
        <v>401</v>
      </c>
      <c r="N146" t="str">
        <f t="shared" si="60"/>
        <v>IOF/JUROS/DESP.FINANCEIRA</v>
      </c>
      <c r="O146">
        <v>1.7</v>
      </c>
      <c r="R146" t="str">
        <f t="shared" si="54"/>
        <v>BANCO CORA (102)</v>
      </c>
      <c r="S146">
        <v>3025</v>
      </c>
      <c r="T146">
        <v>2540</v>
      </c>
      <c r="U146" t="s">
        <v>21</v>
      </c>
    </row>
    <row r="147" spans="1:21">
      <c r="A147" t="str">
        <f t="shared" si="61"/>
        <v>05/11/2025</v>
      </c>
      <c r="B147" t="str">
        <f t="shared" si="52"/>
        <v>SAÍDA</v>
      </c>
      <c r="C147" t="str">
        <f t="shared" si="55"/>
        <v>BOLETO</v>
      </c>
      <c r="D147" t="str">
        <f t="shared" si="56"/>
        <v>01112025</v>
      </c>
      <c r="E147" t="str">
        <f t="shared" si="57"/>
        <v>COM</v>
      </c>
      <c r="F147" t="str">
        <f t="shared" si="58"/>
        <v>CORA SOCIEDADE DE CREDITO, FINANCIAMENTO E INVESTIMENTO (20035)</v>
      </c>
      <c r="G147" t="str">
        <f t="shared" si="59"/>
        <v xml:space="preserve">TAXA BOLETO CORA </v>
      </c>
      <c r="H147" t="str">
        <f t="shared" si="63"/>
        <v>05/11/2025</v>
      </c>
      <c r="I147" t="str">
        <f t="shared" si="63"/>
        <v>05/11/2025</v>
      </c>
      <c r="J147" t="str">
        <f t="shared" si="62"/>
        <v>05/11/2025</v>
      </c>
      <c r="M147">
        <v>401</v>
      </c>
      <c r="N147" t="str">
        <f t="shared" si="60"/>
        <v>IOF/JUROS/DESP.FINANCEIRA</v>
      </c>
      <c r="P147">
        <v>1.7</v>
      </c>
      <c r="Q147" t="str">
        <f>"CORA SOCIEDADE DE CREDITO, FINANCIAMENTO E INVESTIMENTO (20035)"</f>
        <v>CORA SOCIEDADE DE CREDITO, FINANCIAMENTO E INVESTIMENTO (20035)</v>
      </c>
      <c r="R147" t="str">
        <f t="shared" si="54"/>
        <v>BANCO CORA (102)</v>
      </c>
      <c r="S147">
        <v>3025</v>
      </c>
      <c r="T147">
        <v>2540</v>
      </c>
      <c r="U147" t="s">
        <v>21</v>
      </c>
    </row>
    <row r="148" spans="1:21">
      <c r="A148" t="str">
        <f t="shared" si="61"/>
        <v>05/11/2025</v>
      </c>
      <c r="B148" t="str">
        <f t="shared" si="52"/>
        <v>SAÍDA</v>
      </c>
      <c r="C148" t="str">
        <f t="shared" si="55"/>
        <v>BOLETO</v>
      </c>
      <c r="D148" t="str">
        <f t="shared" si="56"/>
        <v>01112025</v>
      </c>
      <c r="E148" t="str">
        <f t="shared" si="57"/>
        <v>COM</v>
      </c>
      <c r="F148" t="str">
        <f t="shared" si="58"/>
        <v>CORA SOCIEDADE DE CREDITO, FINANCIAMENTO E INVESTIMENTO (20035)</v>
      </c>
      <c r="G148" t="str">
        <f t="shared" si="59"/>
        <v xml:space="preserve">TAXA BOLETO CORA </v>
      </c>
      <c r="H148" t="str">
        <f t="shared" si="63"/>
        <v>05/11/2025</v>
      </c>
      <c r="I148" t="str">
        <f t="shared" si="63"/>
        <v>05/11/2025</v>
      </c>
      <c r="J148" t="str">
        <f t="shared" si="62"/>
        <v>05/11/2025</v>
      </c>
      <c r="K148">
        <v>1.7</v>
      </c>
      <c r="L148">
        <v>1.7</v>
      </c>
      <c r="M148">
        <v>401</v>
      </c>
      <c r="N148" t="str">
        <f t="shared" si="60"/>
        <v>IOF/JUROS/DESP.FINANCEIRA</v>
      </c>
      <c r="O148">
        <v>1.7</v>
      </c>
      <c r="R148" t="str">
        <f t="shared" si="54"/>
        <v>BANCO CORA (102)</v>
      </c>
      <c r="S148">
        <v>3026</v>
      </c>
      <c r="T148">
        <v>2541</v>
      </c>
      <c r="U148" t="s">
        <v>21</v>
      </c>
    </row>
    <row r="149" spans="1:21">
      <c r="A149" t="str">
        <f t="shared" si="61"/>
        <v>05/11/2025</v>
      </c>
      <c r="B149" t="str">
        <f t="shared" si="52"/>
        <v>SAÍDA</v>
      </c>
      <c r="C149" t="str">
        <f t="shared" si="55"/>
        <v>BOLETO</v>
      </c>
      <c r="D149" t="str">
        <f t="shared" si="56"/>
        <v>01112025</v>
      </c>
      <c r="E149" t="str">
        <f t="shared" si="57"/>
        <v>COM</v>
      </c>
      <c r="F149" t="str">
        <f t="shared" si="58"/>
        <v>CORA SOCIEDADE DE CREDITO, FINANCIAMENTO E INVESTIMENTO (20035)</v>
      </c>
      <c r="G149" t="str">
        <f t="shared" si="59"/>
        <v xml:space="preserve">TAXA BOLETO CORA </v>
      </c>
      <c r="H149" t="str">
        <f t="shared" si="63"/>
        <v>05/11/2025</v>
      </c>
      <c r="I149" t="str">
        <f t="shared" si="63"/>
        <v>05/11/2025</v>
      </c>
      <c r="J149" t="str">
        <f t="shared" si="62"/>
        <v>05/11/2025</v>
      </c>
      <c r="M149">
        <v>401</v>
      </c>
      <c r="N149" t="str">
        <f t="shared" si="60"/>
        <v>IOF/JUROS/DESP.FINANCEIRA</v>
      </c>
      <c r="P149">
        <v>1.7</v>
      </c>
      <c r="Q149" t="str">
        <f>"CORA SOCIEDADE DE CREDITO, FINANCIAMENTO E INVESTIMENTO (20035)"</f>
        <v>CORA SOCIEDADE DE CREDITO, FINANCIAMENTO E INVESTIMENTO (20035)</v>
      </c>
      <c r="R149" t="str">
        <f t="shared" si="54"/>
        <v>BANCO CORA (102)</v>
      </c>
      <c r="S149">
        <v>3026</v>
      </c>
      <c r="T149">
        <v>2541</v>
      </c>
      <c r="U149" t="s">
        <v>21</v>
      </c>
    </row>
    <row r="150" spans="1:21">
      <c r="A150" t="str">
        <f t="shared" si="61"/>
        <v>05/11/2025</v>
      </c>
      <c r="B150" t="str">
        <f t="shared" si="52"/>
        <v>SAÍDA</v>
      </c>
      <c r="C150" t="str">
        <f t="shared" si="55"/>
        <v>BOLETO</v>
      </c>
      <c r="D150" t="str">
        <f t="shared" si="56"/>
        <v>01112025</v>
      </c>
      <c r="E150" t="str">
        <f t="shared" si="57"/>
        <v>COM</v>
      </c>
      <c r="F150" t="str">
        <f t="shared" si="58"/>
        <v>CORA SOCIEDADE DE CREDITO, FINANCIAMENTO E INVESTIMENTO (20035)</v>
      </c>
      <c r="G150" t="str">
        <f t="shared" si="59"/>
        <v xml:space="preserve">TAXA BOLETO CORA </v>
      </c>
      <c r="H150" t="str">
        <f t="shared" si="63"/>
        <v>05/11/2025</v>
      </c>
      <c r="I150" t="str">
        <f t="shared" si="63"/>
        <v>05/11/2025</v>
      </c>
      <c r="J150" t="str">
        <f t="shared" si="62"/>
        <v>05/11/2025</v>
      </c>
      <c r="K150">
        <v>1.7</v>
      </c>
      <c r="L150">
        <v>1.7</v>
      </c>
      <c r="M150">
        <v>401</v>
      </c>
      <c r="N150" t="str">
        <f t="shared" si="60"/>
        <v>IOF/JUROS/DESP.FINANCEIRA</v>
      </c>
      <c r="O150">
        <v>1.7</v>
      </c>
      <c r="R150" t="str">
        <f t="shared" si="54"/>
        <v>BANCO CORA (102)</v>
      </c>
      <c r="S150">
        <v>3027</v>
      </c>
      <c r="T150">
        <v>2542</v>
      </c>
      <c r="U150" t="s">
        <v>21</v>
      </c>
    </row>
    <row r="151" spans="1:21">
      <c r="A151" t="str">
        <f t="shared" si="61"/>
        <v>05/11/2025</v>
      </c>
      <c r="B151" t="str">
        <f t="shared" si="52"/>
        <v>SAÍDA</v>
      </c>
      <c r="C151" t="str">
        <f t="shared" si="55"/>
        <v>BOLETO</v>
      </c>
      <c r="D151" t="str">
        <f t="shared" si="56"/>
        <v>01112025</v>
      </c>
      <c r="E151" t="str">
        <f t="shared" si="57"/>
        <v>COM</v>
      </c>
      <c r="F151" t="str">
        <f t="shared" si="58"/>
        <v>CORA SOCIEDADE DE CREDITO, FINANCIAMENTO E INVESTIMENTO (20035)</v>
      </c>
      <c r="G151" t="str">
        <f t="shared" si="59"/>
        <v xml:space="preserve">TAXA BOLETO CORA </v>
      </c>
      <c r="H151" t="str">
        <f t="shared" si="63"/>
        <v>05/11/2025</v>
      </c>
      <c r="I151" t="str">
        <f t="shared" si="63"/>
        <v>05/11/2025</v>
      </c>
      <c r="J151" t="str">
        <f t="shared" si="62"/>
        <v>05/11/2025</v>
      </c>
      <c r="M151">
        <v>401</v>
      </c>
      <c r="N151" t="str">
        <f t="shared" si="60"/>
        <v>IOF/JUROS/DESP.FINANCEIRA</v>
      </c>
      <c r="P151">
        <v>1.7</v>
      </c>
      <c r="Q151" t="str">
        <f>"CORA SOCIEDADE DE CREDITO, FINANCIAMENTO E INVESTIMENTO (20035)"</f>
        <v>CORA SOCIEDADE DE CREDITO, FINANCIAMENTO E INVESTIMENTO (20035)</v>
      </c>
      <c r="R151" t="str">
        <f t="shared" si="54"/>
        <v>BANCO CORA (102)</v>
      </c>
      <c r="S151">
        <v>3027</v>
      </c>
      <c r="T151">
        <v>2542</v>
      </c>
      <c r="U151" t="s">
        <v>21</v>
      </c>
    </row>
    <row r="152" spans="1:21">
      <c r="A152" t="str">
        <f t="shared" si="61"/>
        <v>05/11/2025</v>
      </c>
      <c r="B152" t="str">
        <f t="shared" si="52"/>
        <v>SAÍDA</v>
      </c>
      <c r="C152" t="str">
        <f t="shared" si="55"/>
        <v>BOLETO</v>
      </c>
      <c r="D152" t="str">
        <f t="shared" si="56"/>
        <v>01112025</v>
      </c>
      <c r="E152" t="str">
        <f t="shared" si="57"/>
        <v>COM</v>
      </c>
      <c r="F152" t="str">
        <f t="shared" si="58"/>
        <v>CORA SOCIEDADE DE CREDITO, FINANCIAMENTO E INVESTIMENTO (20035)</v>
      </c>
      <c r="G152" t="str">
        <f t="shared" si="59"/>
        <v xml:space="preserve">TAXA BOLETO CORA </v>
      </c>
      <c r="H152" t="str">
        <f t="shared" si="63"/>
        <v>05/11/2025</v>
      </c>
      <c r="I152" t="str">
        <f t="shared" si="63"/>
        <v>05/11/2025</v>
      </c>
      <c r="J152" t="str">
        <f t="shared" si="62"/>
        <v>05/11/2025</v>
      </c>
      <c r="K152">
        <v>1.7</v>
      </c>
      <c r="L152">
        <v>1.7</v>
      </c>
      <c r="M152">
        <v>401</v>
      </c>
      <c r="N152" t="str">
        <f t="shared" si="60"/>
        <v>IOF/JUROS/DESP.FINANCEIRA</v>
      </c>
      <c r="O152">
        <v>1.7</v>
      </c>
      <c r="R152" t="str">
        <f t="shared" si="54"/>
        <v>BANCO CORA (102)</v>
      </c>
      <c r="S152">
        <v>3028</v>
      </c>
      <c r="T152">
        <v>2543</v>
      </c>
      <c r="U152" t="s">
        <v>21</v>
      </c>
    </row>
    <row r="153" spans="1:21">
      <c r="A153" t="str">
        <f t="shared" si="61"/>
        <v>05/11/2025</v>
      </c>
      <c r="B153" t="str">
        <f t="shared" si="52"/>
        <v>SAÍDA</v>
      </c>
      <c r="C153" t="str">
        <f t="shared" si="55"/>
        <v>BOLETO</v>
      </c>
      <c r="D153" t="str">
        <f t="shared" si="56"/>
        <v>01112025</v>
      </c>
      <c r="E153" t="str">
        <f t="shared" si="57"/>
        <v>COM</v>
      </c>
      <c r="F153" t="str">
        <f t="shared" si="58"/>
        <v>CORA SOCIEDADE DE CREDITO, FINANCIAMENTO E INVESTIMENTO (20035)</v>
      </c>
      <c r="G153" t="str">
        <f t="shared" si="59"/>
        <v xml:space="preserve">TAXA BOLETO CORA </v>
      </c>
      <c r="H153" t="str">
        <f t="shared" si="63"/>
        <v>05/11/2025</v>
      </c>
      <c r="I153" t="str">
        <f t="shared" si="63"/>
        <v>05/11/2025</v>
      </c>
      <c r="J153" t="str">
        <f t="shared" si="62"/>
        <v>05/11/2025</v>
      </c>
      <c r="M153">
        <v>401</v>
      </c>
      <c r="N153" t="str">
        <f t="shared" si="60"/>
        <v>IOF/JUROS/DESP.FINANCEIRA</v>
      </c>
      <c r="P153">
        <v>1.7</v>
      </c>
      <c r="Q153" t="str">
        <f>"CORA SOCIEDADE DE CREDITO, FINANCIAMENTO E INVESTIMENTO (20035)"</f>
        <v>CORA SOCIEDADE DE CREDITO, FINANCIAMENTO E INVESTIMENTO (20035)</v>
      </c>
      <c r="R153" t="str">
        <f t="shared" si="54"/>
        <v>BANCO CORA (102)</v>
      </c>
      <c r="S153">
        <v>3028</v>
      </c>
      <c r="T153">
        <v>2543</v>
      </c>
      <c r="U153" t="s">
        <v>21</v>
      </c>
    </row>
    <row r="154" spans="1:21">
      <c r="A154" t="str">
        <f t="shared" si="61"/>
        <v>05/11/2025</v>
      </c>
      <c r="B154" t="str">
        <f t="shared" ref="B154:B185" si="64">"SAÍDA"</f>
        <v>SAÍDA</v>
      </c>
      <c r="C154" t="str">
        <f t="shared" si="55"/>
        <v>BOLETO</v>
      </c>
      <c r="D154" t="str">
        <f t="shared" si="56"/>
        <v>01112025</v>
      </c>
      <c r="E154" t="str">
        <f t="shared" si="57"/>
        <v>COM</v>
      </c>
      <c r="F154" t="str">
        <f t="shared" si="58"/>
        <v>CORA SOCIEDADE DE CREDITO, FINANCIAMENTO E INVESTIMENTO (20035)</v>
      </c>
      <c r="G154" t="str">
        <f t="shared" si="59"/>
        <v xml:space="preserve">TAXA BOLETO CORA </v>
      </c>
      <c r="H154" t="str">
        <f t="shared" si="63"/>
        <v>05/11/2025</v>
      </c>
      <c r="I154" t="str">
        <f t="shared" si="63"/>
        <v>05/11/2025</v>
      </c>
      <c r="J154" t="str">
        <f t="shared" si="62"/>
        <v>05/11/2025</v>
      </c>
      <c r="K154">
        <v>1.7</v>
      </c>
      <c r="L154">
        <v>1.7</v>
      </c>
      <c r="M154">
        <v>401</v>
      </c>
      <c r="N154" t="str">
        <f t="shared" si="60"/>
        <v>IOF/JUROS/DESP.FINANCEIRA</v>
      </c>
      <c r="O154">
        <v>1.7</v>
      </c>
      <c r="R154" t="str">
        <f t="shared" ref="R154:R185" si="65">"BANCO CORA (102)"</f>
        <v>BANCO CORA (102)</v>
      </c>
      <c r="S154">
        <v>3029</v>
      </c>
      <c r="T154">
        <v>2544</v>
      </c>
      <c r="U154" t="s">
        <v>21</v>
      </c>
    </row>
    <row r="155" spans="1:21">
      <c r="A155" t="str">
        <f t="shared" si="61"/>
        <v>05/11/2025</v>
      </c>
      <c r="B155" t="str">
        <f t="shared" si="64"/>
        <v>SAÍDA</v>
      </c>
      <c r="C155" t="str">
        <f t="shared" si="55"/>
        <v>BOLETO</v>
      </c>
      <c r="D155" t="str">
        <f t="shared" si="56"/>
        <v>01112025</v>
      </c>
      <c r="E155" t="str">
        <f t="shared" si="57"/>
        <v>COM</v>
      </c>
      <c r="F155" t="str">
        <f t="shared" si="58"/>
        <v>CORA SOCIEDADE DE CREDITO, FINANCIAMENTO E INVESTIMENTO (20035)</v>
      </c>
      <c r="G155" t="str">
        <f t="shared" si="59"/>
        <v xml:space="preserve">TAXA BOLETO CORA </v>
      </c>
      <c r="H155" t="str">
        <f t="shared" si="63"/>
        <v>05/11/2025</v>
      </c>
      <c r="I155" t="str">
        <f t="shared" si="63"/>
        <v>05/11/2025</v>
      </c>
      <c r="J155" t="str">
        <f t="shared" si="62"/>
        <v>05/11/2025</v>
      </c>
      <c r="M155">
        <v>401</v>
      </c>
      <c r="N155" t="str">
        <f t="shared" si="60"/>
        <v>IOF/JUROS/DESP.FINANCEIRA</v>
      </c>
      <c r="P155">
        <v>1.7</v>
      </c>
      <c r="Q155" t="str">
        <f>"CORA SOCIEDADE DE CREDITO, FINANCIAMENTO E INVESTIMENTO (20035)"</f>
        <v>CORA SOCIEDADE DE CREDITO, FINANCIAMENTO E INVESTIMENTO (20035)</v>
      </c>
      <c r="R155" t="str">
        <f t="shared" si="65"/>
        <v>BANCO CORA (102)</v>
      </c>
      <c r="S155">
        <v>3029</v>
      </c>
      <c r="T155">
        <v>2544</v>
      </c>
      <c r="U155" t="s">
        <v>21</v>
      </c>
    </row>
    <row r="156" spans="1:21">
      <c r="A156" t="str">
        <f t="shared" si="61"/>
        <v>05/11/2025</v>
      </c>
      <c r="B156" t="str">
        <f t="shared" si="64"/>
        <v>SAÍDA</v>
      </c>
      <c r="C156" t="str">
        <f t="shared" si="55"/>
        <v>BOLETO</v>
      </c>
      <c r="D156" t="str">
        <f t="shared" si="56"/>
        <v>01112025</v>
      </c>
      <c r="E156" t="str">
        <f t="shared" si="57"/>
        <v>COM</v>
      </c>
      <c r="F156" t="str">
        <f t="shared" si="58"/>
        <v>CORA SOCIEDADE DE CREDITO, FINANCIAMENTO E INVESTIMENTO (20035)</v>
      </c>
      <c r="G156" t="str">
        <f t="shared" si="59"/>
        <v xml:space="preserve">TAXA BOLETO CORA </v>
      </c>
      <c r="H156" t="str">
        <f t="shared" si="63"/>
        <v>05/11/2025</v>
      </c>
      <c r="I156" t="str">
        <f t="shared" si="63"/>
        <v>05/11/2025</v>
      </c>
      <c r="J156" t="str">
        <f t="shared" si="62"/>
        <v>05/11/2025</v>
      </c>
      <c r="K156">
        <v>1.7</v>
      </c>
      <c r="L156">
        <v>1.7</v>
      </c>
      <c r="M156">
        <v>401</v>
      </c>
      <c r="N156" t="str">
        <f t="shared" si="60"/>
        <v>IOF/JUROS/DESP.FINANCEIRA</v>
      </c>
      <c r="O156">
        <v>1.7</v>
      </c>
      <c r="R156" t="str">
        <f t="shared" si="65"/>
        <v>BANCO CORA (102)</v>
      </c>
      <c r="S156">
        <v>3030</v>
      </c>
      <c r="T156">
        <v>2545</v>
      </c>
      <c r="U156" t="s">
        <v>21</v>
      </c>
    </row>
    <row r="157" spans="1:21">
      <c r="A157" t="str">
        <f t="shared" si="61"/>
        <v>05/11/2025</v>
      </c>
      <c r="B157" t="str">
        <f t="shared" si="64"/>
        <v>SAÍDA</v>
      </c>
      <c r="C157" t="str">
        <f t="shared" si="55"/>
        <v>BOLETO</v>
      </c>
      <c r="D157" t="str">
        <f t="shared" si="56"/>
        <v>01112025</v>
      </c>
      <c r="E157" t="str">
        <f t="shared" si="57"/>
        <v>COM</v>
      </c>
      <c r="F157" t="str">
        <f t="shared" si="58"/>
        <v>CORA SOCIEDADE DE CREDITO, FINANCIAMENTO E INVESTIMENTO (20035)</v>
      </c>
      <c r="G157" t="str">
        <f t="shared" si="59"/>
        <v xml:space="preserve">TAXA BOLETO CORA </v>
      </c>
      <c r="H157" t="str">
        <f t="shared" si="63"/>
        <v>05/11/2025</v>
      </c>
      <c r="I157" t="str">
        <f t="shared" si="63"/>
        <v>05/11/2025</v>
      </c>
      <c r="J157" t="str">
        <f t="shared" si="62"/>
        <v>05/11/2025</v>
      </c>
      <c r="M157">
        <v>401</v>
      </c>
      <c r="N157" t="str">
        <f t="shared" si="60"/>
        <v>IOF/JUROS/DESP.FINANCEIRA</v>
      </c>
      <c r="P157">
        <v>1.7</v>
      </c>
      <c r="Q157" t="str">
        <f>"CORA SOCIEDADE DE CREDITO, FINANCIAMENTO E INVESTIMENTO (20035)"</f>
        <v>CORA SOCIEDADE DE CREDITO, FINANCIAMENTO E INVESTIMENTO (20035)</v>
      </c>
      <c r="R157" t="str">
        <f t="shared" si="65"/>
        <v>BANCO CORA (102)</v>
      </c>
      <c r="S157">
        <v>3030</v>
      </c>
      <c r="T157">
        <v>2545</v>
      </c>
      <c r="U157" t="s">
        <v>21</v>
      </c>
    </row>
    <row r="158" spans="1:21">
      <c r="A158" t="str">
        <f t="shared" si="61"/>
        <v>05/11/2025</v>
      </c>
      <c r="B158" t="str">
        <f t="shared" si="64"/>
        <v>SAÍDA</v>
      </c>
      <c r="C158" t="str">
        <f t="shared" ref="C158:C189" si="66">"BOLETO"</f>
        <v>BOLETO</v>
      </c>
      <c r="D158" t="str">
        <f t="shared" ref="D158:D185" si="67">"01112025"</f>
        <v>01112025</v>
      </c>
      <c r="E158" t="str">
        <f t="shared" si="57"/>
        <v>COM</v>
      </c>
      <c r="F158" t="str">
        <f t="shared" ref="F158:F185" si="68">"CORA SOCIEDADE DE CREDITO, FINANCIAMENTO E INVESTIMENTO (20035)"</f>
        <v>CORA SOCIEDADE DE CREDITO, FINANCIAMENTO E INVESTIMENTO (20035)</v>
      </c>
      <c r="G158" t="str">
        <f t="shared" ref="G158:G185" si="69">"TAXA BOLETO CORA "</f>
        <v xml:space="preserve">TAXA BOLETO CORA </v>
      </c>
      <c r="H158" t="str">
        <f t="shared" si="63"/>
        <v>05/11/2025</v>
      </c>
      <c r="I158" t="str">
        <f t="shared" si="63"/>
        <v>05/11/2025</v>
      </c>
      <c r="J158" t="str">
        <f t="shared" si="62"/>
        <v>05/11/2025</v>
      </c>
      <c r="K158">
        <v>1.7</v>
      </c>
      <c r="L158">
        <v>1.7</v>
      </c>
      <c r="M158">
        <v>401</v>
      </c>
      <c r="N158" t="str">
        <f t="shared" ref="N158:N185" si="70">"IOF/JUROS/DESP.FINANCEIRA"</f>
        <v>IOF/JUROS/DESP.FINANCEIRA</v>
      </c>
      <c r="O158">
        <v>1.7</v>
      </c>
      <c r="R158" t="str">
        <f t="shared" si="65"/>
        <v>BANCO CORA (102)</v>
      </c>
      <c r="S158">
        <v>3031</v>
      </c>
      <c r="T158">
        <v>2546</v>
      </c>
      <c r="U158" t="s">
        <v>21</v>
      </c>
    </row>
    <row r="159" spans="1:21">
      <c r="A159" t="str">
        <f t="shared" si="61"/>
        <v>05/11/2025</v>
      </c>
      <c r="B159" t="str">
        <f t="shared" si="64"/>
        <v>SAÍDA</v>
      </c>
      <c r="C159" t="str">
        <f t="shared" si="66"/>
        <v>BOLETO</v>
      </c>
      <c r="D159" t="str">
        <f t="shared" si="67"/>
        <v>01112025</v>
      </c>
      <c r="E159" t="str">
        <f t="shared" si="57"/>
        <v>COM</v>
      </c>
      <c r="F159" t="str">
        <f t="shared" si="68"/>
        <v>CORA SOCIEDADE DE CREDITO, FINANCIAMENTO E INVESTIMENTO (20035)</v>
      </c>
      <c r="G159" t="str">
        <f t="shared" si="69"/>
        <v xml:space="preserve">TAXA BOLETO CORA </v>
      </c>
      <c r="H159" t="str">
        <f t="shared" si="63"/>
        <v>05/11/2025</v>
      </c>
      <c r="I159" t="str">
        <f t="shared" si="63"/>
        <v>05/11/2025</v>
      </c>
      <c r="J159" t="str">
        <f t="shared" si="62"/>
        <v>05/11/2025</v>
      </c>
      <c r="M159">
        <v>401</v>
      </c>
      <c r="N159" t="str">
        <f t="shared" si="70"/>
        <v>IOF/JUROS/DESP.FINANCEIRA</v>
      </c>
      <c r="P159">
        <v>1.7</v>
      </c>
      <c r="Q159" t="str">
        <f>"CORA SOCIEDADE DE CREDITO, FINANCIAMENTO E INVESTIMENTO (20035)"</f>
        <v>CORA SOCIEDADE DE CREDITO, FINANCIAMENTO E INVESTIMENTO (20035)</v>
      </c>
      <c r="R159" t="str">
        <f t="shared" si="65"/>
        <v>BANCO CORA (102)</v>
      </c>
      <c r="S159">
        <v>3031</v>
      </c>
      <c r="T159">
        <v>2546</v>
      </c>
      <c r="U159" t="s">
        <v>21</v>
      </c>
    </row>
    <row r="160" spans="1:21">
      <c r="A160" t="str">
        <f t="shared" si="61"/>
        <v>05/11/2025</v>
      </c>
      <c r="B160" t="str">
        <f t="shared" si="64"/>
        <v>SAÍDA</v>
      </c>
      <c r="C160" t="str">
        <f t="shared" si="66"/>
        <v>BOLETO</v>
      </c>
      <c r="D160" t="str">
        <f t="shared" si="67"/>
        <v>01112025</v>
      </c>
      <c r="E160" t="str">
        <f t="shared" si="57"/>
        <v>COM</v>
      </c>
      <c r="F160" t="str">
        <f t="shared" si="68"/>
        <v>CORA SOCIEDADE DE CREDITO, FINANCIAMENTO E INVESTIMENTO (20035)</v>
      </c>
      <c r="G160" t="str">
        <f t="shared" si="69"/>
        <v xml:space="preserve">TAXA BOLETO CORA </v>
      </c>
      <c r="H160" t="str">
        <f t="shared" si="63"/>
        <v>05/11/2025</v>
      </c>
      <c r="I160" t="str">
        <f t="shared" si="63"/>
        <v>05/11/2025</v>
      </c>
      <c r="J160" t="str">
        <f t="shared" si="62"/>
        <v>05/11/2025</v>
      </c>
      <c r="K160">
        <v>1.7</v>
      </c>
      <c r="L160">
        <v>1.7</v>
      </c>
      <c r="M160">
        <v>401</v>
      </c>
      <c r="N160" t="str">
        <f t="shared" si="70"/>
        <v>IOF/JUROS/DESP.FINANCEIRA</v>
      </c>
      <c r="O160">
        <v>1.7</v>
      </c>
      <c r="R160" t="str">
        <f t="shared" si="65"/>
        <v>BANCO CORA (102)</v>
      </c>
      <c r="S160">
        <v>3032</v>
      </c>
      <c r="T160">
        <v>2547</v>
      </c>
      <c r="U160" t="s">
        <v>21</v>
      </c>
    </row>
    <row r="161" spans="1:21">
      <c r="A161" t="str">
        <f t="shared" si="61"/>
        <v>05/11/2025</v>
      </c>
      <c r="B161" t="str">
        <f t="shared" si="64"/>
        <v>SAÍDA</v>
      </c>
      <c r="C161" t="str">
        <f t="shared" si="66"/>
        <v>BOLETO</v>
      </c>
      <c r="D161" t="str">
        <f t="shared" si="67"/>
        <v>01112025</v>
      </c>
      <c r="E161" t="str">
        <f t="shared" si="57"/>
        <v>COM</v>
      </c>
      <c r="F161" t="str">
        <f t="shared" si="68"/>
        <v>CORA SOCIEDADE DE CREDITO, FINANCIAMENTO E INVESTIMENTO (20035)</v>
      </c>
      <c r="G161" t="str">
        <f t="shared" si="69"/>
        <v xml:space="preserve">TAXA BOLETO CORA </v>
      </c>
      <c r="H161" t="str">
        <f t="shared" si="63"/>
        <v>05/11/2025</v>
      </c>
      <c r="I161" t="str">
        <f t="shared" si="63"/>
        <v>05/11/2025</v>
      </c>
      <c r="J161" t="str">
        <f t="shared" si="62"/>
        <v>05/11/2025</v>
      </c>
      <c r="M161">
        <v>401</v>
      </c>
      <c r="N161" t="str">
        <f t="shared" si="70"/>
        <v>IOF/JUROS/DESP.FINANCEIRA</v>
      </c>
      <c r="P161">
        <v>1.7</v>
      </c>
      <c r="Q161" t="str">
        <f>"CORA SOCIEDADE DE CREDITO, FINANCIAMENTO E INVESTIMENTO (20035)"</f>
        <v>CORA SOCIEDADE DE CREDITO, FINANCIAMENTO E INVESTIMENTO (20035)</v>
      </c>
      <c r="R161" t="str">
        <f t="shared" si="65"/>
        <v>BANCO CORA (102)</v>
      </c>
      <c r="S161">
        <v>3032</v>
      </c>
      <c r="T161">
        <v>2547</v>
      </c>
      <c r="U161" t="s">
        <v>21</v>
      </c>
    </row>
    <row r="162" spans="1:21">
      <c r="A162" t="str">
        <f t="shared" si="61"/>
        <v>05/11/2025</v>
      </c>
      <c r="B162" t="str">
        <f t="shared" si="64"/>
        <v>SAÍDA</v>
      </c>
      <c r="C162" t="str">
        <f t="shared" si="66"/>
        <v>BOLETO</v>
      </c>
      <c r="D162" t="str">
        <f t="shared" si="67"/>
        <v>01112025</v>
      </c>
      <c r="E162" t="str">
        <f t="shared" si="57"/>
        <v>COM</v>
      </c>
      <c r="F162" t="str">
        <f t="shared" si="68"/>
        <v>CORA SOCIEDADE DE CREDITO, FINANCIAMENTO E INVESTIMENTO (20035)</v>
      </c>
      <c r="G162" t="str">
        <f t="shared" si="69"/>
        <v xml:space="preserve">TAXA BOLETO CORA </v>
      </c>
      <c r="H162" t="str">
        <f t="shared" ref="H162:I181" si="71">("05/11/2025")</f>
        <v>05/11/2025</v>
      </c>
      <c r="I162" t="str">
        <f t="shared" si="71"/>
        <v>05/11/2025</v>
      </c>
      <c r="J162" t="str">
        <f t="shared" si="62"/>
        <v>05/11/2025</v>
      </c>
      <c r="K162">
        <v>1.7</v>
      </c>
      <c r="L162">
        <v>1.7</v>
      </c>
      <c r="M162">
        <v>401</v>
      </c>
      <c r="N162" t="str">
        <f t="shared" si="70"/>
        <v>IOF/JUROS/DESP.FINANCEIRA</v>
      </c>
      <c r="O162">
        <v>1.7</v>
      </c>
      <c r="R162" t="str">
        <f t="shared" si="65"/>
        <v>BANCO CORA (102)</v>
      </c>
      <c r="S162">
        <v>3033</v>
      </c>
      <c r="T162">
        <v>2548</v>
      </c>
      <c r="U162" t="s">
        <v>21</v>
      </c>
    </row>
    <row r="163" spans="1:21">
      <c r="A163" t="str">
        <f t="shared" si="61"/>
        <v>05/11/2025</v>
      </c>
      <c r="B163" t="str">
        <f t="shared" si="64"/>
        <v>SAÍDA</v>
      </c>
      <c r="C163" t="str">
        <f t="shared" si="66"/>
        <v>BOLETO</v>
      </c>
      <c r="D163" t="str">
        <f t="shared" si="67"/>
        <v>01112025</v>
      </c>
      <c r="E163" t="str">
        <f t="shared" si="57"/>
        <v>COM</v>
      </c>
      <c r="F163" t="str">
        <f t="shared" si="68"/>
        <v>CORA SOCIEDADE DE CREDITO, FINANCIAMENTO E INVESTIMENTO (20035)</v>
      </c>
      <c r="G163" t="str">
        <f t="shared" si="69"/>
        <v xml:space="preserve">TAXA BOLETO CORA </v>
      </c>
      <c r="H163" t="str">
        <f t="shared" si="71"/>
        <v>05/11/2025</v>
      </c>
      <c r="I163" t="str">
        <f t="shared" si="71"/>
        <v>05/11/2025</v>
      </c>
      <c r="J163" t="str">
        <f t="shared" si="62"/>
        <v>05/11/2025</v>
      </c>
      <c r="M163">
        <v>401</v>
      </c>
      <c r="N163" t="str">
        <f t="shared" si="70"/>
        <v>IOF/JUROS/DESP.FINANCEIRA</v>
      </c>
      <c r="P163">
        <v>1.7</v>
      </c>
      <c r="Q163" t="str">
        <f>"CORA SOCIEDADE DE CREDITO, FINANCIAMENTO E INVESTIMENTO (20035)"</f>
        <v>CORA SOCIEDADE DE CREDITO, FINANCIAMENTO E INVESTIMENTO (20035)</v>
      </c>
      <c r="R163" t="str">
        <f t="shared" si="65"/>
        <v>BANCO CORA (102)</v>
      </c>
      <c r="S163">
        <v>3033</v>
      </c>
      <c r="T163">
        <v>2548</v>
      </c>
      <c r="U163" t="s">
        <v>21</v>
      </c>
    </row>
    <row r="164" spans="1:21">
      <c r="A164" t="str">
        <f t="shared" si="61"/>
        <v>05/11/2025</v>
      </c>
      <c r="B164" t="str">
        <f t="shared" si="64"/>
        <v>SAÍDA</v>
      </c>
      <c r="C164" t="str">
        <f t="shared" si="66"/>
        <v>BOLETO</v>
      </c>
      <c r="D164" t="str">
        <f t="shared" si="67"/>
        <v>01112025</v>
      </c>
      <c r="E164" t="str">
        <f t="shared" si="57"/>
        <v>COM</v>
      </c>
      <c r="F164" t="str">
        <f t="shared" si="68"/>
        <v>CORA SOCIEDADE DE CREDITO, FINANCIAMENTO E INVESTIMENTO (20035)</v>
      </c>
      <c r="G164" t="str">
        <f t="shared" si="69"/>
        <v xml:space="preserve">TAXA BOLETO CORA </v>
      </c>
      <c r="H164" t="str">
        <f t="shared" si="71"/>
        <v>05/11/2025</v>
      </c>
      <c r="I164" t="str">
        <f t="shared" si="71"/>
        <v>05/11/2025</v>
      </c>
      <c r="J164" t="str">
        <f t="shared" si="62"/>
        <v>05/11/2025</v>
      </c>
      <c r="K164">
        <v>1.7</v>
      </c>
      <c r="L164">
        <v>1.7</v>
      </c>
      <c r="M164">
        <v>401</v>
      </c>
      <c r="N164" t="str">
        <f t="shared" si="70"/>
        <v>IOF/JUROS/DESP.FINANCEIRA</v>
      </c>
      <c r="O164">
        <v>1.7</v>
      </c>
      <c r="R164" t="str">
        <f t="shared" si="65"/>
        <v>BANCO CORA (102)</v>
      </c>
      <c r="S164">
        <v>3034</v>
      </c>
      <c r="T164">
        <v>2549</v>
      </c>
      <c r="U164" t="s">
        <v>21</v>
      </c>
    </row>
    <row r="165" spans="1:21">
      <c r="A165" t="str">
        <f t="shared" si="61"/>
        <v>05/11/2025</v>
      </c>
      <c r="B165" t="str">
        <f t="shared" si="64"/>
        <v>SAÍDA</v>
      </c>
      <c r="C165" t="str">
        <f t="shared" si="66"/>
        <v>BOLETO</v>
      </c>
      <c r="D165" t="str">
        <f t="shared" si="67"/>
        <v>01112025</v>
      </c>
      <c r="E165" t="str">
        <f t="shared" si="57"/>
        <v>COM</v>
      </c>
      <c r="F165" t="str">
        <f t="shared" si="68"/>
        <v>CORA SOCIEDADE DE CREDITO, FINANCIAMENTO E INVESTIMENTO (20035)</v>
      </c>
      <c r="G165" t="str">
        <f t="shared" si="69"/>
        <v xml:space="preserve">TAXA BOLETO CORA </v>
      </c>
      <c r="H165" t="str">
        <f t="shared" si="71"/>
        <v>05/11/2025</v>
      </c>
      <c r="I165" t="str">
        <f t="shared" si="71"/>
        <v>05/11/2025</v>
      </c>
      <c r="J165" t="str">
        <f t="shared" si="62"/>
        <v>05/11/2025</v>
      </c>
      <c r="M165">
        <v>401</v>
      </c>
      <c r="N165" t="str">
        <f t="shared" si="70"/>
        <v>IOF/JUROS/DESP.FINANCEIRA</v>
      </c>
      <c r="P165">
        <v>1.7</v>
      </c>
      <c r="Q165" t="str">
        <f>"CORA SOCIEDADE DE CREDITO, FINANCIAMENTO E INVESTIMENTO (20035)"</f>
        <v>CORA SOCIEDADE DE CREDITO, FINANCIAMENTO E INVESTIMENTO (20035)</v>
      </c>
      <c r="R165" t="str">
        <f t="shared" si="65"/>
        <v>BANCO CORA (102)</v>
      </c>
      <c r="S165">
        <v>3034</v>
      </c>
      <c r="T165">
        <v>2549</v>
      </c>
      <c r="U165" t="s">
        <v>21</v>
      </c>
    </row>
    <row r="166" spans="1:21">
      <c r="A166" t="str">
        <f t="shared" ref="A166:A195" si="72">("05/11/2025")</f>
        <v>05/11/2025</v>
      </c>
      <c r="B166" t="str">
        <f t="shared" si="64"/>
        <v>SAÍDA</v>
      </c>
      <c r="C166" t="str">
        <f t="shared" si="66"/>
        <v>BOLETO</v>
      </c>
      <c r="D166" t="str">
        <f t="shared" si="67"/>
        <v>01112025</v>
      </c>
      <c r="E166" t="str">
        <f t="shared" si="57"/>
        <v>COM</v>
      </c>
      <c r="F166" t="str">
        <f t="shared" si="68"/>
        <v>CORA SOCIEDADE DE CREDITO, FINANCIAMENTO E INVESTIMENTO (20035)</v>
      </c>
      <c r="G166" t="str">
        <f t="shared" si="69"/>
        <v xml:space="preserve">TAXA BOLETO CORA </v>
      </c>
      <c r="H166" t="str">
        <f t="shared" si="71"/>
        <v>05/11/2025</v>
      </c>
      <c r="I166" t="str">
        <f t="shared" si="71"/>
        <v>05/11/2025</v>
      </c>
      <c r="J166" t="str">
        <f t="shared" ref="J166:J195" si="73">("05/11/2025")</f>
        <v>05/11/2025</v>
      </c>
      <c r="K166">
        <v>1.7</v>
      </c>
      <c r="L166">
        <v>1.7</v>
      </c>
      <c r="M166">
        <v>401</v>
      </c>
      <c r="N166" t="str">
        <f t="shared" si="70"/>
        <v>IOF/JUROS/DESP.FINANCEIRA</v>
      </c>
      <c r="O166">
        <v>1.7</v>
      </c>
      <c r="R166" t="str">
        <f t="shared" si="65"/>
        <v>BANCO CORA (102)</v>
      </c>
      <c r="S166">
        <v>3035</v>
      </c>
      <c r="T166">
        <v>2550</v>
      </c>
      <c r="U166" t="s">
        <v>21</v>
      </c>
    </row>
    <row r="167" spans="1:21">
      <c r="A167" t="str">
        <f t="shared" si="72"/>
        <v>05/11/2025</v>
      </c>
      <c r="B167" t="str">
        <f t="shared" si="64"/>
        <v>SAÍDA</v>
      </c>
      <c r="C167" t="str">
        <f t="shared" si="66"/>
        <v>BOLETO</v>
      </c>
      <c r="D167" t="str">
        <f t="shared" si="67"/>
        <v>01112025</v>
      </c>
      <c r="E167" t="str">
        <f t="shared" si="57"/>
        <v>COM</v>
      </c>
      <c r="F167" t="str">
        <f t="shared" si="68"/>
        <v>CORA SOCIEDADE DE CREDITO, FINANCIAMENTO E INVESTIMENTO (20035)</v>
      </c>
      <c r="G167" t="str">
        <f t="shared" si="69"/>
        <v xml:space="preserve">TAXA BOLETO CORA </v>
      </c>
      <c r="H167" t="str">
        <f t="shared" si="71"/>
        <v>05/11/2025</v>
      </c>
      <c r="I167" t="str">
        <f t="shared" si="71"/>
        <v>05/11/2025</v>
      </c>
      <c r="J167" t="str">
        <f t="shared" si="73"/>
        <v>05/11/2025</v>
      </c>
      <c r="M167">
        <v>401</v>
      </c>
      <c r="N167" t="str">
        <f t="shared" si="70"/>
        <v>IOF/JUROS/DESP.FINANCEIRA</v>
      </c>
      <c r="P167">
        <v>1.7</v>
      </c>
      <c r="Q167" t="str">
        <f>"CORA SOCIEDADE DE CREDITO, FINANCIAMENTO E INVESTIMENTO (20035)"</f>
        <v>CORA SOCIEDADE DE CREDITO, FINANCIAMENTO E INVESTIMENTO (20035)</v>
      </c>
      <c r="R167" t="str">
        <f t="shared" si="65"/>
        <v>BANCO CORA (102)</v>
      </c>
      <c r="S167">
        <v>3035</v>
      </c>
      <c r="T167">
        <v>2550</v>
      </c>
      <c r="U167" t="s">
        <v>21</v>
      </c>
    </row>
    <row r="168" spans="1:21">
      <c r="A168" t="str">
        <f t="shared" si="72"/>
        <v>05/11/2025</v>
      </c>
      <c r="B168" t="str">
        <f t="shared" si="64"/>
        <v>SAÍDA</v>
      </c>
      <c r="C168" t="str">
        <f t="shared" si="66"/>
        <v>BOLETO</v>
      </c>
      <c r="D168" t="str">
        <f t="shared" si="67"/>
        <v>01112025</v>
      </c>
      <c r="E168" t="str">
        <f t="shared" si="57"/>
        <v>COM</v>
      </c>
      <c r="F168" t="str">
        <f t="shared" si="68"/>
        <v>CORA SOCIEDADE DE CREDITO, FINANCIAMENTO E INVESTIMENTO (20035)</v>
      </c>
      <c r="G168" t="str">
        <f t="shared" si="69"/>
        <v xml:space="preserve">TAXA BOLETO CORA </v>
      </c>
      <c r="H168" t="str">
        <f t="shared" si="71"/>
        <v>05/11/2025</v>
      </c>
      <c r="I168" t="str">
        <f t="shared" si="71"/>
        <v>05/11/2025</v>
      </c>
      <c r="J168" t="str">
        <f t="shared" si="73"/>
        <v>05/11/2025</v>
      </c>
      <c r="K168">
        <v>1.7</v>
      </c>
      <c r="L168">
        <v>1.7</v>
      </c>
      <c r="M168">
        <v>401</v>
      </c>
      <c r="N168" t="str">
        <f t="shared" si="70"/>
        <v>IOF/JUROS/DESP.FINANCEIRA</v>
      </c>
      <c r="O168">
        <v>1.7</v>
      </c>
      <c r="R168" t="str">
        <f t="shared" si="65"/>
        <v>BANCO CORA (102)</v>
      </c>
      <c r="S168">
        <v>3036</v>
      </c>
      <c r="T168">
        <v>2551</v>
      </c>
      <c r="U168" t="s">
        <v>21</v>
      </c>
    </row>
    <row r="169" spans="1:21">
      <c r="A169" t="str">
        <f t="shared" si="72"/>
        <v>05/11/2025</v>
      </c>
      <c r="B169" t="str">
        <f t="shared" si="64"/>
        <v>SAÍDA</v>
      </c>
      <c r="C169" t="str">
        <f t="shared" si="66"/>
        <v>BOLETO</v>
      </c>
      <c r="D169" t="str">
        <f t="shared" si="67"/>
        <v>01112025</v>
      </c>
      <c r="E169" t="str">
        <f t="shared" si="57"/>
        <v>COM</v>
      </c>
      <c r="F169" t="str">
        <f t="shared" si="68"/>
        <v>CORA SOCIEDADE DE CREDITO, FINANCIAMENTO E INVESTIMENTO (20035)</v>
      </c>
      <c r="G169" t="str">
        <f t="shared" si="69"/>
        <v xml:space="preserve">TAXA BOLETO CORA </v>
      </c>
      <c r="H169" t="str">
        <f t="shared" si="71"/>
        <v>05/11/2025</v>
      </c>
      <c r="I169" t="str">
        <f t="shared" si="71"/>
        <v>05/11/2025</v>
      </c>
      <c r="J169" t="str">
        <f t="shared" si="73"/>
        <v>05/11/2025</v>
      </c>
      <c r="M169">
        <v>401</v>
      </c>
      <c r="N169" t="str">
        <f t="shared" si="70"/>
        <v>IOF/JUROS/DESP.FINANCEIRA</v>
      </c>
      <c r="P169">
        <v>1.7</v>
      </c>
      <c r="Q169" t="str">
        <f>"CORA SOCIEDADE DE CREDITO, FINANCIAMENTO E INVESTIMENTO (20035)"</f>
        <v>CORA SOCIEDADE DE CREDITO, FINANCIAMENTO E INVESTIMENTO (20035)</v>
      </c>
      <c r="R169" t="str">
        <f t="shared" si="65"/>
        <v>BANCO CORA (102)</v>
      </c>
      <c r="S169">
        <v>3036</v>
      </c>
      <c r="T169">
        <v>2551</v>
      </c>
      <c r="U169" t="s">
        <v>21</v>
      </c>
    </row>
    <row r="170" spans="1:21">
      <c r="A170" t="str">
        <f t="shared" si="72"/>
        <v>05/11/2025</v>
      </c>
      <c r="B170" t="str">
        <f t="shared" si="64"/>
        <v>SAÍDA</v>
      </c>
      <c r="C170" t="str">
        <f t="shared" si="66"/>
        <v>BOLETO</v>
      </c>
      <c r="D170" t="str">
        <f t="shared" si="67"/>
        <v>01112025</v>
      </c>
      <c r="E170" t="str">
        <f t="shared" si="57"/>
        <v>COM</v>
      </c>
      <c r="F170" t="str">
        <f t="shared" si="68"/>
        <v>CORA SOCIEDADE DE CREDITO, FINANCIAMENTO E INVESTIMENTO (20035)</v>
      </c>
      <c r="G170" t="str">
        <f t="shared" si="69"/>
        <v xml:space="preserve">TAXA BOLETO CORA </v>
      </c>
      <c r="H170" t="str">
        <f t="shared" si="71"/>
        <v>05/11/2025</v>
      </c>
      <c r="I170" t="str">
        <f t="shared" si="71"/>
        <v>05/11/2025</v>
      </c>
      <c r="J170" t="str">
        <f t="shared" si="73"/>
        <v>05/11/2025</v>
      </c>
      <c r="K170">
        <v>1.7</v>
      </c>
      <c r="L170">
        <v>1.7</v>
      </c>
      <c r="M170">
        <v>401</v>
      </c>
      <c r="N170" t="str">
        <f t="shared" si="70"/>
        <v>IOF/JUROS/DESP.FINANCEIRA</v>
      </c>
      <c r="O170">
        <v>1.7</v>
      </c>
      <c r="R170" t="str">
        <f t="shared" si="65"/>
        <v>BANCO CORA (102)</v>
      </c>
      <c r="S170">
        <v>3037</v>
      </c>
      <c r="T170">
        <v>2552</v>
      </c>
      <c r="U170" t="s">
        <v>21</v>
      </c>
    </row>
    <row r="171" spans="1:21">
      <c r="A171" t="str">
        <f t="shared" si="72"/>
        <v>05/11/2025</v>
      </c>
      <c r="B171" t="str">
        <f t="shared" si="64"/>
        <v>SAÍDA</v>
      </c>
      <c r="C171" t="str">
        <f t="shared" si="66"/>
        <v>BOLETO</v>
      </c>
      <c r="D171" t="str">
        <f t="shared" si="67"/>
        <v>01112025</v>
      </c>
      <c r="E171" t="str">
        <f t="shared" si="57"/>
        <v>COM</v>
      </c>
      <c r="F171" t="str">
        <f t="shared" si="68"/>
        <v>CORA SOCIEDADE DE CREDITO, FINANCIAMENTO E INVESTIMENTO (20035)</v>
      </c>
      <c r="G171" t="str">
        <f t="shared" si="69"/>
        <v xml:space="preserve">TAXA BOLETO CORA </v>
      </c>
      <c r="H171" t="str">
        <f t="shared" si="71"/>
        <v>05/11/2025</v>
      </c>
      <c r="I171" t="str">
        <f t="shared" si="71"/>
        <v>05/11/2025</v>
      </c>
      <c r="J171" t="str">
        <f t="shared" si="73"/>
        <v>05/11/2025</v>
      </c>
      <c r="M171">
        <v>401</v>
      </c>
      <c r="N171" t="str">
        <f t="shared" si="70"/>
        <v>IOF/JUROS/DESP.FINANCEIRA</v>
      </c>
      <c r="P171">
        <v>1.7</v>
      </c>
      <c r="Q171" t="str">
        <f>"CORA SOCIEDADE DE CREDITO, FINANCIAMENTO E INVESTIMENTO (20035)"</f>
        <v>CORA SOCIEDADE DE CREDITO, FINANCIAMENTO E INVESTIMENTO (20035)</v>
      </c>
      <c r="R171" t="str">
        <f t="shared" si="65"/>
        <v>BANCO CORA (102)</v>
      </c>
      <c r="S171">
        <v>3037</v>
      </c>
      <c r="T171">
        <v>2552</v>
      </c>
      <c r="U171" t="s">
        <v>21</v>
      </c>
    </row>
    <row r="172" spans="1:21">
      <c r="A172" t="str">
        <f t="shared" si="72"/>
        <v>05/11/2025</v>
      </c>
      <c r="B172" t="str">
        <f t="shared" si="64"/>
        <v>SAÍDA</v>
      </c>
      <c r="C172" t="str">
        <f t="shared" si="66"/>
        <v>BOLETO</v>
      </c>
      <c r="D172" t="str">
        <f t="shared" si="67"/>
        <v>01112025</v>
      </c>
      <c r="E172" t="str">
        <f t="shared" si="57"/>
        <v>COM</v>
      </c>
      <c r="F172" t="str">
        <f t="shared" si="68"/>
        <v>CORA SOCIEDADE DE CREDITO, FINANCIAMENTO E INVESTIMENTO (20035)</v>
      </c>
      <c r="G172" t="str">
        <f t="shared" si="69"/>
        <v xml:space="preserve">TAXA BOLETO CORA </v>
      </c>
      <c r="H172" t="str">
        <f t="shared" si="71"/>
        <v>05/11/2025</v>
      </c>
      <c r="I172" t="str">
        <f t="shared" si="71"/>
        <v>05/11/2025</v>
      </c>
      <c r="J172" t="str">
        <f t="shared" si="73"/>
        <v>05/11/2025</v>
      </c>
      <c r="K172">
        <v>1.7</v>
      </c>
      <c r="L172">
        <v>1.7</v>
      </c>
      <c r="M172">
        <v>401</v>
      </c>
      <c r="N172" t="str">
        <f t="shared" si="70"/>
        <v>IOF/JUROS/DESP.FINANCEIRA</v>
      </c>
      <c r="O172">
        <v>1.7</v>
      </c>
      <c r="R172" t="str">
        <f t="shared" si="65"/>
        <v>BANCO CORA (102)</v>
      </c>
      <c r="S172">
        <v>3038</v>
      </c>
      <c r="T172">
        <v>2553</v>
      </c>
      <c r="U172" t="s">
        <v>21</v>
      </c>
    </row>
    <row r="173" spans="1:21">
      <c r="A173" t="str">
        <f t="shared" si="72"/>
        <v>05/11/2025</v>
      </c>
      <c r="B173" t="str">
        <f t="shared" si="64"/>
        <v>SAÍDA</v>
      </c>
      <c r="C173" t="str">
        <f t="shared" si="66"/>
        <v>BOLETO</v>
      </c>
      <c r="D173" t="str">
        <f t="shared" si="67"/>
        <v>01112025</v>
      </c>
      <c r="E173" t="str">
        <f t="shared" si="57"/>
        <v>COM</v>
      </c>
      <c r="F173" t="str">
        <f t="shared" si="68"/>
        <v>CORA SOCIEDADE DE CREDITO, FINANCIAMENTO E INVESTIMENTO (20035)</v>
      </c>
      <c r="G173" t="str">
        <f t="shared" si="69"/>
        <v xml:space="preserve">TAXA BOLETO CORA </v>
      </c>
      <c r="H173" t="str">
        <f t="shared" si="71"/>
        <v>05/11/2025</v>
      </c>
      <c r="I173" t="str">
        <f t="shared" si="71"/>
        <v>05/11/2025</v>
      </c>
      <c r="J173" t="str">
        <f t="shared" si="73"/>
        <v>05/11/2025</v>
      </c>
      <c r="M173">
        <v>401</v>
      </c>
      <c r="N173" t="str">
        <f t="shared" si="70"/>
        <v>IOF/JUROS/DESP.FINANCEIRA</v>
      </c>
      <c r="P173">
        <v>1.7</v>
      </c>
      <c r="Q173" t="str">
        <f>"CORA SOCIEDADE DE CREDITO, FINANCIAMENTO E INVESTIMENTO (20035)"</f>
        <v>CORA SOCIEDADE DE CREDITO, FINANCIAMENTO E INVESTIMENTO (20035)</v>
      </c>
      <c r="R173" t="str">
        <f t="shared" si="65"/>
        <v>BANCO CORA (102)</v>
      </c>
      <c r="S173">
        <v>3038</v>
      </c>
      <c r="T173">
        <v>2553</v>
      </c>
      <c r="U173" t="s">
        <v>21</v>
      </c>
    </row>
    <row r="174" spans="1:21">
      <c r="A174" t="str">
        <f t="shared" si="72"/>
        <v>05/11/2025</v>
      </c>
      <c r="B174" t="str">
        <f t="shared" si="64"/>
        <v>SAÍDA</v>
      </c>
      <c r="C174" t="str">
        <f t="shared" si="66"/>
        <v>BOLETO</v>
      </c>
      <c r="D174" t="str">
        <f t="shared" si="67"/>
        <v>01112025</v>
      </c>
      <c r="E174" t="str">
        <f t="shared" si="57"/>
        <v>COM</v>
      </c>
      <c r="F174" t="str">
        <f t="shared" si="68"/>
        <v>CORA SOCIEDADE DE CREDITO, FINANCIAMENTO E INVESTIMENTO (20035)</v>
      </c>
      <c r="G174" t="str">
        <f t="shared" si="69"/>
        <v xml:space="preserve">TAXA BOLETO CORA </v>
      </c>
      <c r="H174" t="str">
        <f t="shared" si="71"/>
        <v>05/11/2025</v>
      </c>
      <c r="I174" t="str">
        <f t="shared" si="71"/>
        <v>05/11/2025</v>
      </c>
      <c r="J174" t="str">
        <f t="shared" si="73"/>
        <v>05/11/2025</v>
      </c>
      <c r="K174">
        <v>1.7</v>
      </c>
      <c r="L174">
        <v>1.7</v>
      </c>
      <c r="M174">
        <v>401</v>
      </c>
      <c r="N174" t="str">
        <f t="shared" si="70"/>
        <v>IOF/JUROS/DESP.FINANCEIRA</v>
      </c>
      <c r="O174">
        <v>1.7</v>
      </c>
      <c r="R174" t="str">
        <f t="shared" si="65"/>
        <v>BANCO CORA (102)</v>
      </c>
      <c r="S174">
        <v>3039</v>
      </c>
      <c r="T174">
        <v>2554</v>
      </c>
      <c r="U174" t="s">
        <v>21</v>
      </c>
    </row>
    <row r="175" spans="1:21">
      <c r="A175" t="str">
        <f t="shared" si="72"/>
        <v>05/11/2025</v>
      </c>
      <c r="B175" t="str">
        <f t="shared" si="64"/>
        <v>SAÍDA</v>
      </c>
      <c r="C175" t="str">
        <f t="shared" si="66"/>
        <v>BOLETO</v>
      </c>
      <c r="D175" t="str">
        <f t="shared" si="67"/>
        <v>01112025</v>
      </c>
      <c r="E175" t="str">
        <f t="shared" si="57"/>
        <v>COM</v>
      </c>
      <c r="F175" t="str">
        <f t="shared" si="68"/>
        <v>CORA SOCIEDADE DE CREDITO, FINANCIAMENTO E INVESTIMENTO (20035)</v>
      </c>
      <c r="G175" t="str">
        <f t="shared" si="69"/>
        <v xml:space="preserve">TAXA BOLETO CORA </v>
      </c>
      <c r="H175" t="str">
        <f t="shared" si="71"/>
        <v>05/11/2025</v>
      </c>
      <c r="I175" t="str">
        <f t="shared" si="71"/>
        <v>05/11/2025</v>
      </c>
      <c r="J175" t="str">
        <f t="shared" si="73"/>
        <v>05/11/2025</v>
      </c>
      <c r="M175">
        <v>401</v>
      </c>
      <c r="N175" t="str">
        <f t="shared" si="70"/>
        <v>IOF/JUROS/DESP.FINANCEIRA</v>
      </c>
      <c r="P175">
        <v>1.7</v>
      </c>
      <c r="Q175" t="str">
        <f>"CORA SOCIEDADE DE CREDITO, FINANCIAMENTO E INVESTIMENTO (20035)"</f>
        <v>CORA SOCIEDADE DE CREDITO, FINANCIAMENTO E INVESTIMENTO (20035)</v>
      </c>
      <c r="R175" t="str">
        <f t="shared" si="65"/>
        <v>BANCO CORA (102)</v>
      </c>
      <c r="S175">
        <v>3039</v>
      </c>
      <c r="T175">
        <v>2554</v>
      </c>
      <c r="U175" t="s">
        <v>21</v>
      </c>
    </row>
    <row r="176" spans="1:21">
      <c r="A176" t="str">
        <f t="shared" si="72"/>
        <v>05/11/2025</v>
      </c>
      <c r="B176" t="str">
        <f t="shared" si="64"/>
        <v>SAÍDA</v>
      </c>
      <c r="C176" t="str">
        <f t="shared" si="66"/>
        <v>BOLETO</v>
      </c>
      <c r="D176" t="str">
        <f t="shared" si="67"/>
        <v>01112025</v>
      </c>
      <c r="E176" t="str">
        <f t="shared" si="57"/>
        <v>COM</v>
      </c>
      <c r="F176" t="str">
        <f t="shared" si="68"/>
        <v>CORA SOCIEDADE DE CREDITO, FINANCIAMENTO E INVESTIMENTO (20035)</v>
      </c>
      <c r="G176" t="str">
        <f t="shared" si="69"/>
        <v xml:space="preserve">TAXA BOLETO CORA </v>
      </c>
      <c r="H176" t="str">
        <f t="shared" si="71"/>
        <v>05/11/2025</v>
      </c>
      <c r="I176" t="str">
        <f t="shared" si="71"/>
        <v>05/11/2025</v>
      </c>
      <c r="J176" t="str">
        <f t="shared" si="73"/>
        <v>05/11/2025</v>
      </c>
      <c r="K176">
        <v>1.7</v>
      </c>
      <c r="L176">
        <v>1.7</v>
      </c>
      <c r="M176">
        <v>401</v>
      </c>
      <c r="N176" t="str">
        <f t="shared" si="70"/>
        <v>IOF/JUROS/DESP.FINANCEIRA</v>
      </c>
      <c r="O176">
        <v>1.7</v>
      </c>
      <c r="R176" t="str">
        <f t="shared" si="65"/>
        <v>BANCO CORA (102)</v>
      </c>
      <c r="S176">
        <v>3040</v>
      </c>
      <c r="T176">
        <v>2555</v>
      </c>
      <c r="U176" t="s">
        <v>21</v>
      </c>
    </row>
    <row r="177" spans="1:21">
      <c r="A177" t="str">
        <f t="shared" si="72"/>
        <v>05/11/2025</v>
      </c>
      <c r="B177" t="str">
        <f t="shared" si="64"/>
        <v>SAÍDA</v>
      </c>
      <c r="C177" t="str">
        <f t="shared" si="66"/>
        <v>BOLETO</v>
      </c>
      <c r="D177" t="str">
        <f t="shared" si="67"/>
        <v>01112025</v>
      </c>
      <c r="E177" t="str">
        <f t="shared" si="57"/>
        <v>COM</v>
      </c>
      <c r="F177" t="str">
        <f t="shared" si="68"/>
        <v>CORA SOCIEDADE DE CREDITO, FINANCIAMENTO E INVESTIMENTO (20035)</v>
      </c>
      <c r="G177" t="str">
        <f t="shared" si="69"/>
        <v xml:space="preserve">TAXA BOLETO CORA </v>
      </c>
      <c r="H177" t="str">
        <f t="shared" si="71"/>
        <v>05/11/2025</v>
      </c>
      <c r="I177" t="str">
        <f t="shared" si="71"/>
        <v>05/11/2025</v>
      </c>
      <c r="J177" t="str">
        <f t="shared" si="73"/>
        <v>05/11/2025</v>
      </c>
      <c r="M177">
        <v>401</v>
      </c>
      <c r="N177" t="str">
        <f t="shared" si="70"/>
        <v>IOF/JUROS/DESP.FINANCEIRA</v>
      </c>
      <c r="P177">
        <v>1.7</v>
      </c>
      <c r="Q177" t="str">
        <f>"CORA SOCIEDADE DE CREDITO, FINANCIAMENTO E INVESTIMENTO (20035)"</f>
        <v>CORA SOCIEDADE DE CREDITO, FINANCIAMENTO E INVESTIMENTO (20035)</v>
      </c>
      <c r="R177" t="str">
        <f t="shared" si="65"/>
        <v>BANCO CORA (102)</v>
      </c>
      <c r="S177">
        <v>3040</v>
      </c>
      <c r="T177">
        <v>2555</v>
      </c>
      <c r="U177" t="s">
        <v>21</v>
      </c>
    </row>
    <row r="178" spans="1:21">
      <c r="A178" t="str">
        <f t="shared" si="72"/>
        <v>05/11/2025</v>
      </c>
      <c r="B178" t="str">
        <f t="shared" si="64"/>
        <v>SAÍDA</v>
      </c>
      <c r="C178" t="str">
        <f t="shared" si="66"/>
        <v>BOLETO</v>
      </c>
      <c r="D178" t="str">
        <f t="shared" si="67"/>
        <v>01112025</v>
      </c>
      <c r="E178" t="str">
        <f t="shared" si="57"/>
        <v>COM</v>
      </c>
      <c r="F178" t="str">
        <f t="shared" si="68"/>
        <v>CORA SOCIEDADE DE CREDITO, FINANCIAMENTO E INVESTIMENTO (20035)</v>
      </c>
      <c r="G178" t="str">
        <f t="shared" si="69"/>
        <v xml:space="preserve">TAXA BOLETO CORA </v>
      </c>
      <c r="H178" t="str">
        <f t="shared" si="71"/>
        <v>05/11/2025</v>
      </c>
      <c r="I178" t="str">
        <f t="shared" si="71"/>
        <v>05/11/2025</v>
      </c>
      <c r="J178" t="str">
        <f t="shared" si="73"/>
        <v>05/11/2025</v>
      </c>
      <c r="K178">
        <v>1.7</v>
      </c>
      <c r="L178">
        <v>1.7</v>
      </c>
      <c r="M178">
        <v>401</v>
      </c>
      <c r="N178" t="str">
        <f t="shared" si="70"/>
        <v>IOF/JUROS/DESP.FINANCEIRA</v>
      </c>
      <c r="O178">
        <v>1.7</v>
      </c>
      <c r="R178" t="str">
        <f t="shared" si="65"/>
        <v>BANCO CORA (102)</v>
      </c>
      <c r="S178">
        <v>3041</v>
      </c>
      <c r="T178">
        <v>2556</v>
      </c>
      <c r="U178" t="s">
        <v>21</v>
      </c>
    </row>
    <row r="179" spans="1:21">
      <c r="A179" t="str">
        <f t="shared" si="72"/>
        <v>05/11/2025</v>
      </c>
      <c r="B179" t="str">
        <f t="shared" si="64"/>
        <v>SAÍDA</v>
      </c>
      <c r="C179" t="str">
        <f t="shared" si="66"/>
        <v>BOLETO</v>
      </c>
      <c r="D179" t="str">
        <f t="shared" si="67"/>
        <v>01112025</v>
      </c>
      <c r="E179" t="str">
        <f t="shared" si="57"/>
        <v>COM</v>
      </c>
      <c r="F179" t="str">
        <f t="shared" si="68"/>
        <v>CORA SOCIEDADE DE CREDITO, FINANCIAMENTO E INVESTIMENTO (20035)</v>
      </c>
      <c r="G179" t="str">
        <f t="shared" si="69"/>
        <v xml:space="preserve">TAXA BOLETO CORA </v>
      </c>
      <c r="H179" t="str">
        <f t="shared" si="71"/>
        <v>05/11/2025</v>
      </c>
      <c r="I179" t="str">
        <f t="shared" si="71"/>
        <v>05/11/2025</v>
      </c>
      <c r="J179" t="str">
        <f t="shared" si="73"/>
        <v>05/11/2025</v>
      </c>
      <c r="M179">
        <v>401</v>
      </c>
      <c r="N179" t="str">
        <f t="shared" si="70"/>
        <v>IOF/JUROS/DESP.FINANCEIRA</v>
      </c>
      <c r="P179">
        <v>1.7</v>
      </c>
      <c r="Q179" t="str">
        <f>"CORA SOCIEDADE DE CREDITO, FINANCIAMENTO E INVESTIMENTO (20035)"</f>
        <v>CORA SOCIEDADE DE CREDITO, FINANCIAMENTO E INVESTIMENTO (20035)</v>
      </c>
      <c r="R179" t="str">
        <f t="shared" si="65"/>
        <v>BANCO CORA (102)</v>
      </c>
      <c r="S179">
        <v>3041</v>
      </c>
      <c r="T179">
        <v>2556</v>
      </c>
      <c r="U179" t="s">
        <v>21</v>
      </c>
    </row>
    <row r="180" spans="1:21">
      <c r="A180" t="str">
        <f t="shared" si="72"/>
        <v>05/11/2025</v>
      </c>
      <c r="B180" t="str">
        <f t="shared" si="64"/>
        <v>SAÍDA</v>
      </c>
      <c r="C180" t="str">
        <f t="shared" si="66"/>
        <v>BOLETO</v>
      </c>
      <c r="D180" t="str">
        <f t="shared" si="67"/>
        <v>01112025</v>
      </c>
      <c r="E180" t="str">
        <f t="shared" si="57"/>
        <v>COM</v>
      </c>
      <c r="F180" t="str">
        <f t="shared" si="68"/>
        <v>CORA SOCIEDADE DE CREDITO, FINANCIAMENTO E INVESTIMENTO (20035)</v>
      </c>
      <c r="G180" t="str">
        <f t="shared" si="69"/>
        <v xml:space="preserve">TAXA BOLETO CORA </v>
      </c>
      <c r="H180" t="str">
        <f t="shared" si="71"/>
        <v>05/11/2025</v>
      </c>
      <c r="I180" t="str">
        <f t="shared" si="71"/>
        <v>05/11/2025</v>
      </c>
      <c r="J180" t="str">
        <f t="shared" si="73"/>
        <v>05/11/2025</v>
      </c>
      <c r="K180">
        <v>1.7</v>
      </c>
      <c r="L180">
        <v>1.7</v>
      </c>
      <c r="M180">
        <v>401</v>
      </c>
      <c r="N180" t="str">
        <f t="shared" si="70"/>
        <v>IOF/JUROS/DESP.FINANCEIRA</v>
      </c>
      <c r="O180">
        <v>1.7</v>
      </c>
      <c r="R180" t="str">
        <f t="shared" si="65"/>
        <v>BANCO CORA (102)</v>
      </c>
      <c r="S180">
        <v>3042</v>
      </c>
      <c r="T180">
        <v>2557</v>
      </c>
      <c r="U180" t="s">
        <v>21</v>
      </c>
    </row>
    <row r="181" spans="1:21">
      <c r="A181" t="str">
        <f t="shared" si="72"/>
        <v>05/11/2025</v>
      </c>
      <c r="B181" t="str">
        <f t="shared" si="64"/>
        <v>SAÍDA</v>
      </c>
      <c r="C181" t="str">
        <f t="shared" si="66"/>
        <v>BOLETO</v>
      </c>
      <c r="D181" t="str">
        <f t="shared" si="67"/>
        <v>01112025</v>
      </c>
      <c r="E181" t="str">
        <f t="shared" si="57"/>
        <v>COM</v>
      </c>
      <c r="F181" t="str">
        <f t="shared" si="68"/>
        <v>CORA SOCIEDADE DE CREDITO, FINANCIAMENTO E INVESTIMENTO (20035)</v>
      </c>
      <c r="G181" t="str">
        <f t="shared" si="69"/>
        <v xml:space="preserve">TAXA BOLETO CORA </v>
      </c>
      <c r="H181" t="str">
        <f t="shared" si="71"/>
        <v>05/11/2025</v>
      </c>
      <c r="I181" t="str">
        <f t="shared" si="71"/>
        <v>05/11/2025</v>
      </c>
      <c r="J181" t="str">
        <f t="shared" si="73"/>
        <v>05/11/2025</v>
      </c>
      <c r="M181">
        <v>401</v>
      </c>
      <c r="N181" t="str">
        <f t="shared" si="70"/>
        <v>IOF/JUROS/DESP.FINANCEIRA</v>
      </c>
      <c r="P181">
        <v>1.7</v>
      </c>
      <c r="Q181" t="str">
        <f>"CORA SOCIEDADE DE CREDITO, FINANCIAMENTO E INVESTIMENTO (20035)"</f>
        <v>CORA SOCIEDADE DE CREDITO, FINANCIAMENTO E INVESTIMENTO (20035)</v>
      </c>
      <c r="R181" t="str">
        <f t="shared" si="65"/>
        <v>BANCO CORA (102)</v>
      </c>
      <c r="S181">
        <v>3042</v>
      </c>
      <c r="T181">
        <v>2557</v>
      </c>
      <c r="U181" t="s">
        <v>21</v>
      </c>
    </row>
    <row r="182" spans="1:21">
      <c r="A182" t="str">
        <f t="shared" si="72"/>
        <v>05/11/2025</v>
      </c>
      <c r="B182" t="str">
        <f t="shared" si="64"/>
        <v>SAÍDA</v>
      </c>
      <c r="C182" t="str">
        <f t="shared" si="66"/>
        <v>BOLETO</v>
      </c>
      <c r="D182" t="str">
        <f t="shared" si="67"/>
        <v>01112025</v>
      </c>
      <c r="E182" t="str">
        <f t="shared" si="57"/>
        <v>COM</v>
      </c>
      <c r="F182" t="str">
        <f t="shared" si="68"/>
        <v>CORA SOCIEDADE DE CREDITO, FINANCIAMENTO E INVESTIMENTO (20035)</v>
      </c>
      <c r="G182" t="str">
        <f t="shared" si="69"/>
        <v xml:space="preserve">TAXA BOLETO CORA </v>
      </c>
      <c r="H182" t="str">
        <f t="shared" ref="H182:I189" si="74">("05/11/2025")</f>
        <v>05/11/2025</v>
      </c>
      <c r="I182" t="str">
        <f t="shared" si="74"/>
        <v>05/11/2025</v>
      </c>
      <c r="J182" t="str">
        <f t="shared" si="73"/>
        <v>05/11/2025</v>
      </c>
      <c r="K182">
        <v>1.7</v>
      </c>
      <c r="L182">
        <v>1.7</v>
      </c>
      <c r="M182">
        <v>401</v>
      </c>
      <c r="N182" t="str">
        <f t="shared" si="70"/>
        <v>IOF/JUROS/DESP.FINANCEIRA</v>
      </c>
      <c r="O182">
        <v>1.7</v>
      </c>
      <c r="R182" t="str">
        <f t="shared" si="65"/>
        <v>BANCO CORA (102)</v>
      </c>
      <c r="S182">
        <v>3043</v>
      </c>
      <c r="T182">
        <v>2558</v>
      </c>
      <c r="U182" t="s">
        <v>21</v>
      </c>
    </row>
    <row r="183" spans="1:21">
      <c r="A183" t="str">
        <f t="shared" si="72"/>
        <v>05/11/2025</v>
      </c>
      <c r="B183" t="str">
        <f t="shared" si="64"/>
        <v>SAÍDA</v>
      </c>
      <c r="C183" t="str">
        <f t="shared" si="66"/>
        <v>BOLETO</v>
      </c>
      <c r="D183" t="str">
        <f t="shared" si="67"/>
        <v>01112025</v>
      </c>
      <c r="E183" t="str">
        <f t="shared" si="57"/>
        <v>COM</v>
      </c>
      <c r="F183" t="str">
        <f t="shared" si="68"/>
        <v>CORA SOCIEDADE DE CREDITO, FINANCIAMENTO E INVESTIMENTO (20035)</v>
      </c>
      <c r="G183" t="str">
        <f t="shared" si="69"/>
        <v xml:space="preserve">TAXA BOLETO CORA </v>
      </c>
      <c r="H183" t="str">
        <f t="shared" si="74"/>
        <v>05/11/2025</v>
      </c>
      <c r="I183" t="str">
        <f t="shared" si="74"/>
        <v>05/11/2025</v>
      </c>
      <c r="J183" t="str">
        <f t="shared" si="73"/>
        <v>05/11/2025</v>
      </c>
      <c r="M183">
        <v>401</v>
      </c>
      <c r="N183" t="str">
        <f t="shared" si="70"/>
        <v>IOF/JUROS/DESP.FINANCEIRA</v>
      </c>
      <c r="P183">
        <v>1.7</v>
      </c>
      <c r="Q183" t="str">
        <f>"CORA SOCIEDADE DE CREDITO, FINANCIAMENTO E INVESTIMENTO (20035)"</f>
        <v>CORA SOCIEDADE DE CREDITO, FINANCIAMENTO E INVESTIMENTO (20035)</v>
      </c>
      <c r="R183" t="str">
        <f t="shared" si="65"/>
        <v>BANCO CORA (102)</v>
      </c>
      <c r="S183">
        <v>3043</v>
      </c>
      <c r="T183">
        <v>2558</v>
      </c>
      <c r="U183" t="s">
        <v>21</v>
      </c>
    </row>
    <row r="184" spans="1:21">
      <c r="A184" t="str">
        <f t="shared" si="72"/>
        <v>05/11/2025</v>
      </c>
      <c r="B184" t="str">
        <f t="shared" si="64"/>
        <v>SAÍDA</v>
      </c>
      <c r="C184" t="str">
        <f t="shared" si="66"/>
        <v>BOLETO</v>
      </c>
      <c r="D184" t="str">
        <f t="shared" si="67"/>
        <v>01112025</v>
      </c>
      <c r="E184" t="str">
        <f t="shared" si="57"/>
        <v>COM</v>
      </c>
      <c r="F184" t="str">
        <f t="shared" si="68"/>
        <v>CORA SOCIEDADE DE CREDITO, FINANCIAMENTO E INVESTIMENTO (20035)</v>
      </c>
      <c r="G184" t="str">
        <f t="shared" si="69"/>
        <v xml:space="preserve">TAXA BOLETO CORA </v>
      </c>
      <c r="H184" t="str">
        <f t="shared" si="74"/>
        <v>05/11/2025</v>
      </c>
      <c r="I184" t="str">
        <f t="shared" si="74"/>
        <v>05/11/2025</v>
      </c>
      <c r="J184" t="str">
        <f t="shared" si="73"/>
        <v>05/11/2025</v>
      </c>
      <c r="K184">
        <v>1.7</v>
      </c>
      <c r="L184">
        <v>1.7</v>
      </c>
      <c r="M184">
        <v>401</v>
      </c>
      <c r="N184" t="str">
        <f t="shared" si="70"/>
        <v>IOF/JUROS/DESP.FINANCEIRA</v>
      </c>
      <c r="O184">
        <v>1.7</v>
      </c>
      <c r="R184" t="str">
        <f t="shared" si="65"/>
        <v>BANCO CORA (102)</v>
      </c>
      <c r="S184">
        <v>3044</v>
      </c>
      <c r="T184">
        <v>2559</v>
      </c>
      <c r="U184" t="s">
        <v>21</v>
      </c>
    </row>
    <row r="185" spans="1:21">
      <c r="A185" t="str">
        <f t="shared" si="72"/>
        <v>05/11/2025</v>
      </c>
      <c r="B185" t="str">
        <f t="shared" si="64"/>
        <v>SAÍDA</v>
      </c>
      <c r="C185" t="str">
        <f t="shared" si="66"/>
        <v>BOLETO</v>
      </c>
      <c r="D185" t="str">
        <f t="shared" si="67"/>
        <v>01112025</v>
      </c>
      <c r="E185" t="str">
        <f t="shared" si="57"/>
        <v>COM</v>
      </c>
      <c r="F185" t="str">
        <f t="shared" si="68"/>
        <v>CORA SOCIEDADE DE CREDITO, FINANCIAMENTO E INVESTIMENTO (20035)</v>
      </c>
      <c r="G185" t="str">
        <f t="shared" si="69"/>
        <v xml:space="preserve">TAXA BOLETO CORA </v>
      </c>
      <c r="H185" t="str">
        <f t="shared" si="74"/>
        <v>05/11/2025</v>
      </c>
      <c r="I185" t="str">
        <f t="shared" si="74"/>
        <v>05/11/2025</v>
      </c>
      <c r="J185" t="str">
        <f t="shared" si="73"/>
        <v>05/11/2025</v>
      </c>
      <c r="M185">
        <v>401</v>
      </c>
      <c r="N185" t="str">
        <f t="shared" si="70"/>
        <v>IOF/JUROS/DESP.FINANCEIRA</v>
      </c>
      <c r="P185">
        <v>1.7</v>
      </c>
      <c r="Q185" t="str">
        <f>"CORA SOCIEDADE DE CREDITO, FINANCIAMENTO E INVESTIMENTO (20035)"</f>
        <v>CORA SOCIEDADE DE CREDITO, FINANCIAMENTO E INVESTIMENTO (20035)</v>
      </c>
      <c r="R185" t="str">
        <f t="shared" si="65"/>
        <v>BANCO CORA (102)</v>
      </c>
      <c r="S185">
        <v>3044</v>
      </c>
      <c r="T185">
        <v>2559</v>
      </c>
      <c r="U185" t="s">
        <v>21</v>
      </c>
    </row>
    <row r="186" spans="1:21">
      <c r="A186" t="str">
        <f t="shared" si="72"/>
        <v>05/11/2025</v>
      </c>
      <c r="B186" t="str">
        <f t="shared" ref="B186:B195" si="75">"SAÍDA"</f>
        <v>SAÍDA</v>
      </c>
      <c r="C186" t="str">
        <f t="shared" si="66"/>
        <v>BOLETO</v>
      </c>
      <c r="D186" t="str">
        <f>"0511205"</f>
        <v>0511205</v>
      </c>
      <c r="E186" t="str">
        <f t="shared" si="57"/>
        <v>COM</v>
      </c>
      <c r="F186" t="str">
        <f>"LWSA SA (20054)"</f>
        <v>LWSA SA (20054)</v>
      </c>
      <c r="G186" t="str">
        <f>"PAGAMENTO SSL LOCAWEB"</f>
        <v>PAGAMENTO SSL LOCAWEB</v>
      </c>
      <c r="H186" t="str">
        <f t="shared" si="74"/>
        <v>05/11/2025</v>
      </c>
      <c r="I186" t="str">
        <f t="shared" si="74"/>
        <v>05/11/2025</v>
      </c>
      <c r="J186" t="str">
        <f t="shared" si="73"/>
        <v>05/11/2025</v>
      </c>
      <c r="K186">
        <v>126</v>
      </c>
      <c r="L186">
        <v>126</v>
      </c>
      <c r="M186">
        <v>104</v>
      </c>
      <c r="N186" t="str">
        <f>"SOFTWARE / LICENÇAS"</f>
        <v>SOFTWARE / LICENÇAS</v>
      </c>
      <c r="O186">
        <v>126</v>
      </c>
      <c r="R186" t="str">
        <f t="shared" ref="R186:R195" si="76">"BANCO CORA (102)"</f>
        <v>BANCO CORA (102)</v>
      </c>
      <c r="S186">
        <v>3146</v>
      </c>
      <c r="T186">
        <v>2738</v>
      </c>
      <c r="U186" t="s">
        <v>21</v>
      </c>
    </row>
    <row r="187" spans="1:21">
      <c r="A187" t="str">
        <f t="shared" si="72"/>
        <v>05/11/2025</v>
      </c>
      <c r="B187" t="str">
        <f t="shared" si="75"/>
        <v>SAÍDA</v>
      </c>
      <c r="C187" t="str">
        <f t="shared" si="66"/>
        <v>BOLETO</v>
      </c>
      <c r="D187" t="str">
        <f>"0511205"</f>
        <v>0511205</v>
      </c>
      <c r="E187" t="str">
        <f t="shared" si="57"/>
        <v>COM</v>
      </c>
      <c r="F187" t="str">
        <f>"LWSA SA (20054)"</f>
        <v>LWSA SA (20054)</v>
      </c>
      <c r="G187" t="str">
        <f>"PAGAMENTO SSL LOCAWEB"</f>
        <v>PAGAMENTO SSL LOCAWEB</v>
      </c>
      <c r="H187" t="str">
        <f t="shared" si="74"/>
        <v>05/11/2025</v>
      </c>
      <c r="I187" t="str">
        <f t="shared" si="74"/>
        <v>05/11/2025</v>
      </c>
      <c r="J187" t="str">
        <f t="shared" si="73"/>
        <v>05/11/2025</v>
      </c>
      <c r="M187">
        <v>104</v>
      </c>
      <c r="N187" t="str">
        <f>"SOFTWARE / LICENÇAS"</f>
        <v>SOFTWARE / LICENÇAS</v>
      </c>
      <c r="P187">
        <v>126</v>
      </c>
      <c r="Q187" t="str">
        <f>"LWSA SA (20054)"</f>
        <v>LWSA SA (20054)</v>
      </c>
      <c r="R187" t="str">
        <f t="shared" si="76"/>
        <v>BANCO CORA (102)</v>
      </c>
      <c r="S187">
        <v>3146</v>
      </c>
      <c r="T187">
        <v>2738</v>
      </c>
      <c r="U187" t="s">
        <v>21</v>
      </c>
    </row>
    <row r="188" spans="1:21">
      <c r="A188" t="str">
        <f t="shared" si="72"/>
        <v>05/11/2025</v>
      </c>
      <c r="B188" t="str">
        <f t="shared" si="75"/>
        <v>SAÍDA</v>
      </c>
      <c r="C188" t="str">
        <f t="shared" si="66"/>
        <v>BOLETO</v>
      </c>
      <c r="D188" t="str">
        <f>"05112025"</f>
        <v>05112025</v>
      </c>
      <c r="E188" t="str">
        <f t="shared" si="57"/>
        <v>COM</v>
      </c>
      <c r="F188" t="str">
        <f>"LWSA SA (20054)"</f>
        <v>LWSA SA (20054)</v>
      </c>
      <c r="G188" t="str">
        <f>"PAGAMENTO SERVIDOR LOCAWEB"</f>
        <v>PAGAMENTO SERVIDOR LOCAWEB</v>
      </c>
      <c r="H188" t="str">
        <f t="shared" si="74"/>
        <v>05/11/2025</v>
      </c>
      <c r="I188" t="str">
        <f t="shared" si="74"/>
        <v>05/11/2025</v>
      </c>
      <c r="J188" t="str">
        <f t="shared" si="73"/>
        <v>05/11/2025</v>
      </c>
      <c r="K188">
        <v>386.52</v>
      </c>
      <c r="L188">
        <v>386.52</v>
      </c>
      <c r="M188">
        <v>104</v>
      </c>
      <c r="N188" t="str">
        <f>"SOFTWARE / LICENÇAS"</f>
        <v>SOFTWARE / LICENÇAS</v>
      </c>
      <c r="O188">
        <v>386.52</v>
      </c>
      <c r="R188" t="str">
        <f t="shared" si="76"/>
        <v>BANCO CORA (102)</v>
      </c>
      <c r="S188">
        <v>3147</v>
      </c>
      <c r="T188">
        <v>2739</v>
      </c>
      <c r="U188" t="s">
        <v>21</v>
      </c>
    </row>
    <row r="189" spans="1:21">
      <c r="A189" t="str">
        <f t="shared" si="72"/>
        <v>05/11/2025</v>
      </c>
      <c r="B189" t="str">
        <f t="shared" si="75"/>
        <v>SAÍDA</v>
      </c>
      <c r="C189" t="str">
        <f t="shared" si="66"/>
        <v>BOLETO</v>
      </c>
      <c r="D189" t="str">
        <f>"05112025"</f>
        <v>05112025</v>
      </c>
      <c r="E189" t="str">
        <f t="shared" si="57"/>
        <v>COM</v>
      </c>
      <c r="F189" t="str">
        <f>"LWSA SA (20054)"</f>
        <v>LWSA SA (20054)</v>
      </c>
      <c r="G189" t="str">
        <f>"PAGAMENTO SERVIDOR LOCAWEB"</f>
        <v>PAGAMENTO SERVIDOR LOCAWEB</v>
      </c>
      <c r="H189" t="str">
        <f t="shared" si="74"/>
        <v>05/11/2025</v>
      </c>
      <c r="I189" t="str">
        <f t="shared" si="74"/>
        <v>05/11/2025</v>
      </c>
      <c r="J189" t="str">
        <f t="shared" si="73"/>
        <v>05/11/2025</v>
      </c>
      <c r="M189">
        <v>104</v>
      </c>
      <c r="N189" t="str">
        <f>"SOFTWARE / LICENÇAS"</f>
        <v>SOFTWARE / LICENÇAS</v>
      </c>
      <c r="P189">
        <v>386.52</v>
      </c>
      <c r="Q189" t="str">
        <f>"LWSA SA (20054)"</f>
        <v>LWSA SA (20054)</v>
      </c>
      <c r="R189" t="str">
        <f t="shared" si="76"/>
        <v>BANCO CORA (102)</v>
      </c>
      <c r="S189">
        <v>3147</v>
      </c>
      <c r="T189">
        <v>2739</v>
      </c>
      <c r="U189" t="s">
        <v>21</v>
      </c>
    </row>
    <row r="190" spans="1:21">
      <c r="A190" t="str">
        <f t="shared" si="72"/>
        <v>05/11/2025</v>
      </c>
      <c r="B190" t="str">
        <f t="shared" si="75"/>
        <v>SAÍDA</v>
      </c>
      <c r="C190" t="str">
        <f t="shared" ref="C190:C195" si="77">"PIX"</f>
        <v>PIX</v>
      </c>
      <c r="D190" t="str">
        <f>"10252333333"</f>
        <v>10252333333</v>
      </c>
      <c r="E190" t="str">
        <f t="shared" ref="E190:E253" si="78">"COM"</f>
        <v>COM</v>
      </c>
      <c r="F190" t="str">
        <f>"LILIANE DE FATIMA REZENDE JUSTINO (20013)"</f>
        <v>LILIANE DE FATIMA REZENDE JUSTINO (20013)</v>
      </c>
      <c r="G190" t="str">
        <f>"REF. PRO-LABORE MES 10/2025"</f>
        <v>REF. PRO-LABORE MES 10/2025</v>
      </c>
      <c r="H190" t="str">
        <f t="shared" ref="H190:H221" si="79">("05/11/2025")</f>
        <v>05/11/2025</v>
      </c>
      <c r="I190" t="str">
        <f t="shared" ref="I190:I195" si="80">("01/11/2025")</f>
        <v>01/11/2025</v>
      </c>
      <c r="J190" t="str">
        <f t="shared" si="73"/>
        <v>05/11/2025</v>
      </c>
      <c r="K190">
        <v>23252.73</v>
      </c>
      <c r="L190">
        <v>23252.73</v>
      </c>
      <c r="M190">
        <v>124</v>
      </c>
      <c r="N190" t="str">
        <f>"PRO LABORE - LILIANE"</f>
        <v>PRO LABORE - LILIANE</v>
      </c>
      <c r="O190">
        <v>23252.73</v>
      </c>
      <c r="R190" t="str">
        <f t="shared" si="76"/>
        <v>BANCO CORA (102)</v>
      </c>
      <c r="S190">
        <v>3191</v>
      </c>
      <c r="T190">
        <v>573</v>
      </c>
      <c r="U190" t="s">
        <v>21</v>
      </c>
    </row>
    <row r="191" spans="1:21">
      <c r="A191" t="str">
        <f t="shared" si="72"/>
        <v>05/11/2025</v>
      </c>
      <c r="B191" t="str">
        <f t="shared" si="75"/>
        <v>SAÍDA</v>
      </c>
      <c r="C191" t="str">
        <f t="shared" si="77"/>
        <v>PIX</v>
      </c>
      <c r="D191" t="str">
        <f>"10252333333"</f>
        <v>10252333333</v>
      </c>
      <c r="E191" t="str">
        <f t="shared" si="78"/>
        <v>COM</v>
      </c>
      <c r="F191" t="str">
        <f>"LILIANE DE FATIMA REZENDE JUSTINO (20013)"</f>
        <v>LILIANE DE FATIMA REZENDE JUSTINO (20013)</v>
      </c>
      <c r="G191" t="str">
        <f>"REF. PRO-LABORE MES 10/2025"</f>
        <v>REF. PRO-LABORE MES 10/2025</v>
      </c>
      <c r="H191" t="str">
        <f t="shared" si="79"/>
        <v>05/11/2025</v>
      </c>
      <c r="I191" t="str">
        <f t="shared" si="80"/>
        <v>01/11/2025</v>
      </c>
      <c r="J191" t="str">
        <f t="shared" si="73"/>
        <v>05/11/2025</v>
      </c>
      <c r="M191">
        <v>124</v>
      </c>
      <c r="N191" t="str">
        <f>"PRO LABORE - LILIANE"</f>
        <v>PRO LABORE - LILIANE</v>
      </c>
      <c r="P191">
        <v>23252.73</v>
      </c>
      <c r="Q191" t="str">
        <f>"LILIANE DE FATIMA REZENDE JUSTINO (20013)"</f>
        <v>LILIANE DE FATIMA REZENDE JUSTINO (20013)</v>
      </c>
      <c r="R191" t="str">
        <f t="shared" si="76"/>
        <v>BANCO CORA (102)</v>
      </c>
      <c r="S191">
        <v>3191</v>
      </c>
      <c r="T191">
        <v>573</v>
      </c>
      <c r="U191" t="s">
        <v>21</v>
      </c>
    </row>
    <row r="192" spans="1:21">
      <c r="A192" t="str">
        <f t="shared" si="72"/>
        <v>05/11/2025</v>
      </c>
      <c r="B192" t="str">
        <f t="shared" si="75"/>
        <v>SAÍDA</v>
      </c>
      <c r="C192" t="str">
        <f t="shared" si="77"/>
        <v>PIX</v>
      </c>
      <c r="D192" t="str">
        <f>"10251500"</f>
        <v>10251500</v>
      </c>
      <c r="E192" t="str">
        <f t="shared" si="78"/>
        <v>COM</v>
      </c>
      <c r="F192" t="str">
        <f>"LILIANE DE FATIMA REZENDE JUSTINO (20013)"</f>
        <v>LILIANE DE FATIMA REZENDE JUSTINO (20013)</v>
      </c>
      <c r="G192" t="str">
        <f>"REF. PREST. SERVICO LILIANE 10/2025"</f>
        <v>REF. PREST. SERVICO LILIANE 10/2025</v>
      </c>
      <c r="H192" t="str">
        <f t="shared" si="79"/>
        <v>05/11/2025</v>
      </c>
      <c r="I192" t="str">
        <f t="shared" si="80"/>
        <v>01/11/2025</v>
      </c>
      <c r="J192" t="str">
        <f t="shared" si="73"/>
        <v>05/11/2025</v>
      </c>
      <c r="K192">
        <v>1500</v>
      </c>
      <c r="L192">
        <v>1500</v>
      </c>
      <c r="M192">
        <v>103</v>
      </c>
      <c r="N192" t="str">
        <f>"PAGAMENTO DE FUNCIONÁRIOS"</f>
        <v>PAGAMENTO DE FUNCIONÁRIOS</v>
      </c>
      <c r="O192">
        <v>1500</v>
      </c>
      <c r="R192" t="str">
        <f t="shared" si="76"/>
        <v>BANCO CORA (102)</v>
      </c>
      <c r="S192">
        <v>3192</v>
      </c>
      <c r="T192">
        <v>585</v>
      </c>
      <c r="U192" t="s">
        <v>21</v>
      </c>
    </row>
    <row r="193" spans="1:21">
      <c r="A193" t="str">
        <f t="shared" si="72"/>
        <v>05/11/2025</v>
      </c>
      <c r="B193" t="str">
        <f t="shared" si="75"/>
        <v>SAÍDA</v>
      </c>
      <c r="C193" t="str">
        <f t="shared" si="77"/>
        <v>PIX</v>
      </c>
      <c r="D193" t="str">
        <f>"10251500"</f>
        <v>10251500</v>
      </c>
      <c r="E193" t="str">
        <f t="shared" si="78"/>
        <v>COM</v>
      </c>
      <c r="F193" t="str">
        <f>"LILIANE DE FATIMA REZENDE JUSTINO (20013)"</f>
        <v>LILIANE DE FATIMA REZENDE JUSTINO (20013)</v>
      </c>
      <c r="G193" t="str">
        <f>"REF. PREST. SERVICO LILIANE 10/2025"</f>
        <v>REF. PREST. SERVICO LILIANE 10/2025</v>
      </c>
      <c r="H193" t="str">
        <f t="shared" si="79"/>
        <v>05/11/2025</v>
      </c>
      <c r="I193" t="str">
        <f t="shared" si="80"/>
        <v>01/11/2025</v>
      </c>
      <c r="J193" t="str">
        <f t="shared" si="73"/>
        <v>05/11/2025</v>
      </c>
      <c r="M193">
        <v>103</v>
      </c>
      <c r="N193" t="str">
        <f>"PAGAMENTO DE FUNCIONÁRIOS"</f>
        <v>PAGAMENTO DE FUNCIONÁRIOS</v>
      </c>
      <c r="P193">
        <v>1500</v>
      </c>
      <c r="Q193" t="str">
        <f>"LILIANE DE FATIMA REZENDE JUSTINO (20013)"</f>
        <v>LILIANE DE FATIMA REZENDE JUSTINO (20013)</v>
      </c>
      <c r="R193" t="str">
        <f t="shared" si="76"/>
        <v>BANCO CORA (102)</v>
      </c>
      <c r="S193">
        <v>3192</v>
      </c>
      <c r="T193">
        <v>585</v>
      </c>
      <c r="U193" t="s">
        <v>21</v>
      </c>
    </row>
    <row r="194" spans="1:21">
      <c r="A194" t="str">
        <f t="shared" si="72"/>
        <v>05/11/2025</v>
      </c>
      <c r="B194" t="str">
        <f t="shared" si="75"/>
        <v>SAÍDA</v>
      </c>
      <c r="C194" t="str">
        <f t="shared" si="77"/>
        <v>PIX</v>
      </c>
      <c r="D194" t="str">
        <f>"102510000"</f>
        <v>102510000</v>
      </c>
      <c r="E194" t="str">
        <f t="shared" si="78"/>
        <v>COM</v>
      </c>
      <c r="F194" t="str">
        <f>"MARCELO REZENDE ARANTES (20014)"</f>
        <v>MARCELO REZENDE ARANTES (20014)</v>
      </c>
      <c r="G194" t="str">
        <f>"REF. PRO-LABORE MES 10/2025"</f>
        <v>REF. PRO-LABORE MES 10/2025</v>
      </c>
      <c r="H194" t="str">
        <f t="shared" si="79"/>
        <v>05/11/2025</v>
      </c>
      <c r="I194" t="str">
        <f t="shared" si="80"/>
        <v>01/11/2025</v>
      </c>
      <c r="J194" t="str">
        <f t="shared" si="73"/>
        <v>05/11/2025</v>
      </c>
      <c r="K194">
        <v>9960.76</v>
      </c>
      <c r="L194">
        <v>9960.76</v>
      </c>
      <c r="M194">
        <v>108</v>
      </c>
      <c r="N194" t="str">
        <f>"PRO LABORE - MARCELO"</f>
        <v>PRO LABORE - MARCELO</v>
      </c>
      <c r="O194">
        <v>9960.76</v>
      </c>
      <c r="R194" t="str">
        <f t="shared" si="76"/>
        <v>BANCO CORA (102)</v>
      </c>
      <c r="S194">
        <v>3193</v>
      </c>
      <c r="T194">
        <v>597</v>
      </c>
      <c r="U194" t="s">
        <v>21</v>
      </c>
    </row>
    <row r="195" spans="1:21">
      <c r="A195" t="str">
        <f t="shared" si="72"/>
        <v>05/11/2025</v>
      </c>
      <c r="B195" t="str">
        <f t="shared" si="75"/>
        <v>SAÍDA</v>
      </c>
      <c r="C195" t="str">
        <f t="shared" si="77"/>
        <v>PIX</v>
      </c>
      <c r="D195" t="str">
        <f>"102510000"</f>
        <v>102510000</v>
      </c>
      <c r="E195" t="str">
        <f t="shared" si="78"/>
        <v>COM</v>
      </c>
      <c r="F195" t="str">
        <f>"MARCELO REZENDE ARANTES (20014)"</f>
        <v>MARCELO REZENDE ARANTES (20014)</v>
      </c>
      <c r="G195" t="str">
        <f>"REF. PRO-LABORE MES 10/2025"</f>
        <v>REF. PRO-LABORE MES 10/2025</v>
      </c>
      <c r="H195" t="str">
        <f t="shared" si="79"/>
        <v>05/11/2025</v>
      </c>
      <c r="I195" t="str">
        <f t="shared" si="80"/>
        <v>01/11/2025</v>
      </c>
      <c r="J195" t="str">
        <f t="shared" si="73"/>
        <v>05/11/2025</v>
      </c>
      <c r="M195">
        <v>108</v>
      </c>
      <c r="N195" t="str">
        <f>"PRO LABORE - MARCELO"</f>
        <v>PRO LABORE - MARCELO</v>
      </c>
      <c r="P195">
        <v>9960.76</v>
      </c>
      <c r="Q195" t="str">
        <f>"MARCELO REZENDE ARANTES (20014)"</f>
        <v>MARCELO REZENDE ARANTES (20014)</v>
      </c>
      <c r="R195" t="str">
        <f t="shared" si="76"/>
        <v>BANCO CORA (102)</v>
      </c>
      <c r="S195">
        <v>3193</v>
      </c>
      <c r="T195">
        <v>597</v>
      </c>
      <c r="U195" t="s">
        <v>21</v>
      </c>
    </row>
    <row r="196" spans="1:21">
      <c r="A196" t="str">
        <f t="shared" ref="A196:A227" si="81">("06/11/2025")</f>
        <v>06/11/2025</v>
      </c>
      <c r="B196" t="str">
        <f t="shared" ref="B196:B227" si="82">"ENTRADA"</f>
        <v>ENTRADA</v>
      </c>
      <c r="C196" t="str">
        <f t="shared" ref="C196:C227" si="83">"NFSE"</f>
        <v>NFSE</v>
      </c>
      <c r="D196" t="str">
        <f>"3759"</f>
        <v>3759</v>
      </c>
      <c r="E196" t="str">
        <f t="shared" si="78"/>
        <v>COM</v>
      </c>
      <c r="F196" t="str">
        <f>"DROGA HONDA (10149)"</f>
        <v>DROGA HONDA (10149)</v>
      </c>
      <c r="G196" t="str">
        <f>"Serv.Prest. 27/10/2025 a 02/11/2025 - RPS: 1522 - NFSe: 3759"</f>
        <v>Serv.Prest. 27/10/2025 a 02/11/2025 - RPS: 1522 - NFSe: 3759</v>
      </c>
      <c r="H196" t="str">
        <f t="shared" si="79"/>
        <v>05/11/2025</v>
      </c>
      <c r="I196" t="str">
        <f>("04/11/2025")</f>
        <v>04/11/2025</v>
      </c>
      <c r="J196" t="str">
        <f t="shared" ref="J196:J227" si="84">("06/11/2025")</f>
        <v>06/11/2025</v>
      </c>
      <c r="K196">
        <v>150.87</v>
      </c>
      <c r="L196">
        <v>150.87</v>
      </c>
      <c r="M196">
        <v>303</v>
      </c>
      <c r="N196" t="str">
        <f t="shared" ref="N196:N227" si="85">"RECEITAS COM ENTREGAS"</f>
        <v>RECEITAS COM ENTREGAS</v>
      </c>
      <c r="O196">
        <v>150.87</v>
      </c>
      <c r="R196" t="str">
        <f t="shared" ref="R196:R227" si="86">"RECEITAS COM ENTREGAS (303)"</f>
        <v>RECEITAS COM ENTREGAS (303)</v>
      </c>
      <c r="S196">
        <v>2927</v>
      </c>
      <c r="T196">
        <v>2454</v>
      </c>
      <c r="U196" t="s">
        <v>21</v>
      </c>
    </row>
    <row r="197" spans="1:21">
      <c r="A197" t="str">
        <f t="shared" si="81"/>
        <v>06/11/2025</v>
      </c>
      <c r="B197" t="str">
        <f t="shared" si="82"/>
        <v>ENTRADA</v>
      </c>
      <c r="C197" t="str">
        <f t="shared" si="83"/>
        <v>NFSE</v>
      </c>
      <c r="D197" t="str">
        <f>"3759"</f>
        <v>3759</v>
      </c>
      <c r="E197" t="str">
        <f t="shared" si="78"/>
        <v>COM</v>
      </c>
      <c r="F197" t="str">
        <f>"DROGA HONDA (10149)"</f>
        <v>DROGA HONDA (10149)</v>
      </c>
      <c r="G197" t="str">
        <f>"Serv.Prest. 27/10/2025 a 02/11/2025 - RPS: 1522 - NFSe: 3759"</f>
        <v>Serv.Prest. 27/10/2025 a 02/11/2025 - RPS: 1522 - NFSe: 3759</v>
      </c>
      <c r="H197" t="str">
        <f t="shared" si="79"/>
        <v>05/11/2025</v>
      </c>
      <c r="I197" t="str">
        <f>("04/11/2025")</f>
        <v>04/11/2025</v>
      </c>
      <c r="J197" t="str">
        <f t="shared" si="84"/>
        <v>06/11/2025</v>
      </c>
      <c r="M197">
        <v>303</v>
      </c>
      <c r="N197" t="str">
        <f t="shared" si="85"/>
        <v>RECEITAS COM ENTREGAS</v>
      </c>
      <c r="P197">
        <v>150.87</v>
      </c>
      <c r="Q197" t="str">
        <f>"DROGA HONDA (10149)"</f>
        <v>DROGA HONDA (10149)</v>
      </c>
      <c r="R197" t="str">
        <f t="shared" si="86"/>
        <v>RECEITAS COM ENTREGAS (303)</v>
      </c>
      <c r="S197">
        <v>2927</v>
      </c>
      <c r="T197">
        <v>2454</v>
      </c>
      <c r="U197" t="s">
        <v>21</v>
      </c>
    </row>
    <row r="198" spans="1:21">
      <c r="A198" t="str">
        <f t="shared" si="81"/>
        <v>06/11/2025</v>
      </c>
      <c r="B198" t="str">
        <f t="shared" si="82"/>
        <v>ENTRADA</v>
      </c>
      <c r="C198" t="str">
        <f t="shared" si="83"/>
        <v>NFSE</v>
      </c>
      <c r="D198" t="str">
        <f>"3733"</f>
        <v>3733</v>
      </c>
      <c r="E198" t="str">
        <f t="shared" si="78"/>
        <v>COM</v>
      </c>
      <c r="F198" t="str">
        <f>"BRASIL FARMA (10173)"</f>
        <v>BRASIL FARMA (10173)</v>
      </c>
      <c r="G198" t="str">
        <f>"Serv.Prest. 27/10/2025 a 02/11/2025 - RPS: 1496 - NFSe: 3733"</f>
        <v>Serv.Prest. 27/10/2025 a 02/11/2025 - RPS: 1496 - NFSe: 3733</v>
      </c>
      <c r="H198" t="str">
        <f t="shared" si="79"/>
        <v>05/11/2025</v>
      </c>
      <c r="I198" t="str">
        <f>("03/11/2025")</f>
        <v>03/11/2025</v>
      </c>
      <c r="J198" t="str">
        <f t="shared" si="84"/>
        <v>06/11/2025</v>
      </c>
      <c r="K198">
        <v>300.89999999999998</v>
      </c>
      <c r="L198">
        <v>300.89999999999998</v>
      </c>
      <c r="M198">
        <v>303</v>
      </c>
      <c r="N198" t="str">
        <f t="shared" si="85"/>
        <v>RECEITAS COM ENTREGAS</v>
      </c>
      <c r="O198">
        <v>300.89999999999998</v>
      </c>
      <c r="R198" t="str">
        <f t="shared" si="86"/>
        <v>RECEITAS COM ENTREGAS (303)</v>
      </c>
      <c r="S198">
        <v>3000</v>
      </c>
      <c r="T198">
        <v>2426</v>
      </c>
      <c r="U198" t="s">
        <v>21</v>
      </c>
    </row>
    <row r="199" spans="1:21">
      <c r="A199" t="str">
        <f t="shared" si="81"/>
        <v>06/11/2025</v>
      </c>
      <c r="B199" t="str">
        <f t="shared" si="82"/>
        <v>ENTRADA</v>
      </c>
      <c r="C199" t="str">
        <f t="shared" si="83"/>
        <v>NFSE</v>
      </c>
      <c r="D199" t="str">
        <f>"3733"</f>
        <v>3733</v>
      </c>
      <c r="E199" t="str">
        <f t="shared" si="78"/>
        <v>COM</v>
      </c>
      <c r="F199" t="str">
        <f>"BRASIL FARMA (10173)"</f>
        <v>BRASIL FARMA (10173)</v>
      </c>
      <c r="G199" t="str">
        <f>"Serv.Prest. 27/10/2025 a 02/11/2025 - RPS: 1496 - NFSe: 3733"</f>
        <v>Serv.Prest. 27/10/2025 a 02/11/2025 - RPS: 1496 - NFSe: 3733</v>
      </c>
      <c r="H199" t="str">
        <f t="shared" si="79"/>
        <v>05/11/2025</v>
      </c>
      <c r="I199" t="str">
        <f>("03/11/2025")</f>
        <v>03/11/2025</v>
      </c>
      <c r="J199" t="str">
        <f t="shared" si="84"/>
        <v>06/11/2025</v>
      </c>
      <c r="M199">
        <v>303</v>
      </c>
      <c r="N199" t="str">
        <f t="shared" si="85"/>
        <v>RECEITAS COM ENTREGAS</v>
      </c>
      <c r="P199">
        <v>300.89999999999998</v>
      </c>
      <c r="Q199" t="str">
        <f>"BRASIL FARMA (10173)"</f>
        <v>BRASIL FARMA (10173)</v>
      </c>
      <c r="R199" t="str">
        <f t="shared" si="86"/>
        <v>RECEITAS COM ENTREGAS (303)</v>
      </c>
      <c r="S199">
        <v>3000</v>
      </c>
      <c r="T199">
        <v>2426</v>
      </c>
      <c r="U199" t="s">
        <v>21</v>
      </c>
    </row>
    <row r="200" spans="1:21">
      <c r="A200" t="str">
        <f t="shared" si="81"/>
        <v>06/11/2025</v>
      </c>
      <c r="B200" t="str">
        <f t="shared" si="82"/>
        <v>ENTRADA</v>
      </c>
      <c r="C200" t="str">
        <f t="shared" si="83"/>
        <v>NFSE</v>
      </c>
      <c r="D200" t="str">
        <f>"3747"</f>
        <v>3747</v>
      </c>
      <c r="E200" t="str">
        <f t="shared" si="78"/>
        <v>COM</v>
      </c>
      <c r="F200" t="str">
        <f>"JAL FARMACIA E DROGARIA LJ 1 (10137)"</f>
        <v>JAL FARMACIA E DROGARIA LJ 1 (10137)</v>
      </c>
      <c r="G200" t="str">
        <f>"Serv.Prest. 27/10/2025 a 02/11/2025 - RPS: 1510 - NFSe: 3747"</f>
        <v>Serv.Prest. 27/10/2025 a 02/11/2025 - RPS: 1510 - NFSe: 3747</v>
      </c>
      <c r="H200" t="str">
        <f t="shared" si="79"/>
        <v>05/11/2025</v>
      </c>
      <c r="I200" t="str">
        <f>("03/11/2025")</f>
        <v>03/11/2025</v>
      </c>
      <c r="J200" t="str">
        <f t="shared" si="84"/>
        <v>06/11/2025</v>
      </c>
      <c r="K200">
        <v>402</v>
      </c>
      <c r="L200">
        <v>402</v>
      </c>
      <c r="M200">
        <v>303</v>
      </c>
      <c r="N200" t="str">
        <f t="shared" si="85"/>
        <v>RECEITAS COM ENTREGAS</v>
      </c>
      <c r="O200">
        <v>402</v>
      </c>
      <c r="R200" t="str">
        <f t="shared" si="86"/>
        <v>RECEITAS COM ENTREGAS (303)</v>
      </c>
      <c r="S200">
        <v>3001</v>
      </c>
      <c r="T200">
        <v>2442</v>
      </c>
      <c r="U200" t="s">
        <v>21</v>
      </c>
    </row>
    <row r="201" spans="1:21">
      <c r="A201" t="str">
        <f t="shared" si="81"/>
        <v>06/11/2025</v>
      </c>
      <c r="B201" t="str">
        <f t="shared" si="82"/>
        <v>ENTRADA</v>
      </c>
      <c r="C201" t="str">
        <f t="shared" si="83"/>
        <v>NFSE</v>
      </c>
      <c r="D201" t="str">
        <f>"3747"</f>
        <v>3747</v>
      </c>
      <c r="E201" t="str">
        <f t="shared" si="78"/>
        <v>COM</v>
      </c>
      <c r="F201" t="str">
        <f>"JAL FARMACIA E DROGARIA LJ 1 (10137)"</f>
        <v>JAL FARMACIA E DROGARIA LJ 1 (10137)</v>
      </c>
      <c r="G201" t="str">
        <f>"Serv.Prest. 27/10/2025 a 02/11/2025 - RPS: 1510 - NFSe: 3747"</f>
        <v>Serv.Prest. 27/10/2025 a 02/11/2025 - RPS: 1510 - NFSe: 3747</v>
      </c>
      <c r="H201" t="str">
        <f t="shared" si="79"/>
        <v>05/11/2025</v>
      </c>
      <c r="I201" t="str">
        <f>("03/11/2025")</f>
        <v>03/11/2025</v>
      </c>
      <c r="J201" t="str">
        <f t="shared" si="84"/>
        <v>06/11/2025</v>
      </c>
      <c r="M201">
        <v>303</v>
      </c>
      <c r="N201" t="str">
        <f t="shared" si="85"/>
        <v>RECEITAS COM ENTREGAS</v>
      </c>
      <c r="P201">
        <v>402</v>
      </c>
      <c r="Q201" t="str">
        <f>"JAL FARMACIA E DROGARIA LJ 1 (10137)"</f>
        <v>JAL FARMACIA E DROGARIA LJ 1 (10137)</v>
      </c>
      <c r="R201" t="str">
        <f t="shared" si="86"/>
        <v>RECEITAS COM ENTREGAS (303)</v>
      </c>
      <c r="S201">
        <v>3001</v>
      </c>
      <c r="T201">
        <v>2442</v>
      </c>
      <c r="U201" t="s">
        <v>21</v>
      </c>
    </row>
    <row r="202" spans="1:21">
      <c r="A202" t="str">
        <f t="shared" si="81"/>
        <v>06/11/2025</v>
      </c>
      <c r="B202" t="str">
        <f t="shared" si="82"/>
        <v>ENTRADA</v>
      </c>
      <c r="C202" t="str">
        <f t="shared" si="83"/>
        <v>NFSE</v>
      </c>
      <c r="D202" t="str">
        <f>"3753"</f>
        <v>3753</v>
      </c>
      <c r="E202" t="str">
        <f t="shared" si="78"/>
        <v>COM</v>
      </c>
      <c r="F202" t="str">
        <f>"ULTRA POPULAR  UBA 2 (10214)"</f>
        <v>ULTRA POPULAR  UBA 2 (10214)</v>
      </c>
      <c r="G202" t="str">
        <f>"Serv.Prest. 27/10/2025 a 02/11/2025 - RPS: 1516 - NFSe: 3753"</f>
        <v>Serv.Prest. 27/10/2025 a 02/11/2025 - RPS: 1516 - NFSe: 3753</v>
      </c>
      <c r="H202" t="str">
        <f t="shared" si="79"/>
        <v>05/11/2025</v>
      </c>
      <c r="I202" t="str">
        <f>("04/11/2025")</f>
        <v>04/11/2025</v>
      </c>
      <c r="J202" t="str">
        <f t="shared" si="84"/>
        <v>06/11/2025</v>
      </c>
      <c r="K202">
        <v>20</v>
      </c>
      <c r="L202">
        <v>20</v>
      </c>
      <c r="M202">
        <v>303</v>
      </c>
      <c r="N202" t="str">
        <f t="shared" si="85"/>
        <v>RECEITAS COM ENTREGAS</v>
      </c>
      <c r="O202">
        <v>20</v>
      </c>
      <c r="R202" t="str">
        <f t="shared" si="86"/>
        <v>RECEITAS COM ENTREGAS (303)</v>
      </c>
      <c r="S202">
        <v>3002</v>
      </c>
      <c r="T202">
        <v>2448</v>
      </c>
      <c r="U202" t="s">
        <v>21</v>
      </c>
    </row>
    <row r="203" spans="1:21">
      <c r="A203" t="str">
        <f t="shared" si="81"/>
        <v>06/11/2025</v>
      </c>
      <c r="B203" t="str">
        <f t="shared" si="82"/>
        <v>ENTRADA</v>
      </c>
      <c r="C203" t="str">
        <f t="shared" si="83"/>
        <v>NFSE</v>
      </c>
      <c r="D203" t="str">
        <f>"3753"</f>
        <v>3753</v>
      </c>
      <c r="E203" t="str">
        <f t="shared" si="78"/>
        <v>COM</v>
      </c>
      <c r="F203" t="str">
        <f>"ULTRA POPULAR  UBA 2 (10214)"</f>
        <v>ULTRA POPULAR  UBA 2 (10214)</v>
      </c>
      <c r="G203" t="str">
        <f>"Serv.Prest. 27/10/2025 a 02/11/2025 - RPS: 1516 - NFSe: 3753"</f>
        <v>Serv.Prest. 27/10/2025 a 02/11/2025 - RPS: 1516 - NFSe: 3753</v>
      </c>
      <c r="H203" t="str">
        <f t="shared" si="79"/>
        <v>05/11/2025</v>
      </c>
      <c r="I203" t="str">
        <f>("04/11/2025")</f>
        <v>04/11/2025</v>
      </c>
      <c r="J203" t="str">
        <f t="shared" si="84"/>
        <v>06/11/2025</v>
      </c>
      <c r="M203">
        <v>303</v>
      </c>
      <c r="N203" t="str">
        <f t="shared" si="85"/>
        <v>RECEITAS COM ENTREGAS</v>
      </c>
      <c r="P203">
        <v>10</v>
      </c>
      <c r="Q203" t="str">
        <f>"ULTRA POPULAR  UBA 2 (10214)"</f>
        <v>ULTRA POPULAR  UBA 2 (10214)</v>
      </c>
      <c r="R203" t="str">
        <f t="shared" si="86"/>
        <v>RECEITAS COM ENTREGAS (303)</v>
      </c>
      <c r="S203">
        <v>3002</v>
      </c>
      <c r="T203">
        <v>2448</v>
      </c>
      <c r="U203" t="s">
        <v>21</v>
      </c>
    </row>
    <row r="204" spans="1:21">
      <c r="A204" t="str">
        <f t="shared" si="81"/>
        <v>06/11/2025</v>
      </c>
      <c r="B204" t="str">
        <f t="shared" si="82"/>
        <v>ENTRADA</v>
      </c>
      <c r="C204" t="str">
        <f t="shared" si="83"/>
        <v>NFSE</v>
      </c>
      <c r="D204" t="str">
        <f>"3753"</f>
        <v>3753</v>
      </c>
      <c r="E204" t="str">
        <f t="shared" si="78"/>
        <v>COM</v>
      </c>
      <c r="F204" t="str">
        <f>"ULTRA POPULAR  UBA 2 (10214)"</f>
        <v>ULTRA POPULAR  UBA 2 (10214)</v>
      </c>
      <c r="G204" t="str">
        <f>"Serv.Prest. 27/10/2025 a 02/11/2025 - RPS: 1516 - NFSe: 3753"</f>
        <v>Serv.Prest. 27/10/2025 a 02/11/2025 - RPS: 1516 - NFSe: 3753</v>
      </c>
      <c r="H204" t="str">
        <f t="shared" si="79"/>
        <v>05/11/2025</v>
      </c>
      <c r="I204" t="str">
        <f>("04/11/2025")</f>
        <v>04/11/2025</v>
      </c>
      <c r="J204" t="str">
        <f t="shared" si="84"/>
        <v>06/11/2025</v>
      </c>
      <c r="M204">
        <v>303</v>
      </c>
      <c r="N204" t="str">
        <f t="shared" si="85"/>
        <v>RECEITAS COM ENTREGAS</v>
      </c>
      <c r="P204">
        <v>10</v>
      </c>
      <c r="Q204" t="str">
        <f>"UBA 1 (10263)"</f>
        <v>UBA 1 (10263)</v>
      </c>
      <c r="R204" t="str">
        <f t="shared" si="86"/>
        <v>RECEITAS COM ENTREGAS (303)</v>
      </c>
      <c r="S204">
        <v>3002</v>
      </c>
      <c r="T204">
        <v>2448</v>
      </c>
      <c r="U204" t="s">
        <v>21</v>
      </c>
    </row>
    <row r="205" spans="1:21">
      <c r="A205" t="str">
        <f t="shared" si="81"/>
        <v>06/11/2025</v>
      </c>
      <c r="B205" t="str">
        <f t="shared" si="82"/>
        <v>ENTRADA</v>
      </c>
      <c r="C205" t="str">
        <f t="shared" si="83"/>
        <v>NFSE</v>
      </c>
      <c r="D205" t="str">
        <f>"3757"</f>
        <v>3757</v>
      </c>
      <c r="E205" t="str">
        <f t="shared" si="78"/>
        <v>COM</v>
      </c>
      <c r="F205" t="str">
        <f>"FARMACIA ECONOMIZE (10103)"</f>
        <v>FARMACIA ECONOMIZE (10103)</v>
      </c>
      <c r="G205" t="str">
        <f>"Serv.Prest. 27/10/2025 a 02/11/2025 - RPS: 1520 - NFSe: 3757"</f>
        <v>Serv.Prest. 27/10/2025 a 02/11/2025 - RPS: 1520 - NFSe: 3757</v>
      </c>
      <c r="H205" t="str">
        <f t="shared" si="79"/>
        <v>05/11/2025</v>
      </c>
      <c r="I205" t="str">
        <f>("04/11/2025")</f>
        <v>04/11/2025</v>
      </c>
      <c r="J205" t="str">
        <f t="shared" si="84"/>
        <v>06/11/2025</v>
      </c>
      <c r="K205">
        <v>23.76</v>
      </c>
      <c r="L205">
        <v>23.76</v>
      </c>
      <c r="M205">
        <v>303</v>
      </c>
      <c r="N205" t="str">
        <f t="shared" si="85"/>
        <v>RECEITAS COM ENTREGAS</v>
      </c>
      <c r="O205">
        <v>23.76</v>
      </c>
      <c r="R205" t="str">
        <f t="shared" si="86"/>
        <v>RECEITAS COM ENTREGAS (303)</v>
      </c>
      <c r="S205">
        <v>3003</v>
      </c>
      <c r="T205">
        <v>2452</v>
      </c>
      <c r="U205" t="s">
        <v>21</v>
      </c>
    </row>
    <row r="206" spans="1:21">
      <c r="A206" t="str">
        <f t="shared" si="81"/>
        <v>06/11/2025</v>
      </c>
      <c r="B206" t="str">
        <f t="shared" si="82"/>
        <v>ENTRADA</v>
      </c>
      <c r="C206" t="str">
        <f t="shared" si="83"/>
        <v>NFSE</v>
      </c>
      <c r="D206" t="str">
        <f>"3757"</f>
        <v>3757</v>
      </c>
      <c r="E206" t="str">
        <f t="shared" si="78"/>
        <v>COM</v>
      </c>
      <c r="F206" t="str">
        <f>"FARMACIA ECONOMIZE (10103)"</f>
        <v>FARMACIA ECONOMIZE (10103)</v>
      </c>
      <c r="G206" t="str">
        <f>"Serv.Prest. 27/10/2025 a 02/11/2025 - RPS: 1520 - NFSe: 3757"</f>
        <v>Serv.Prest. 27/10/2025 a 02/11/2025 - RPS: 1520 - NFSe: 3757</v>
      </c>
      <c r="H206" t="str">
        <f t="shared" si="79"/>
        <v>05/11/2025</v>
      </c>
      <c r="I206" t="str">
        <f>("04/11/2025")</f>
        <v>04/11/2025</v>
      </c>
      <c r="J206" t="str">
        <f t="shared" si="84"/>
        <v>06/11/2025</v>
      </c>
      <c r="M206">
        <v>303</v>
      </c>
      <c r="N206" t="str">
        <f t="shared" si="85"/>
        <v>RECEITAS COM ENTREGAS</v>
      </c>
      <c r="P206">
        <v>23.76</v>
      </c>
      <c r="Q206" t="str">
        <f>"FARMACIA ECONOMIZE (10103)"</f>
        <v>FARMACIA ECONOMIZE (10103)</v>
      </c>
      <c r="R206" t="str">
        <f t="shared" si="86"/>
        <v>RECEITAS COM ENTREGAS (303)</v>
      </c>
      <c r="S206">
        <v>3003</v>
      </c>
      <c r="T206">
        <v>2452</v>
      </c>
      <c r="U206" t="s">
        <v>21</v>
      </c>
    </row>
    <row r="207" spans="1:21">
      <c r="A207" t="str">
        <f t="shared" si="81"/>
        <v>06/11/2025</v>
      </c>
      <c r="B207" t="str">
        <f t="shared" si="82"/>
        <v>ENTRADA</v>
      </c>
      <c r="C207" t="str">
        <f t="shared" si="83"/>
        <v>NFSE</v>
      </c>
      <c r="D207" t="str">
        <f>"3736"</f>
        <v>3736</v>
      </c>
      <c r="E207" t="str">
        <f t="shared" si="78"/>
        <v>COM</v>
      </c>
      <c r="F207" t="str">
        <f>"DROGARIA MEDIC CENTER LTDA (10172)"</f>
        <v>DROGARIA MEDIC CENTER LTDA (10172)</v>
      </c>
      <c r="G207" t="str">
        <f>"Serv.Prest. 27/10/2025 a 02/11/2025 - RPS: 1499 - NFSe: 3736"</f>
        <v>Serv.Prest. 27/10/2025 a 02/11/2025 - RPS: 1499 - NFSe: 3736</v>
      </c>
      <c r="H207" t="str">
        <f t="shared" si="79"/>
        <v>05/11/2025</v>
      </c>
      <c r="I207" t="str">
        <f>("03/11/2025")</f>
        <v>03/11/2025</v>
      </c>
      <c r="J207" t="str">
        <f t="shared" si="84"/>
        <v>06/11/2025</v>
      </c>
      <c r="K207">
        <v>112.5</v>
      </c>
      <c r="L207">
        <v>112.5</v>
      </c>
      <c r="M207">
        <v>303</v>
      </c>
      <c r="N207" t="str">
        <f t="shared" si="85"/>
        <v>RECEITAS COM ENTREGAS</v>
      </c>
      <c r="O207">
        <v>112.5</v>
      </c>
      <c r="R207" t="str">
        <f t="shared" si="86"/>
        <v>RECEITAS COM ENTREGAS (303)</v>
      </c>
      <c r="S207">
        <v>3004</v>
      </c>
      <c r="T207">
        <v>2429</v>
      </c>
      <c r="U207" t="s">
        <v>21</v>
      </c>
    </row>
    <row r="208" spans="1:21">
      <c r="A208" t="str">
        <f t="shared" si="81"/>
        <v>06/11/2025</v>
      </c>
      <c r="B208" t="str">
        <f t="shared" si="82"/>
        <v>ENTRADA</v>
      </c>
      <c r="C208" t="str">
        <f t="shared" si="83"/>
        <v>NFSE</v>
      </c>
      <c r="D208" t="str">
        <f>"3736"</f>
        <v>3736</v>
      </c>
      <c r="E208" t="str">
        <f t="shared" si="78"/>
        <v>COM</v>
      </c>
      <c r="F208" t="str">
        <f>"DROGARIA MEDIC CENTER LTDA (10172)"</f>
        <v>DROGARIA MEDIC CENTER LTDA (10172)</v>
      </c>
      <c r="G208" t="str">
        <f>"Serv.Prest. 27/10/2025 a 02/11/2025 - RPS: 1499 - NFSe: 3736"</f>
        <v>Serv.Prest. 27/10/2025 a 02/11/2025 - RPS: 1499 - NFSe: 3736</v>
      </c>
      <c r="H208" t="str">
        <f t="shared" si="79"/>
        <v>05/11/2025</v>
      </c>
      <c r="I208" t="str">
        <f>("03/11/2025")</f>
        <v>03/11/2025</v>
      </c>
      <c r="J208" t="str">
        <f t="shared" si="84"/>
        <v>06/11/2025</v>
      </c>
      <c r="M208">
        <v>303</v>
      </c>
      <c r="N208" t="str">
        <f t="shared" si="85"/>
        <v>RECEITAS COM ENTREGAS</v>
      </c>
      <c r="P208">
        <v>112.5</v>
      </c>
      <c r="Q208" t="str">
        <f>"DROGARIA MEDIC CENTER LTDA (10172)"</f>
        <v>DROGARIA MEDIC CENTER LTDA (10172)</v>
      </c>
      <c r="R208" t="str">
        <f t="shared" si="86"/>
        <v>RECEITAS COM ENTREGAS (303)</v>
      </c>
      <c r="S208">
        <v>3004</v>
      </c>
      <c r="T208">
        <v>2429</v>
      </c>
      <c r="U208" t="s">
        <v>21</v>
      </c>
    </row>
    <row r="209" spans="1:21">
      <c r="A209" t="str">
        <f t="shared" si="81"/>
        <v>06/11/2025</v>
      </c>
      <c r="B209" t="str">
        <f t="shared" si="82"/>
        <v>ENTRADA</v>
      </c>
      <c r="C209" t="str">
        <f t="shared" si="83"/>
        <v>NFSE</v>
      </c>
      <c r="D209" t="str">
        <f>"3714"</f>
        <v>3714</v>
      </c>
      <c r="E209" t="str">
        <f t="shared" si="78"/>
        <v>COM</v>
      </c>
      <c r="F209" t="str">
        <f>"AC FARMA - FLEMINFARMA 5 (10183)"</f>
        <v>AC FARMA - FLEMINFARMA 5 (10183)</v>
      </c>
      <c r="G209" t="str">
        <f>"Serv.Prest. 20/10/2025 a 26/10/2025 - RPS: 1478 - NFSe: 3714"</f>
        <v>Serv.Prest. 20/10/2025 a 26/10/2025 - RPS: 1478 - NFSe: 3714</v>
      </c>
      <c r="H209" t="str">
        <f t="shared" si="79"/>
        <v>05/11/2025</v>
      </c>
      <c r="I209" t="str">
        <f>("31/10/2025")</f>
        <v>31/10/2025</v>
      </c>
      <c r="J209" t="str">
        <f t="shared" si="84"/>
        <v>06/11/2025</v>
      </c>
      <c r="K209">
        <v>71.55</v>
      </c>
      <c r="L209">
        <v>71.55</v>
      </c>
      <c r="M209">
        <v>303</v>
      </c>
      <c r="N209" t="str">
        <f t="shared" si="85"/>
        <v>RECEITAS COM ENTREGAS</v>
      </c>
      <c r="O209">
        <v>71.55</v>
      </c>
      <c r="R209" t="str">
        <f t="shared" si="86"/>
        <v>RECEITAS COM ENTREGAS (303)</v>
      </c>
      <c r="S209">
        <v>3005</v>
      </c>
      <c r="T209">
        <v>2408</v>
      </c>
      <c r="U209" t="s">
        <v>21</v>
      </c>
    </row>
    <row r="210" spans="1:21">
      <c r="A210" t="str">
        <f t="shared" si="81"/>
        <v>06/11/2025</v>
      </c>
      <c r="B210" t="str">
        <f t="shared" si="82"/>
        <v>ENTRADA</v>
      </c>
      <c r="C210" t="str">
        <f t="shared" si="83"/>
        <v>NFSE</v>
      </c>
      <c r="D210" t="str">
        <f>"3714"</f>
        <v>3714</v>
      </c>
      <c r="E210" t="str">
        <f t="shared" si="78"/>
        <v>COM</v>
      </c>
      <c r="F210" t="str">
        <f>"AC FARMA - FLEMINFARMA 5 (10183)"</f>
        <v>AC FARMA - FLEMINFARMA 5 (10183)</v>
      </c>
      <c r="G210" t="str">
        <f>"Serv.Prest. 20/10/2025 a 26/10/2025 - RPS: 1478 - NFSe: 3714"</f>
        <v>Serv.Prest. 20/10/2025 a 26/10/2025 - RPS: 1478 - NFSe: 3714</v>
      </c>
      <c r="H210" t="str">
        <f t="shared" si="79"/>
        <v>05/11/2025</v>
      </c>
      <c r="I210" t="str">
        <f>("31/10/2025")</f>
        <v>31/10/2025</v>
      </c>
      <c r="J210" t="str">
        <f t="shared" si="84"/>
        <v>06/11/2025</v>
      </c>
      <c r="M210">
        <v>303</v>
      </c>
      <c r="N210" t="str">
        <f t="shared" si="85"/>
        <v>RECEITAS COM ENTREGAS</v>
      </c>
      <c r="P210">
        <v>71.55</v>
      </c>
      <c r="Q210" t="str">
        <f>"AC FARMA - FLEMINFARMA 5 (10183)"</f>
        <v>AC FARMA - FLEMINFARMA 5 (10183)</v>
      </c>
      <c r="R210" t="str">
        <f t="shared" si="86"/>
        <v>RECEITAS COM ENTREGAS (303)</v>
      </c>
      <c r="S210">
        <v>3005</v>
      </c>
      <c r="T210">
        <v>2408</v>
      </c>
      <c r="U210" t="s">
        <v>21</v>
      </c>
    </row>
    <row r="211" spans="1:21">
      <c r="A211" t="str">
        <f t="shared" si="81"/>
        <v>06/11/2025</v>
      </c>
      <c r="B211" t="str">
        <f t="shared" si="82"/>
        <v>ENTRADA</v>
      </c>
      <c r="C211" t="str">
        <f t="shared" si="83"/>
        <v>NFSE</v>
      </c>
      <c r="D211" t="str">
        <f>"3713"</f>
        <v>3713</v>
      </c>
      <c r="E211" t="str">
        <f t="shared" si="78"/>
        <v>COM</v>
      </c>
      <c r="F211" t="str">
        <f>"AC FARMA - FLEMINFARMA (10160)"</f>
        <v>AC FARMA - FLEMINFARMA (10160)</v>
      </c>
      <c r="G211" t="str">
        <f>"Serv.Prest. 20/10/2025 a 26/10/2025 - RPS: 1477 - NFSe: 3713"</f>
        <v>Serv.Prest. 20/10/2025 a 26/10/2025 - RPS: 1477 - NFSe: 3713</v>
      </c>
      <c r="H211" t="str">
        <f t="shared" si="79"/>
        <v>05/11/2025</v>
      </c>
      <c r="I211" t="str">
        <f>("31/10/2025")</f>
        <v>31/10/2025</v>
      </c>
      <c r="J211" t="str">
        <f t="shared" si="84"/>
        <v>06/11/2025</v>
      </c>
      <c r="K211">
        <v>237.6</v>
      </c>
      <c r="L211">
        <v>237.6</v>
      </c>
      <c r="M211">
        <v>303</v>
      </c>
      <c r="N211" t="str">
        <f t="shared" si="85"/>
        <v>RECEITAS COM ENTREGAS</v>
      </c>
      <c r="O211">
        <v>237.6</v>
      </c>
      <c r="R211" t="str">
        <f t="shared" si="86"/>
        <v>RECEITAS COM ENTREGAS (303)</v>
      </c>
      <c r="S211">
        <v>3006</v>
      </c>
      <c r="T211">
        <v>2407</v>
      </c>
      <c r="U211" t="s">
        <v>21</v>
      </c>
    </row>
    <row r="212" spans="1:21">
      <c r="A212" t="str">
        <f t="shared" si="81"/>
        <v>06/11/2025</v>
      </c>
      <c r="B212" t="str">
        <f t="shared" si="82"/>
        <v>ENTRADA</v>
      </c>
      <c r="C212" t="str">
        <f t="shared" si="83"/>
        <v>NFSE</v>
      </c>
      <c r="D212" t="str">
        <f>"3713"</f>
        <v>3713</v>
      </c>
      <c r="E212" t="str">
        <f t="shared" si="78"/>
        <v>COM</v>
      </c>
      <c r="F212" t="str">
        <f>"AC FARMA - FLEMINFARMA (10160)"</f>
        <v>AC FARMA - FLEMINFARMA (10160)</v>
      </c>
      <c r="G212" t="str">
        <f>"Serv.Prest. 20/10/2025 a 26/10/2025 - RPS: 1477 - NFSe: 3713"</f>
        <v>Serv.Prest. 20/10/2025 a 26/10/2025 - RPS: 1477 - NFSe: 3713</v>
      </c>
      <c r="H212" t="str">
        <f t="shared" si="79"/>
        <v>05/11/2025</v>
      </c>
      <c r="I212" t="str">
        <f>("31/10/2025")</f>
        <v>31/10/2025</v>
      </c>
      <c r="J212" t="str">
        <f t="shared" si="84"/>
        <v>06/11/2025</v>
      </c>
      <c r="M212">
        <v>303</v>
      </c>
      <c r="N212" t="str">
        <f t="shared" si="85"/>
        <v>RECEITAS COM ENTREGAS</v>
      </c>
      <c r="P212">
        <v>229.5</v>
      </c>
      <c r="Q212" t="str">
        <f>"AC FARMA -  FLEMINFARMA (10159)"</f>
        <v>AC FARMA -  FLEMINFARMA (10159)</v>
      </c>
      <c r="R212" t="str">
        <f t="shared" si="86"/>
        <v>RECEITAS COM ENTREGAS (303)</v>
      </c>
      <c r="S212">
        <v>3006</v>
      </c>
      <c r="T212">
        <v>2407</v>
      </c>
      <c r="U212" t="s">
        <v>21</v>
      </c>
    </row>
    <row r="213" spans="1:21">
      <c r="A213" t="str">
        <f t="shared" si="81"/>
        <v>06/11/2025</v>
      </c>
      <c r="B213" t="str">
        <f t="shared" si="82"/>
        <v>ENTRADA</v>
      </c>
      <c r="C213" t="str">
        <f t="shared" si="83"/>
        <v>NFSE</v>
      </c>
      <c r="D213" t="str">
        <f>"3713"</f>
        <v>3713</v>
      </c>
      <c r="E213" t="str">
        <f t="shared" si="78"/>
        <v>COM</v>
      </c>
      <c r="F213" t="str">
        <f>"AC FARMA - FLEMINFARMA (10160)"</f>
        <v>AC FARMA - FLEMINFARMA (10160)</v>
      </c>
      <c r="G213" t="str">
        <f>"Serv.Prest. 20/10/2025 a 26/10/2025 - RPS: 1477 - NFSe: 3713"</f>
        <v>Serv.Prest. 20/10/2025 a 26/10/2025 - RPS: 1477 - NFSe: 3713</v>
      </c>
      <c r="H213" t="str">
        <f t="shared" si="79"/>
        <v>05/11/2025</v>
      </c>
      <c r="I213" t="str">
        <f>("31/10/2025")</f>
        <v>31/10/2025</v>
      </c>
      <c r="J213" t="str">
        <f t="shared" si="84"/>
        <v>06/11/2025</v>
      </c>
      <c r="M213">
        <v>303</v>
      </c>
      <c r="N213" t="str">
        <f t="shared" si="85"/>
        <v>RECEITAS COM ENTREGAS</v>
      </c>
      <c r="P213">
        <v>8.1</v>
      </c>
      <c r="Q213" t="str">
        <f>"AC FARMA - FLEMINFARMA (10160)"</f>
        <v>AC FARMA - FLEMINFARMA (10160)</v>
      </c>
      <c r="R213" t="str">
        <f t="shared" si="86"/>
        <v>RECEITAS COM ENTREGAS (303)</v>
      </c>
      <c r="S213">
        <v>3006</v>
      </c>
      <c r="T213">
        <v>2407</v>
      </c>
      <c r="U213" t="s">
        <v>21</v>
      </c>
    </row>
    <row r="214" spans="1:21">
      <c r="A214" t="str">
        <f t="shared" si="81"/>
        <v>06/11/2025</v>
      </c>
      <c r="B214" t="str">
        <f t="shared" si="82"/>
        <v>ENTRADA</v>
      </c>
      <c r="C214" t="str">
        <f t="shared" si="83"/>
        <v>NFSE</v>
      </c>
      <c r="D214" t="str">
        <f>"3738"</f>
        <v>3738</v>
      </c>
      <c r="E214" t="str">
        <f t="shared" si="78"/>
        <v>COM</v>
      </c>
      <c r="F214" t="str">
        <f>"DROGARIA TOTAL JUNDIAI (10177)"</f>
        <v>DROGARIA TOTAL JUNDIAI (10177)</v>
      </c>
      <c r="G214" t="str">
        <f>"Serv.Prest. 27/10/2025 a 02/11/2025 - RPS: 1501 - NFSe: 3738"</f>
        <v>Serv.Prest. 27/10/2025 a 02/11/2025 - RPS: 1501 - NFSe: 3738</v>
      </c>
      <c r="H214" t="str">
        <f t="shared" si="79"/>
        <v>05/11/2025</v>
      </c>
      <c r="I214" t="str">
        <f t="shared" ref="I214:I219" si="87">("03/11/2025")</f>
        <v>03/11/2025</v>
      </c>
      <c r="J214" t="str">
        <f t="shared" si="84"/>
        <v>06/11/2025</v>
      </c>
      <c r="K214">
        <v>100.27</v>
      </c>
      <c r="L214">
        <v>100.27</v>
      </c>
      <c r="M214">
        <v>303</v>
      </c>
      <c r="N214" t="str">
        <f t="shared" si="85"/>
        <v>RECEITAS COM ENTREGAS</v>
      </c>
      <c r="O214">
        <v>100.27</v>
      </c>
      <c r="R214" t="str">
        <f t="shared" si="86"/>
        <v>RECEITAS COM ENTREGAS (303)</v>
      </c>
      <c r="S214">
        <v>3007</v>
      </c>
      <c r="T214">
        <v>2431</v>
      </c>
      <c r="U214" t="s">
        <v>21</v>
      </c>
    </row>
    <row r="215" spans="1:21">
      <c r="A215" t="str">
        <f t="shared" si="81"/>
        <v>06/11/2025</v>
      </c>
      <c r="B215" t="str">
        <f t="shared" si="82"/>
        <v>ENTRADA</v>
      </c>
      <c r="C215" t="str">
        <f t="shared" si="83"/>
        <v>NFSE</v>
      </c>
      <c r="D215" t="str">
        <f>"3738"</f>
        <v>3738</v>
      </c>
      <c r="E215" t="str">
        <f t="shared" si="78"/>
        <v>COM</v>
      </c>
      <c r="F215" t="str">
        <f>"DROGARIA TOTAL JUNDIAI (10177)"</f>
        <v>DROGARIA TOTAL JUNDIAI (10177)</v>
      </c>
      <c r="G215" t="str">
        <f>"Serv.Prest. 27/10/2025 a 02/11/2025 - RPS: 1501 - NFSe: 3738"</f>
        <v>Serv.Prest. 27/10/2025 a 02/11/2025 - RPS: 1501 - NFSe: 3738</v>
      </c>
      <c r="H215" t="str">
        <f t="shared" si="79"/>
        <v>05/11/2025</v>
      </c>
      <c r="I215" t="str">
        <f t="shared" si="87"/>
        <v>03/11/2025</v>
      </c>
      <c r="J215" t="str">
        <f t="shared" si="84"/>
        <v>06/11/2025</v>
      </c>
      <c r="M215">
        <v>303</v>
      </c>
      <c r="N215" t="str">
        <f t="shared" si="85"/>
        <v>RECEITAS COM ENTREGAS</v>
      </c>
      <c r="P215">
        <v>100.27</v>
      </c>
      <c r="Q215" t="str">
        <f>"DROGARIA TOTAL JUNDIAI (10177)"</f>
        <v>DROGARIA TOTAL JUNDIAI (10177)</v>
      </c>
      <c r="R215" t="str">
        <f t="shared" si="86"/>
        <v>RECEITAS COM ENTREGAS (303)</v>
      </c>
      <c r="S215">
        <v>3007</v>
      </c>
      <c r="T215">
        <v>2431</v>
      </c>
      <c r="U215" t="s">
        <v>21</v>
      </c>
    </row>
    <row r="216" spans="1:21">
      <c r="A216" t="str">
        <f t="shared" si="81"/>
        <v>06/11/2025</v>
      </c>
      <c r="B216" t="str">
        <f t="shared" si="82"/>
        <v>ENTRADA</v>
      </c>
      <c r="C216" t="str">
        <f t="shared" si="83"/>
        <v>NFSE</v>
      </c>
      <c r="D216" t="str">
        <f>"3748"</f>
        <v>3748</v>
      </c>
      <c r="E216" t="str">
        <f t="shared" si="78"/>
        <v>COM</v>
      </c>
      <c r="F216" t="str">
        <f>"LBL FARMACIA LTDA FILIAL (10192)"</f>
        <v>LBL FARMACIA LTDA FILIAL (10192)</v>
      </c>
      <c r="G216" t="str">
        <f>"Serv.Prest. 27/10/2025 a 02/11/2025 - RPS: 1511 - NFSe: 3748"</f>
        <v>Serv.Prest. 27/10/2025 a 02/11/2025 - RPS: 1511 - NFSe: 3748</v>
      </c>
      <c r="H216" t="str">
        <f t="shared" si="79"/>
        <v>05/11/2025</v>
      </c>
      <c r="I216" t="str">
        <f t="shared" si="87"/>
        <v>03/11/2025</v>
      </c>
      <c r="J216" t="str">
        <f t="shared" si="84"/>
        <v>06/11/2025</v>
      </c>
      <c r="K216">
        <v>271.95</v>
      </c>
      <c r="L216">
        <v>271.95</v>
      </c>
      <c r="M216">
        <v>303</v>
      </c>
      <c r="N216" t="str">
        <f t="shared" si="85"/>
        <v>RECEITAS COM ENTREGAS</v>
      </c>
      <c r="O216">
        <v>271.95</v>
      </c>
      <c r="R216" t="str">
        <f t="shared" si="86"/>
        <v>RECEITAS COM ENTREGAS (303)</v>
      </c>
      <c r="S216">
        <v>3008</v>
      </c>
      <c r="T216">
        <v>2443</v>
      </c>
      <c r="U216" t="s">
        <v>21</v>
      </c>
    </row>
    <row r="217" spans="1:21">
      <c r="A217" t="str">
        <f t="shared" si="81"/>
        <v>06/11/2025</v>
      </c>
      <c r="B217" t="str">
        <f t="shared" si="82"/>
        <v>ENTRADA</v>
      </c>
      <c r="C217" t="str">
        <f t="shared" si="83"/>
        <v>NFSE</v>
      </c>
      <c r="D217" t="str">
        <f>"3748"</f>
        <v>3748</v>
      </c>
      <c r="E217" t="str">
        <f t="shared" si="78"/>
        <v>COM</v>
      </c>
      <c r="F217" t="str">
        <f>"LBL FARMACIA LTDA FILIAL (10192)"</f>
        <v>LBL FARMACIA LTDA FILIAL (10192)</v>
      </c>
      <c r="G217" t="str">
        <f>"Serv.Prest. 27/10/2025 a 02/11/2025 - RPS: 1511 - NFSe: 3748"</f>
        <v>Serv.Prest. 27/10/2025 a 02/11/2025 - RPS: 1511 - NFSe: 3748</v>
      </c>
      <c r="H217" t="str">
        <f t="shared" si="79"/>
        <v>05/11/2025</v>
      </c>
      <c r="I217" t="str">
        <f t="shared" si="87"/>
        <v>03/11/2025</v>
      </c>
      <c r="J217" t="str">
        <f t="shared" si="84"/>
        <v>06/11/2025</v>
      </c>
      <c r="M217">
        <v>303</v>
      </c>
      <c r="N217" t="str">
        <f t="shared" si="85"/>
        <v>RECEITAS COM ENTREGAS</v>
      </c>
      <c r="P217">
        <v>271.95</v>
      </c>
      <c r="Q217" t="str">
        <f>"LBL FARMACIA LTDA FILIAL (10192)"</f>
        <v>LBL FARMACIA LTDA FILIAL (10192)</v>
      </c>
      <c r="R217" t="str">
        <f t="shared" si="86"/>
        <v>RECEITAS COM ENTREGAS (303)</v>
      </c>
      <c r="S217">
        <v>3008</v>
      </c>
      <c r="T217">
        <v>2443</v>
      </c>
      <c r="U217" t="s">
        <v>21</v>
      </c>
    </row>
    <row r="218" spans="1:21">
      <c r="A218" t="str">
        <f t="shared" si="81"/>
        <v>06/11/2025</v>
      </c>
      <c r="B218" t="str">
        <f t="shared" si="82"/>
        <v>ENTRADA</v>
      </c>
      <c r="C218" t="str">
        <f t="shared" si="83"/>
        <v>NFSE</v>
      </c>
      <c r="D218" t="str">
        <f>"3744"</f>
        <v>3744</v>
      </c>
      <c r="E218" t="str">
        <f t="shared" si="78"/>
        <v>COM</v>
      </c>
      <c r="F218" t="str">
        <f>"DROGA ELIDA (10121)"</f>
        <v>DROGA ELIDA (10121)</v>
      </c>
      <c r="G218" t="str">
        <f>"Serv.Prest. 27/10/2025 a 02/11/2025 - RPS: 1507 - NFSe: 3744"</f>
        <v>Serv.Prest. 27/10/2025 a 02/11/2025 - RPS: 1507 - NFSe: 3744</v>
      </c>
      <c r="H218" t="str">
        <f t="shared" si="79"/>
        <v>05/11/2025</v>
      </c>
      <c r="I218" t="str">
        <f t="shared" si="87"/>
        <v>03/11/2025</v>
      </c>
      <c r="J218" t="str">
        <f t="shared" si="84"/>
        <v>06/11/2025</v>
      </c>
      <c r="K218">
        <v>328.5</v>
      </c>
      <c r="L218">
        <v>328.5</v>
      </c>
      <c r="M218">
        <v>303</v>
      </c>
      <c r="N218" t="str">
        <f t="shared" si="85"/>
        <v>RECEITAS COM ENTREGAS</v>
      </c>
      <c r="O218">
        <v>328.5</v>
      </c>
      <c r="R218" t="str">
        <f t="shared" si="86"/>
        <v>RECEITAS COM ENTREGAS (303)</v>
      </c>
      <c r="S218">
        <v>3009</v>
      </c>
      <c r="T218">
        <v>2439</v>
      </c>
      <c r="U218" t="s">
        <v>21</v>
      </c>
    </row>
    <row r="219" spans="1:21">
      <c r="A219" t="str">
        <f t="shared" si="81"/>
        <v>06/11/2025</v>
      </c>
      <c r="B219" t="str">
        <f t="shared" si="82"/>
        <v>ENTRADA</v>
      </c>
      <c r="C219" t="str">
        <f t="shared" si="83"/>
        <v>NFSE</v>
      </c>
      <c r="D219" t="str">
        <f>"3744"</f>
        <v>3744</v>
      </c>
      <c r="E219" t="str">
        <f t="shared" si="78"/>
        <v>COM</v>
      </c>
      <c r="F219" t="str">
        <f>"DROGA ELIDA (10121)"</f>
        <v>DROGA ELIDA (10121)</v>
      </c>
      <c r="G219" t="str">
        <f>"Serv.Prest. 27/10/2025 a 02/11/2025 - RPS: 1507 - NFSe: 3744"</f>
        <v>Serv.Prest. 27/10/2025 a 02/11/2025 - RPS: 1507 - NFSe: 3744</v>
      </c>
      <c r="H219" t="str">
        <f t="shared" si="79"/>
        <v>05/11/2025</v>
      </c>
      <c r="I219" t="str">
        <f t="shared" si="87"/>
        <v>03/11/2025</v>
      </c>
      <c r="J219" t="str">
        <f t="shared" si="84"/>
        <v>06/11/2025</v>
      </c>
      <c r="M219">
        <v>303</v>
      </c>
      <c r="N219" t="str">
        <f t="shared" si="85"/>
        <v>RECEITAS COM ENTREGAS</v>
      </c>
      <c r="P219">
        <v>328.5</v>
      </c>
      <c r="Q219" t="str">
        <f>"DROGA ELIDA (10121)"</f>
        <v>DROGA ELIDA (10121)</v>
      </c>
      <c r="R219" t="str">
        <f t="shared" si="86"/>
        <v>RECEITAS COM ENTREGAS (303)</v>
      </c>
      <c r="S219">
        <v>3009</v>
      </c>
      <c r="T219">
        <v>2439</v>
      </c>
      <c r="U219" t="s">
        <v>21</v>
      </c>
    </row>
    <row r="220" spans="1:21">
      <c r="A220" t="str">
        <f t="shared" si="81"/>
        <v>06/11/2025</v>
      </c>
      <c r="B220" t="str">
        <f t="shared" si="82"/>
        <v>ENTRADA</v>
      </c>
      <c r="C220" t="str">
        <f t="shared" si="83"/>
        <v>NFSE</v>
      </c>
      <c r="D220" t="str">
        <f>"3712"</f>
        <v>3712</v>
      </c>
      <c r="E220" t="str">
        <f t="shared" si="78"/>
        <v>COM</v>
      </c>
      <c r="F220" t="str">
        <f>"AC FARMA - CID.ALTA (10166)"</f>
        <v>AC FARMA - CID.ALTA (10166)</v>
      </c>
      <c r="G220" t="str">
        <f>"Serv.Prest. 20/10/2025 a 26/10/2025 - RPS: 1476 - NFSe: 3712"</f>
        <v>Serv.Prest. 20/10/2025 a 26/10/2025 - RPS: 1476 - NFSe: 3712</v>
      </c>
      <c r="H220" t="str">
        <f t="shared" si="79"/>
        <v>05/11/2025</v>
      </c>
      <c r="I220" t="str">
        <f>("31/10/2025")</f>
        <v>31/10/2025</v>
      </c>
      <c r="J220" t="str">
        <f t="shared" si="84"/>
        <v>06/11/2025</v>
      </c>
      <c r="K220">
        <v>990.9</v>
      </c>
      <c r="L220">
        <v>990.9</v>
      </c>
      <c r="M220">
        <v>303</v>
      </c>
      <c r="N220" t="str">
        <f t="shared" si="85"/>
        <v>RECEITAS COM ENTREGAS</v>
      </c>
      <c r="O220">
        <v>990.9</v>
      </c>
      <c r="R220" t="str">
        <f t="shared" si="86"/>
        <v>RECEITAS COM ENTREGAS (303)</v>
      </c>
      <c r="S220">
        <v>3010</v>
      </c>
      <c r="T220">
        <v>2406</v>
      </c>
      <c r="U220" t="s">
        <v>21</v>
      </c>
    </row>
    <row r="221" spans="1:21">
      <c r="A221" t="str">
        <f t="shared" si="81"/>
        <v>06/11/2025</v>
      </c>
      <c r="B221" t="str">
        <f t="shared" si="82"/>
        <v>ENTRADA</v>
      </c>
      <c r="C221" t="str">
        <f t="shared" si="83"/>
        <v>NFSE</v>
      </c>
      <c r="D221" t="str">
        <f>"3712"</f>
        <v>3712</v>
      </c>
      <c r="E221" t="str">
        <f t="shared" si="78"/>
        <v>COM</v>
      </c>
      <c r="F221" t="str">
        <f>"AC FARMA - CID.ALTA (10166)"</f>
        <v>AC FARMA - CID.ALTA (10166)</v>
      </c>
      <c r="G221" t="str">
        <f>"Serv.Prest. 20/10/2025 a 26/10/2025 - RPS: 1476 - NFSe: 3712"</f>
        <v>Serv.Prest. 20/10/2025 a 26/10/2025 - RPS: 1476 - NFSe: 3712</v>
      </c>
      <c r="H221" t="str">
        <f t="shared" si="79"/>
        <v>05/11/2025</v>
      </c>
      <c r="I221" t="str">
        <f>("31/10/2025")</f>
        <v>31/10/2025</v>
      </c>
      <c r="J221" t="str">
        <f t="shared" si="84"/>
        <v>06/11/2025</v>
      </c>
      <c r="M221">
        <v>303</v>
      </c>
      <c r="N221" t="str">
        <f t="shared" si="85"/>
        <v>RECEITAS COM ENTREGAS</v>
      </c>
      <c r="P221">
        <v>990.9</v>
      </c>
      <c r="Q221" t="str">
        <f>"AC FARMA - CID.ALTA (10166)"</f>
        <v>AC FARMA - CID.ALTA (10166)</v>
      </c>
      <c r="R221" t="str">
        <f t="shared" si="86"/>
        <v>RECEITAS COM ENTREGAS (303)</v>
      </c>
      <c r="S221">
        <v>3010</v>
      </c>
      <c r="T221">
        <v>2406</v>
      </c>
      <c r="U221" t="s">
        <v>21</v>
      </c>
    </row>
    <row r="222" spans="1:21">
      <c r="A222" t="str">
        <f t="shared" si="81"/>
        <v>06/11/2025</v>
      </c>
      <c r="B222" t="str">
        <f t="shared" si="82"/>
        <v>ENTRADA</v>
      </c>
      <c r="C222" t="str">
        <f t="shared" si="83"/>
        <v>NFSE</v>
      </c>
      <c r="D222" t="str">
        <f t="shared" ref="D222:D269" si="88">"3666"</f>
        <v>3666</v>
      </c>
      <c r="E222" t="str">
        <f t="shared" si="78"/>
        <v>COM</v>
      </c>
      <c r="F222" t="str">
        <f t="shared" ref="F222:F269" si="89">"FARMÁCIA INDIANA LJ 1 (10126)"</f>
        <v>FARMÁCIA INDIANA LJ 1 (10126)</v>
      </c>
      <c r="G222" t="str">
        <f t="shared" ref="G222:G269" si="90">"Serv.Prest. 20/10/2025 a 24/10/2025 - RPS: 1430 - NFSe: 3666"</f>
        <v>Serv.Prest. 20/10/2025 a 24/10/2025 - RPS: 1430 - NFSe: 3666</v>
      </c>
      <c r="H222" t="str">
        <f t="shared" ref="H222:H253" si="91">("05/11/2025")</f>
        <v>05/11/2025</v>
      </c>
      <c r="I222" t="str">
        <f t="shared" ref="I222:I269" si="92">("24/10/2025")</f>
        <v>24/10/2025</v>
      </c>
      <c r="J222" t="str">
        <f t="shared" si="84"/>
        <v>06/11/2025</v>
      </c>
      <c r="K222">
        <v>10169.86</v>
      </c>
      <c r="L222">
        <v>10169.86</v>
      </c>
      <c r="M222">
        <v>303</v>
      </c>
      <c r="N222" t="str">
        <f t="shared" si="85"/>
        <v>RECEITAS COM ENTREGAS</v>
      </c>
      <c r="O222">
        <v>10169.86</v>
      </c>
      <c r="R222" t="str">
        <f t="shared" si="86"/>
        <v>RECEITAS COM ENTREGAS (303)</v>
      </c>
      <c r="S222">
        <v>3011</v>
      </c>
      <c r="T222">
        <v>2352</v>
      </c>
      <c r="U222" t="s">
        <v>21</v>
      </c>
    </row>
    <row r="223" spans="1:21">
      <c r="A223" t="str">
        <f t="shared" si="81"/>
        <v>06/11/2025</v>
      </c>
      <c r="B223" t="str">
        <f t="shared" si="82"/>
        <v>ENTRADA</v>
      </c>
      <c r="C223" t="str">
        <f t="shared" si="83"/>
        <v>NFSE</v>
      </c>
      <c r="D223" t="str">
        <f t="shared" si="88"/>
        <v>3666</v>
      </c>
      <c r="E223" t="str">
        <f t="shared" si="78"/>
        <v>COM</v>
      </c>
      <c r="F223" t="str">
        <f t="shared" si="89"/>
        <v>FARMÁCIA INDIANA LJ 1 (10126)</v>
      </c>
      <c r="G223" t="str">
        <f t="shared" si="90"/>
        <v>Serv.Prest. 20/10/2025 a 24/10/2025 - RPS: 1430 - NFSe: 3666</v>
      </c>
      <c r="H223" t="str">
        <f t="shared" si="91"/>
        <v>05/11/2025</v>
      </c>
      <c r="I223" t="str">
        <f t="shared" si="92"/>
        <v>24/10/2025</v>
      </c>
      <c r="J223" t="str">
        <f t="shared" si="84"/>
        <v>06/11/2025</v>
      </c>
      <c r="M223">
        <v>303</v>
      </c>
      <c r="N223" t="str">
        <f t="shared" si="85"/>
        <v>RECEITAS COM ENTREGAS</v>
      </c>
      <c r="P223">
        <v>1288.54</v>
      </c>
      <c r="Q223" t="str">
        <f>"FARMÁCIA INDIANA LJ 06 (10006)"</f>
        <v>FARMÁCIA INDIANA LJ 06 (10006)</v>
      </c>
      <c r="R223" t="str">
        <f t="shared" si="86"/>
        <v>RECEITAS COM ENTREGAS (303)</v>
      </c>
      <c r="S223">
        <v>3011</v>
      </c>
      <c r="T223">
        <v>2352</v>
      </c>
      <c r="U223" t="s">
        <v>21</v>
      </c>
    </row>
    <row r="224" spans="1:21">
      <c r="A224" t="str">
        <f t="shared" si="81"/>
        <v>06/11/2025</v>
      </c>
      <c r="B224" t="str">
        <f t="shared" si="82"/>
        <v>ENTRADA</v>
      </c>
      <c r="C224" t="str">
        <f t="shared" si="83"/>
        <v>NFSE</v>
      </c>
      <c r="D224" t="str">
        <f t="shared" si="88"/>
        <v>3666</v>
      </c>
      <c r="E224" t="str">
        <f t="shared" si="78"/>
        <v>COM</v>
      </c>
      <c r="F224" t="str">
        <f t="shared" si="89"/>
        <v>FARMÁCIA INDIANA LJ 1 (10126)</v>
      </c>
      <c r="G224" t="str">
        <f t="shared" si="90"/>
        <v>Serv.Prest. 20/10/2025 a 24/10/2025 - RPS: 1430 - NFSe: 3666</v>
      </c>
      <c r="H224" t="str">
        <f t="shared" si="91"/>
        <v>05/11/2025</v>
      </c>
      <c r="I224" t="str">
        <f t="shared" si="92"/>
        <v>24/10/2025</v>
      </c>
      <c r="J224" t="str">
        <f t="shared" si="84"/>
        <v>06/11/2025</v>
      </c>
      <c r="M224">
        <v>303</v>
      </c>
      <c r="N224" t="str">
        <f t="shared" si="85"/>
        <v>RECEITAS COM ENTREGAS</v>
      </c>
      <c r="P224">
        <v>814.61</v>
      </c>
      <c r="Q224" t="str">
        <f>"FARMÁCIA INDIANA LJ 07 (10007)"</f>
        <v>FARMÁCIA INDIANA LJ 07 (10007)</v>
      </c>
      <c r="R224" t="str">
        <f t="shared" si="86"/>
        <v>RECEITAS COM ENTREGAS (303)</v>
      </c>
      <c r="S224">
        <v>3011</v>
      </c>
      <c r="T224">
        <v>2352</v>
      </c>
      <c r="U224" t="s">
        <v>21</v>
      </c>
    </row>
    <row r="225" spans="1:21">
      <c r="A225" t="str">
        <f t="shared" si="81"/>
        <v>06/11/2025</v>
      </c>
      <c r="B225" t="str">
        <f t="shared" si="82"/>
        <v>ENTRADA</v>
      </c>
      <c r="C225" t="str">
        <f t="shared" si="83"/>
        <v>NFSE</v>
      </c>
      <c r="D225" t="str">
        <f t="shared" si="88"/>
        <v>3666</v>
      </c>
      <c r="E225" t="str">
        <f t="shared" si="78"/>
        <v>COM</v>
      </c>
      <c r="F225" t="str">
        <f t="shared" si="89"/>
        <v>FARMÁCIA INDIANA LJ 1 (10126)</v>
      </c>
      <c r="G225" t="str">
        <f t="shared" si="90"/>
        <v>Serv.Prest. 20/10/2025 a 24/10/2025 - RPS: 1430 - NFSe: 3666</v>
      </c>
      <c r="H225" t="str">
        <f t="shared" si="91"/>
        <v>05/11/2025</v>
      </c>
      <c r="I225" t="str">
        <f t="shared" si="92"/>
        <v>24/10/2025</v>
      </c>
      <c r="J225" t="str">
        <f t="shared" si="84"/>
        <v>06/11/2025</v>
      </c>
      <c r="M225">
        <v>303</v>
      </c>
      <c r="N225" t="str">
        <f t="shared" si="85"/>
        <v>RECEITAS COM ENTREGAS</v>
      </c>
      <c r="P225">
        <v>743.42</v>
      </c>
      <c r="Q225" t="str">
        <f>"FARMÁCIA INDIANA LJ 11 (10008)"</f>
        <v>FARMÁCIA INDIANA LJ 11 (10008)</v>
      </c>
      <c r="R225" t="str">
        <f t="shared" si="86"/>
        <v>RECEITAS COM ENTREGAS (303)</v>
      </c>
      <c r="S225">
        <v>3011</v>
      </c>
      <c r="T225">
        <v>2352</v>
      </c>
      <c r="U225" t="s">
        <v>21</v>
      </c>
    </row>
    <row r="226" spans="1:21">
      <c r="A226" t="str">
        <f t="shared" si="81"/>
        <v>06/11/2025</v>
      </c>
      <c r="B226" t="str">
        <f t="shared" si="82"/>
        <v>ENTRADA</v>
      </c>
      <c r="C226" t="str">
        <f t="shared" si="83"/>
        <v>NFSE</v>
      </c>
      <c r="D226" t="str">
        <f t="shared" si="88"/>
        <v>3666</v>
      </c>
      <c r="E226" t="str">
        <f t="shared" si="78"/>
        <v>COM</v>
      </c>
      <c r="F226" t="str">
        <f t="shared" si="89"/>
        <v>FARMÁCIA INDIANA LJ 1 (10126)</v>
      </c>
      <c r="G226" t="str">
        <f t="shared" si="90"/>
        <v>Serv.Prest. 20/10/2025 a 24/10/2025 - RPS: 1430 - NFSe: 3666</v>
      </c>
      <c r="H226" t="str">
        <f t="shared" si="91"/>
        <v>05/11/2025</v>
      </c>
      <c r="I226" t="str">
        <f t="shared" si="92"/>
        <v>24/10/2025</v>
      </c>
      <c r="J226" t="str">
        <f t="shared" si="84"/>
        <v>06/11/2025</v>
      </c>
      <c r="M226">
        <v>303</v>
      </c>
      <c r="N226" t="str">
        <f t="shared" si="85"/>
        <v>RECEITAS COM ENTREGAS</v>
      </c>
      <c r="P226">
        <v>295.94</v>
      </c>
      <c r="Q226" t="str">
        <f>"FARMÁCIA INDIANA LJ 14 (10009)"</f>
        <v>FARMÁCIA INDIANA LJ 14 (10009)</v>
      </c>
      <c r="R226" t="str">
        <f t="shared" si="86"/>
        <v>RECEITAS COM ENTREGAS (303)</v>
      </c>
      <c r="S226">
        <v>3011</v>
      </c>
      <c r="T226">
        <v>2352</v>
      </c>
      <c r="U226" t="s">
        <v>21</v>
      </c>
    </row>
    <row r="227" spans="1:21">
      <c r="A227" t="str">
        <f t="shared" si="81"/>
        <v>06/11/2025</v>
      </c>
      <c r="B227" t="str">
        <f t="shared" si="82"/>
        <v>ENTRADA</v>
      </c>
      <c r="C227" t="str">
        <f t="shared" si="83"/>
        <v>NFSE</v>
      </c>
      <c r="D227" t="str">
        <f t="shared" si="88"/>
        <v>3666</v>
      </c>
      <c r="E227" t="str">
        <f t="shared" si="78"/>
        <v>COM</v>
      </c>
      <c r="F227" t="str">
        <f t="shared" si="89"/>
        <v>FARMÁCIA INDIANA LJ 1 (10126)</v>
      </c>
      <c r="G227" t="str">
        <f t="shared" si="90"/>
        <v>Serv.Prest. 20/10/2025 a 24/10/2025 - RPS: 1430 - NFSe: 3666</v>
      </c>
      <c r="H227" t="str">
        <f t="shared" si="91"/>
        <v>05/11/2025</v>
      </c>
      <c r="I227" t="str">
        <f t="shared" si="92"/>
        <v>24/10/2025</v>
      </c>
      <c r="J227" t="str">
        <f t="shared" si="84"/>
        <v>06/11/2025</v>
      </c>
      <c r="M227">
        <v>303</v>
      </c>
      <c r="N227" t="str">
        <f t="shared" si="85"/>
        <v>RECEITAS COM ENTREGAS</v>
      </c>
      <c r="P227">
        <v>223.74</v>
      </c>
      <c r="Q227" t="str">
        <f>"FARMÁCIA INDIANA LJ 18 (10011)"</f>
        <v>FARMÁCIA INDIANA LJ 18 (10011)</v>
      </c>
      <c r="R227" t="str">
        <f t="shared" si="86"/>
        <v>RECEITAS COM ENTREGAS (303)</v>
      </c>
      <c r="S227">
        <v>3011</v>
      </c>
      <c r="T227">
        <v>2352</v>
      </c>
      <c r="U227" t="s">
        <v>21</v>
      </c>
    </row>
    <row r="228" spans="1:21">
      <c r="A228" t="str">
        <f t="shared" ref="A228:A259" si="93">("06/11/2025")</f>
        <v>06/11/2025</v>
      </c>
      <c r="B228" t="str">
        <f t="shared" ref="B228:B259" si="94">"ENTRADA"</f>
        <v>ENTRADA</v>
      </c>
      <c r="C228" t="str">
        <f t="shared" ref="C228:C259" si="95">"NFSE"</f>
        <v>NFSE</v>
      </c>
      <c r="D228" t="str">
        <f t="shared" si="88"/>
        <v>3666</v>
      </c>
      <c r="E228" t="str">
        <f t="shared" si="78"/>
        <v>COM</v>
      </c>
      <c r="F228" t="str">
        <f t="shared" si="89"/>
        <v>FARMÁCIA INDIANA LJ 1 (10126)</v>
      </c>
      <c r="G228" t="str">
        <f t="shared" si="90"/>
        <v>Serv.Prest. 20/10/2025 a 24/10/2025 - RPS: 1430 - NFSe: 3666</v>
      </c>
      <c r="H228" t="str">
        <f t="shared" si="91"/>
        <v>05/11/2025</v>
      </c>
      <c r="I228" t="str">
        <f t="shared" si="92"/>
        <v>24/10/2025</v>
      </c>
      <c r="J228" t="str">
        <f t="shared" ref="J228:J259" si="96">("06/11/2025")</f>
        <v>06/11/2025</v>
      </c>
      <c r="M228">
        <v>303</v>
      </c>
      <c r="N228" t="str">
        <f t="shared" ref="N228:N259" si="97">"RECEITAS COM ENTREGAS"</f>
        <v>RECEITAS COM ENTREGAS</v>
      </c>
      <c r="P228">
        <v>204.41</v>
      </c>
      <c r="Q228" t="str">
        <f>"FARMÁCIA INDIANA LJ 19 (10012)"</f>
        <v>FARMÁCIA INDIANA LJ 19 (10012)</v>
      </c>
      <c r="R228" t="str">
        <f t="shared" ref="R228:R259" si="98">"RECEITAS COM ENTREGAS (303)"</f>
        <v>RECEITAS COM ENTREGAS (303)</v>
      </c>
      <c r="S228">
        <v>3011</v>
      </c>
      <c r="T228">
        <v>2352</v>
      </c>
      <c r="U228" t="s">
        <v>21</v>
      </c>
    </row>
    <row r="229" spans="1:21">
      <c r="A229" t="str">
        <f t="shared" si="93"/>
        <v>06/11/2025</v>
      </c>
      <c r="B229" t="str">
        <f t="shared" si="94"/>
        <v>ENTRADA</v>
      </c>
      <c r="C229" t="str">
        <f t="shared" si="95"/>
        <v>NFSE</v>
      </c>
      <c r="D229" t="str">
        <f t="shared" si="88"/>
        <v>3666</v>
      </c>
      <c r="E229" t="str">
        <f t="shared" si="78"/>
        <v>COM</v>
      </c>
      <c r="F229" t="str">
        <f t="shared" si="89"/>
        <v>FARMÁCIA INDIANA LJ 1 (10126)</v>
      </c>
      <c r="G229" t="str">
        <f t="shared" si="90"/>
        <v>Serv.Prest. 20/10/2025 a 24/10/2025 - RPS: 1430 - NFSe: 3666</v>
      </c>
      <c r="H229" t="str">
        <f t="shared" si="91"/>
        <v>05/11/2025</v>
      </c>
      <c r="I229" t="str">
        <f t="shared" si="92"/>
        <v>24/10/2025</v>
      </c>
      <c r="J229" t="str">
        <f t="shared" si="96"/>
        <v>06/11/2025</v>
      </c>
      <c r="M229">
        <v>303</v>
      </c>
      <c r="N229" t="str">
        <f t="shared" si="97"/>
        <v>RECEITAS COM ENTREGAS</v>
      </c>
      <c r="P229">
        <v>247.13</v>
      </c>
      <c r="Q229" t="str">
        <f>"FARMÁCIA INDIANA LJ 40 (10016)"</f>
        <v>FARMÁCIA INDIANA LJ 40 (10016)</v>
      </c>
      <c r="R229" t="str">
        <f t="shared" si="98"/>
        <v>RECEITAS COM ENTREGAS (303)</v>
      </c>
      <c r="S229">
        <v>3011</v>
      </c>
      <c r="T229">
        <v>2352</v>
      </c>
      <c r="U229" t="s">
        <v>21</v>
      </c>
    </row>
    <row r="230" spans="1:21">
      <c r="A230" t="str">
        <f t="shared" si="93"/>
        <v>06/11/2025</v>
      </c>
      <c r="B230" t="str">
        <f t="shared" si="94"/>
        <v>ENTRADA</v>
      </c>
      <c r="C230" t="str">
        <f t="shared" si="95"/>
        <v>NFSE</v>
      </c>
      <c r="D230" t="str">
        <f t="shared" si="88"/>
        <v>3666</v>
      </c>
      <c r="E230" t="str">
        <f t="shared" si="78"/>
        <v>COM</v>
      </c>
      <c r="F230" t="str">
        <f t="shared" si="89"/>
        <v>FARMÁCIA INDIANA LJ 1 (10126)</v>
      </c>
      <c r="G230" t="str">
        <f t="shared" si="90"/>
        <v>Serv.Prest. 20/10/2025 a 24/10/2025 - RPS: 1430 - NFSe: 3666</v>
      </c>
      <c r="H230" t="str">
        <f t="shared" si="91"/>
        <v>05/11/2025</v>
      </c>
      <c r="I230" t="str">
        <f t="shared" si="92"/>
        <v>24/10/2025</v>
      </c>
      <c r="J230" t="str">
        <f t="shared" si="96"/>
        <v>06/11/2025</v>
      </c>
      <c r="M230">
        <v>303</v>
      </c>
      <c r="N230" t="str">
        <f t="shared" si="97"/>
        <v>RECEITAS COM ENTREGAS</v>
      </c>
      <c r="P230">
        <v>104.75</v>
      </c>
      <c r="Q230" t="str">
        <f>"FARMÁCIA INDIANA LJ 59 (10026)"</f>
        <v>FARMÁCIA INDIANA LJ 59 (10026)</v>
      </c>
      <c r="R230" t="str">
        <f t="shared" si="98"/>
        <v>RECEITAS COM ENTREGAS (303)</v>
      </c>
      <c r="S230">
        <v>3011</v>
      </c>
      <c r="T230">
        <v>2352</v>
      </c>
      <c r="U230" t="s">
        <v>21</v>
      </c>
    </row>
    <row r="231" spans="1:21">
      <c r="A231" t="str">
        <f t="shared" si="93"/>
        <v>06/11/2025</v>
      </c>
      <c r="B231" t="str">
        <f t="shared" si="94"/>
        <v>ENTRADA</v>
      </c>
      <c r="C231" t="str">
        <f t="shared" si="95"/>
        <v>NFSE</v>
      </c>
      <c r="D231" t="str">
        <f t="shared" si="88"/>
        <v>3666</v>
      </c>
      <c r="E231" t="str">
        <f t="shared" si="78"/>
        <v>COM</v>
      </c>
      <c r="F231" t="str">
        <f t="shared" si="89"/>
        <v>FARMÁCIA INDIANA LJ 1 (10126)</v>
      </c>
      <c r="G231" t="str">
        <f t="shared" si="90"/>
        <v>Serv.Prest. 20/10/2025 a 24/10/2025 - RPS: 1430 - NFSe: 3666</v>
      </c>
      <c r="H231" t="str">
        <f t="shared" si="91"/>
        <v>05/11/2025</v>
      </c>
      <c r="I231" t="str">
        <f t="shared" si="92"/>
        <v>24/10/2025</v>
      </c>
      <c r="J231" t="str">
        <f t="shared" si="96"/>
        <v>06/11/2025</v>
      </c>
      <c r="M231">
        <v>303</v>
      </c>
      <c r="N231" t="str">
        <f t="shared" si="97"/>
        <v>RECEITAS COM ENTREGAS</v>
      </c>
      <c r="P231">
        <v>309.16000000000003</v>
      </c>
      <c r="Q231" t="str">
        <f>"FARMÁCIA INDIANA LJ 61 (10027)"</f>
        <v>FARMÁCIA INDIANA LJ 61 (10027)</v>
      </c>
      <c r="R231" t="str">
        <f t="shared" si="98"/>
        <v>RECEITAS COM ENTREGAS (303)</v>
      </c>
      <c r="S231">
        <v>3011</v>
      </c>
      <c r="T231">
        <v>2352</v>
      </c>
      <c r="U231" t="s">
        <v>21</v>
      </c>
    </row>
    <row r="232" spans="1:21">
      <c r="A232" t="str">
        <f t="shared" si="93"/>
        <v>06/11/2025</v>
      </c>
      <c r="B232" t="str">
        <f t="shared" si="94"/>
        <v>ENTRADA</v>
      </c>
      <c r="C232" t="str">
        <f t="shared" si="95"/>
        <v>NFSE</v>
      </c>
      <c r="D232" t="str">
        <f t="shared" si="88"/>
        <v>3666</v>
      </c>
      <c r="E232" t="str">
        <f t="shared" si="78"/>
        <v>COM</v>
      </c>
      <c r="F232" t="str">
        <f t="shared" si="89"/>
        <v>FARMÁCIA INDIANA LJ 1 (10126)</v>
      </c>
      <c r="G232" t="str">
        <f t="shared" si="90"/>
        <v>Serv.Prest. 20/10/2025 a 24/10/2025 - RPS: 1430 - NFSe: 3666</v>
      </c>
      <c r="H232" t="str">
        <f t="shared" si="91"/>
        <v>05/11/2025</v>
      </c>
      <c r="I232" t="str">
        <f t="shared" si="92"/>
        <v>24/10/2025</v>
      </c>
      <c r="J232" t="str">
        <f t="shared" si="96"/>
        <v>06/11/2025</v>
      </c>
      <c r="M232">
        <v>303</v>
      </c>
      <c r="N232" t="str">
        <f t="shared" si="97"/>
        <v>RECEITAS COM ENTREGAS</v>
      </c>
      <c r="P232">
        <v>285.77</v>
      </c>
      <c r="Q232" t="str">
        <f>"FARMÁCIA INDIANA LJ 62 (10028)"</f>
        <v>FARMÁCIA INDIANA LJ 62 (10028)</v>
      </c>
      <c r="R232" t="str">
        <f t="shared" si="98"/>
        <v>RECEITAS COM ENTREGAS (303)</v>
      </c>
      <c r="S232">
        <v>3011</v>
      </c>
      <c r="T232">
        <v>2352</v>
      </c>
      <c r="U232" t="s">
        <v>21</v>
      </c>
    </row>
    <row r="233" spans="1:21">
      <c r="A233" t="str">
        <f t="shared" si="93"/>
        <v>06/11/2025</v>
      </c>
      <c r="B233" t="str">
        <f t="shared" si="94"/>
        <v>ENTRADA</v>
      </c>
      <c r="C233" t="str">
        <f t="shared" si="95"/>
        <v>NFSE</v>
      </c>
      <c r="D233" t="str">
        <f t="shared" si="88"/>
        <v>3666</v>
      </c>
      <c r="E233" t="str">
        <f t="shared" si="78"/>
        <v>COM</v>
      </c>
      <c r="F233" t="str">
        <f t="shared" si="89"/>
        <v>FARMÁCIA INDIANA LJ 1 (10126)</v>
      </c>
      <c r="G233" t="str">
        <f t="shared" si="90"/>
        <v>Serv.Prest. 20/10/2025 a 24/10/2025 - RPS: 1430 - NFSe: 3666</v>
      </c>
      <c r="H233" t="str">
        <f t="shared" si="91"/>
        <v>05/11/2025</v>
      </c>
      <c r="I233" t="str">
        <f t="shared" si="92"/>
        <v>24/10/2025</v>
      </c>
      <c r="J233" t="str">
        <f t="shared" si="96"/>
        <v>06/11/2025</v>
      </c>
      <c r="M233">
        <v>303</v>
      </c>
      <c r="N233" t="str">
        <f t="shared" si="97"/>
        <v>RECEITAS COM ENTREGAS</v>
      </c>
      <c r="P233">
        <v>106.78</v>
      </c>
      <c r="Q233" t="str">
        <f>"FARMÁCIA INDIANA LJ 64 (10029)"</f>
        <v>FARMÁCIA INDIANA LJ 64 (10029)</v>
      </c>
      <c r="R233" t="str">
        <f t="shared" si="98"/>
        <v>RECEITAS COM ENTREGAS (303)</v>
      </c>
      <c r="S233">
        <v>3011</v>
      </c>
      <c r="T233">
        <v>2352</v>
      </c>
      <c r="U233" t="s">
        <v>21</v>
      </c>
    </row>
    <row r="234" spans="1:21">
      <c r="A234" t="str">
        <f t="shared" si="93"/>
        <v>06/11/2025</v>
      </c>
      <c r="B234" t="str">
        <f t="shared" si="94"/>
        <v>ENTRADA</v>
      </c>
      <c r="C234" t="str">
        <f t="shared" si="95"/>
        <v>NFSE</v>
      </c>
      <c r="D234" t="str">
        <f t="shared" si="88"/>
        <v>3666</v>
      </c>
      <c r="E234" t="str">
        <f t="shared" si="78"/>
        <v>COM</v>
      </c>
      <c r="F234" t="str">
        <f t="shared" si="89"/>
        <v>FARMÁCIA INDIANA LJ 1 (10126)</v>
      </c>
      <c r="G234" t="str">
        <f t="shared" si="90"/>
        <v>Serv.Prest. 20/10/2025 a 24/10/2025 - RPS: 1430 - NFSe: 3666</v>
      </c>
      <c r="H234" t="str">
        <f t="shared" si="91"/>
        <v>05/11/2025</v>
      </c>
      <c r="I234" t="str">
        <f t="shared" si="92"/>
        <v>24/10/2025</v>
      </c>
      <c r="J234" t="str">
        <f t="shared" si="96"/>
        <v>06/11/2025</v>
      </c>
      <c r="M234">
        <v>303</v>
      </c>
      <c r="N234" t="str">
        <f t="shared" si="97"/>
        <v>RECEITAS COM ENTREGAS</v>
      </c>
      <c r="P234">
        <v>67.12</v>
      </c>
      <c r="Q234" t="str">
        <f>"FARMÁCIA INDIANA LJ 97 (10040)"</f>
        <v>FARMÁCIA INDIANA LJ 97 (10040)</v>
      </c>
      <c r="R234" t="str">
        <f t="shared" si="98"/>
        <v>RECEITAS COM ENTREGAS (303)</v>
      </c>
      <c r="S234">
        <v>3011</v>
      </c>
      <c r="T234">
        <v>2352</v>
      </c>
      <c r="U234" t="s">
        <v>21</v>
      </c>
    </row>
    <row r="235" spans="1:21">
      <c r="A235" t="str">
        <f t="shared" si="93"/>
        <v>06/11/2025</v>
      </c>
      <c r="B235" t="str">
        <f t="shared" si="94"/>
        <v>ENTRADA</v>
      </c>
      <c r="C235" t="str">
        <f t="shared" si="95"/>
        <v>NFSE</v>
      </c>
      <c r="D235" t="str">
        <f t="shared" si="88"/>
        <v>3666</v>
      </c>
      <c r="E235" t="str">
        <f t="shared" si="78"/>
        <v>COM</v>
      </c>
      <c r="F235" t="str">
        <f t="shared" si="89"/>
        <v>FARMÁCIA INDIANA LJ 1 (10126)</v>
      </c>
      <c r="G235" t="str">
        <f t="shared" si="90"/>
        <v>Serv.Prest. 20/10/2025 a 24/10/2025 - RPS: 1430 - NFSe: 3666</v>
      </c>
      <c r="H235" t="str">
        <f t="shared" si="91"/>
        <v>05/11/2025</v>
      </c>
      <c r="I235" t="str">
        <f t="shared" si="92"/>
        <v>24/10/2025</v>
      </c>
      <c r="J235" t="str">
        <f t="shared" si="96"/>
        <v>06/11/2025</v>
      </c>
      <c r="M235">
        <v>303</v>
      </c>
      <c r="N235" t="str">
        <f t="shared" si="97"/>
        <v>RECEITAS COM ENTREGAS</v>
      </c>
      <c r="P235">
        <v>300.01</v>
      </c>
      <c r="Q235" t="str">
        <f>"FARMÁCIA INDIANA LJ 100 (10042)"</f>
        <v>FARMÁCIA INDIANA LJ 100 (10042)</v>
      </c>
      <c r="R235" t="str">
        <f t="shared" si="98"/>
        <v>RECEITAS COM ENTREGAS (303)</v>
      </c>
      <c r="S235">
        <v>3011</v>
      </c>
      <c r="T235">
        <v>2352</v>
      </c>
      <c r="U235" t="s">
        <v>21</v>
      </c>
    </row>
    <row r="236" spans="1:21">
      <c r="A236" t="str">
        <f t="shared" si="93"/>
        <v>06/11/2025</v>
      </c>
      <c r="B236" t="str">
        <f t="shared" si="94"/>
        <v>ENTRADA</v>
      </c>
      <c r="C236" t="str">
        <f t="shared" si="95"/>
        <v>NFSE</v>
      </c>
      <c r="D236" t="str">
        <f t="shared" si="88"/>
        <v>3666</v>
      </c>
      <c r="E236" t="str">
        <f t="shared" si="78"/>
        <v>COM</v>
      </c>
      <c r="F236" t="str">
        <f t="shared" si="89"/>
        <v>FARMÁCIA INDIANA LJ 1 (10126)</v>
      </c>
      <c r="G236" t="str">
        <f t="shared" si="90"/>
        <v>Serv.Prest. 20/10/2025 a 24/10/2025 - RPS: 1430 - NFSe: 3666</v>
      </c>
      <c r="H236" t="str">
        <f t="shared" si="91"/>
        <v>05/11/2025</v>
      </c>
      <c r="I236" t="str">
        <f t="shared" si="92"/>
        <v>24/10/2025</v>
      </c>
      <c r="J236" t="str">
        <f t="shared" si="96"/>
        <v>06/11/2025</v>
      </c>
      <c r="M236">
        <v>303</v>
      </c>
      <c r="N236" t="str">
        <f t="shared" si="97"/>
        <v>RECEITAS COM ENTREGAS</v>
      </c>
      <c r="P236">
        <v>383.4</v>
      </c>
      <c r="Q236" t="str">
        <f>"FARMÁCIA INDIANA LJ 101 (10043)"</f>
        <v>FARMÁCIA INDIANA LJ 101 (10043)</v>
      </c>
      <c r="R236" t="str">
        <f t="shared" si="98"/>
        <v>RECEITAS COM ENTREGAS (303)</v>
      </c>
      <c r="S236">
        <v>3011</v>
      </c>
      <c r="T236">
        <v>2352</v>
      </c>
      <c r="U236" t="s">
        <v>21</v>
      </c>
    </row>
    <row r="237" spans="1:21">
      <c r="A237" t="str">
        <f t="shared" si="93"/>
        <v>06/11/2025</v>
      </c>
      <c r="B237" t="str">
        <f t="shared" si="94"/>
        <v>ENTRADA</v>
      </c>
      <c r="C237" t="str">
        <f t="shared" si="95"/>
        <v>NFSE</v>
      </c>
      <c r="D237" t="str">
        <f t="shared" si="88"/>
        <v>3666</v>
      </c>
      <c r="E237" t="str">
        <f t="shared" si="78"/>
        <v>COM</v>
      </c>
      <c r="F237" t="str">
        <f t="shared" si="89"/>
        <v>FARMÁCIA INDIANA LJ 1 (10126)</v>
      </c>
      <c r="G237" t="str">
        <f t="shared" si="90"/>
        <v>Serv.Prest. 20/10/2025 a 24/10/2025 - RPS: 1430 - NFSe: 3666</v>
      </c>
      <c r="H237" t="str">
        <f t="shared" si="91"/>
        <v>05/11/2025</v>
      </c>
      <c r="I237" t="str">
        <f t="shared" si="92"/>
        <v>24/10/2025</v>
      </c>
      <c r="J237" t="str">
        <f t="shared" si="96"/>
        <v>06/11/2025</v>
      </c>
      <c r="M237">
        <v>303</v>
      </c>
      <c r="N237" t="str">
        <f t="shared" si="97"/>
        <v>RECEITAS COM ENTREGAS</v>
      </c>
      <c r="P237">
        <v>100.68</v>
      </c>
      <c r="Q237" t="str">
        <f>"FARMÁCIA INDIANA LJ 103 (10044)"</f>
        <v>FARMÁCIA INDIANA LJ 103 (10044)</v>
      </c>
      <c r="R237" t="str">
        <f t="shared" si="98"/>
        <v>RECEITAS COM ENTREGAS (303)</v>
      </c>
      <c r="S237">
        <v>3011</v>
      </c>
      <c r="T237">
        <v>2352</v>
      </c>
      <c r="U237" t="s">
        <v>21</v>
      </c>
    </row>
    <row r="238" spans="1:21">
      <c r="A238" t="str">
        <f t="shared" si="93"/>
        <v>06/11/2025</v>
      </c>
      <c r="B238" t="str">
        <f t="shared" si="94"/>
        <v>ENTRADA</v>
      </c>
      <c r="C238" t="str">
        <f t="shared" si="95"/>
        <v>NFSE</v>
      </c>
      <c r="D238" t="str">
        <f t="shared" si="88"/>
        <v>3666</v>
      </c>
      <c r="E238" t="str">
        <f t="shared" si="78"/>
        <v>COM</v>
      </c>
      <c r="F238" t="str">
        <f t="shared" si="89"/>
        <v>FARMÁCIA INDIANA LJ 1 (10126)</v>
      </c>
      <c r="G238" t="str">
        <f t="shared" si="90"/>
        <v>Serv.Prest. 20/10/2025 a 24/10/2025 - RPS: 1430 - NFSe: 3666</v>
      </c>
      <c r="H238" t="str">
        <f t="shared" si="91"/>
        <v>05/11/2025</v>
      </c>
      <c r="I238" t="str">
        <f t="shared" si="92"/>
        <v>24/10/2025</v>
      </c>
      <c r="J238" t="str">
        <f t="shared" si="96"/>
        <v>06/11/2025</v>
      </c>
      <c r="M238">
        <v>303</v>
      </c>
      <c r="N238" t="str">
        <f t="shared" si="97"/>
        <v>RECEITAS COM ENTREGAS</v>
      </c>
      <c r="P238">
        <v>152.55000000000001</v>
      </c>
      <c r="Q238" t="str">
        <f>"FARMÁCIA INDIANA LJ 109 (10047)"</f>
        <v>FARMÁCIA INDIANA LJ 109 (10047)</v>
      </c>
      <c r="R238" t="str">
        <f t="shared" si="98"/>
        <v>RECEITAS COM ENTREGAS (303)</v>
      </c>
      <c r="S238">
        <v>3011</v>
      </c>
      <c r="T238">
        <v>2352</v>
      </c>
      <c r="U238" t="s">
        <v>21</v>
      </c>
    </row>
    <row r="239" spans="1:21">
      <c r="A239" t="str">
        <f t="shared" si="93"/>
        <v>06/11/2025</v>
      </c>
      <c r="B239" t="str">
        <f t="shared" si="94"/>
        <v>ENTRADA</v>
      </c>
      <c r="C239" t="str">
        <f t="shared" si="95"/>
        <v>NFSE</v>
      </c>
      <c r="D239" t="str">
        <f t="shared" si="88"/>
        <v>3666</v>
      </c>
      <c r="E239" t="str">
        <f t="shared" si="78"/>
        <v>COM</v>
      </c>
      <c r="F239" t="str">
        <f t="shared" si="89"/>
        <v>FARMÁCIA INDIANA LJ 1 (10126)</v>
      </c>
      <c r="G239" t="str">
        <f t="shared" si="90"/>
        <v>Serv.Prest. 20/10/2025 a 24/10/2025 - RPS: 1430 - NFSe: 3666</v>
      </c>
      <c r="H239" t="str">
        <f t="shared" si="91"/>
        <v>05/11/2025</v>
      </c>
      <c r="I239" t="str">
        <f t="shared" si="92"/>
        <v>24/10/2025</v>
      </c>
      <c r="J239" t="str">
        <f t="shared" si="96"/>
        <v>06/11/2025</v>
      </c>
      <c r="M239">
        <v>303</v>
      </c>
      <c r="N239" t="str">
        <f t="shared" si="97"/>
        <v>RECEITAS COM ENTREGAS</v>
      </c>
      <c r="P239">
        <v>340.69</v>
      </c>
      <c r="Q239" t="str">
        <f>"FARMÁCIA INDIANA LJ 110 (10048)"</f>
        <v>FARMÁCIA INDIANA LJ 110 (10048)</v>
      </c>
      <c r="R239" t="str">
        <f t="shared" si="98"/>
        <v>RECEITAS COM ENTREGAS (303)</v>
      </c>
      <c r="S239">
        <v>3011</v>
      </c>
      <c r="T239">
        <v>2352</v>
      </c>
      <c r="U239" t="s">
        <v>21</v>
      </c>
    </row>
    <row r="240" spans="1:21">
      <c r="A240" t="str">
        <f t="shared" si="93"/>
        <v>06/11/2025</v>
      </c>
      <c r="B240" t="str">
        <f t="shared" si="94"/>
        <v>ENTRADA</v>
      </c>
      <c r="C240" t="str">
        <f t="shared" si="95"/>
        <v>NFSE</v>
      </c>
      <c r="D240" t="str">
        <f t="shared" si="88"/>
        <v>3666</v>
      </c>
      <c r="E240" t="str">
        <f t="shared" si="78"/>
        <v>COM</v>
      </c>
      <c r="F240" t="str">
        <f t="shared" si="89"/>
        <v>FARMÁCIA INDIANA LJ 1 (10126)</v>
      </c>
      <c r="G240" t="str">
        <f t="shared" si="90"/>
        <v>Serv.Prest. 20/10/2025 a 24/10/2025 - RPS: 1430 - NFSe: 3666</v>
      </c>
      <c r="H240" t="str">
        <f t="shared" si="91"/>
        <v>05/11/2025</v>
      </c>
      <c r="I240" t="str">
        <f t="shared" si="92"/>
        <v>24/10/2025</v>
      </c>
      <c r="J240" t="str">
        <f t="shared" si="96"/>
        <v>06/11/2025</v>
      </c>
      <c r="M240">
        <v>303</v>
      </c>
      <c r="N240" t="str">
        <f t="shared" si="97"/>
        <v>RECEITAS COM ENTREGAS</v>
      </c>
      <c r="P240">
        <v>66.099999999999994</v>
      </c>
      <c r="Q240" t="str">
        <f>"FARMÁCIA INDIANA LJ 111 (10049)"</f>
        <v>FARMÁCIA INDIANA LJ 111 (10049)</v>
      </c>
      <c r="R240" t="str">
        <f t="shared" si="98"/>
        <v>RECEITAS COM ENTREGAS (303)</v>
      </c>
      <c r="S240">
        <v>3011</v>
      </c>
      <c r="T240">
        <v>2352</v>
      </c>
      <c r="U240" t="s">
        <v>21</v>
      </c>
    </row>
    <row r="241" spans="1:21">
      <c r="A241" t="str">
        <f t="shared" si="93"/>
        <v>06/11/2025</v>
      </c>
      <c r="B241" t="str">
        <f t="shared" si="94"/>
        <v>ENTRADA</v>
      </c>
      <c r="C241" t="str">
        <f t="shared" si="95"/>
        <v>NFSE</v>
      </c>
      <c r="D241" t="str">
        <f t="shared" si="88"/>
        <v>3666</v>
      </c>
      <c r="E241" t="str">
        <f t="shared" si="78"/>
        <v>COM</v>
      </c>
      <c r="F241" t="str">
        <f t="shared" si="89"/>
        <v>FARMÁCIA INDIANA LJ 1 (10126)</v>
      </c>
      <c r="G241" t="str">
        <f t="shared" si="90"/>
        <v>Serv.Prest. 20/10/2025 a 24/10/2025 - RPS: 1430 - NFSe: 3666</v>
      </c>
      <c r="H241" t="str">
        <f t="shared" si="91"/>
        <v>05/11/2025</v>
      </c>
      <c r="I241" t="str">
        <f t="shared" si="92"/>
        <v>24/10/2025</v>
      </c>
      <c r="J241" t="str">
        <f t="shared" si="96"/>
        <v>06/11/2025</v>
      </c>
      <c r="M241">
        <v>303</v>
      </c>
      <c r="N241" t="str">
        <f t="shared" si="97"/>
        <v>RECEITAS COM ENTREGAS</v>
      </c>
      <c r="P241">
        <v>150.51</v>
      </c>
      <c r="Q241" t="str">
        <f>"FARMÁCIA INDIANA LJ 112 (10050)"</f>
        <v>FARMÁCIA INDIANA LJ 112 (10050)</v>
      </c>
      <c r="R241" t="str">
        <f t="shared" si="98"/>
        <v>RECEITAS COM ENTREGAS (303)</v>
      </c>
      <c r="S241">
        <v>3011</v>
      </c>
      <c r="T241">
        <v>2352</v>
      </c>
      <c r="U241" t="s">
        <v>21</v>
      </c>
    </row>
    <row r="242" spans="1:21">
      <c r="A242" t="str">
        <f t="shared" si="93"/>
        <v>06/11/2025</v>
      </c>
      <c r="B242" t="str">
        <f t="shared" si="94"/>
        <v>ENTRADA</v>
      </c>
      <c r="C242" t="str">
        <f t="shared" si="95"/>
        <v>NFSE</v>
      </c>
      <c r="D242" t="str">
        <f t="shared" si="88"/>
        <v>3666</v>
      </c>
      <c r="E242" t="str">
        <f t="shared" si="78"/>
        <v>COM</v>
      </c>
      <c r="F242" t="str">
        <f t="shared" si="89"/>
        <v>FARMÁCIA INDIANA LJ 1 (10126)</v>
      </c>
      <c r="G242" t="str">
        <f t="shared" si="90"/>
        <v>Serv.Prest. 20/10/2025 a 24/10/2025 - RPS: 1430 - NFSe: 3666</v>
      </c>
      <c r="H242" t="str">
        <f t="shared" si="91"/>
        <v>05/11/2025</v>
      </c>
      <c r="I242" t="str">
        <f t="shared" si="92"/>
        <v>24/10/2025</v>
      </c>
      <c r="J242" t="str">
        <f t="shared" si="96"/>
        <v>06/11/2025</v>
      </c>
      <c r="M242">
        <v>303</v>
      </c>
      <c r="N242" t="str">
        <f t="shared" si="97"/>
        <v>RECEITAS COM ENTREGAS</v>
      </c>
      <c r="P242">
        <v>150.51</v>
      </c>
      <c r="Q242" t="str">
        <f>"FARMÁCIA INDIANA LJ 116 (10051)"</f>
        <v>FARMÁCIA INDIANA LJ 116 (10051)</v>
      </c>
      <c r="R242" t="str">
        <f t="shared" si="98"/>
        <v>RECEITAS COM ENTREGAS (303)</v>
      </c>
      <c r="S242">
        <v>3011</v>
      </c>
      <c r="T242">
        <v>2352</v>
      </c>
      <c r="U242" t="s">
        <v>21</v>
      </c>
    </row>
    <row r="243" spans="1:21">
      <c r="A243" t="str">
        <f t="shared" si="93"/>
        <v>06/11/2025</v>
      </c>
      <c r="B243" t="str">
        <f t="shared" si="94"/>
        <v>ENTRADA</v>
      </c>
      <c r="C243" t="str">
        <f t="shared" si="95"/>
        <v>NFSE</v>
      </c>
      <c r="D243" t="str">
        <f t="shared" si="88"/>
        <v>3666</v>
      </c>
      <c r="E243" t="str">
        <f t="shared" si="78"/>
        <v>COM</v>
      </c>
      <c r="F243" t="str">
        <f t="shared" si="89"/>
        <v>FARMÁCIA INDIANA LJ 1 (10126)</v>
      </c>
      <c r="G243" t="str">
        <f t="shared" si="90"/>
        <v>Serv.Prest. 20/10/2025 a 24/10/2025 - RPS: 1430 - NFSe: 3666</v>
      </c>
      <c r="H243" t="str">
        <f t="shared" si="91"/>
        <v>05/11/2025</v>
      </c>
      <c r="I243" t="str">
        <f t="shared" si="92"/>
        <v>24/10/2025</v>
      </c>
      <c r="J243" t="str">
        <f t="shared" si="96"/>
        <v>06/11/2025</v>
      </c>
      <c r="M243">
        <v>303</v>
      </c>
      <c r="N243" t="str">
        <f t="shared" si="97"/>
        <v>RECEITAS COM ENTREGAS</v>
      </c>
      <c r="P243">
        <v>91.53</v>
      </c>
      <c r="Q243" t="str">
        <f>"FARMÁCIA INDIANA LJ 118 (10052)"</f>
        <v>FARMÁCIA INDIANA LJ 118 (10052)</v>
      </c>
      <c r="R243" t="str">
        <f t="shared" si="98"/>
        <v>RECEITAS COM ENTREGAS (303)</v>
      </c>
      <c r="S243">
        <v>3011</v>
      </c>
      <c r="T243">
        <v>2352</v>
      </c>
      <c r="U243" t="s">
        <v>21</v>
      </c>
    </row>
    <row r="244" spans="1:21">
      <c r="A244" t="str">
        <f t="shared" si="93"/>
        <v>06/11/2025</v>
      </c>
      <c r="B244" t="str">
        <f t="shared" si="94"/>
        <v>ENTRADA</v>
      </c>
      <c r="C244" t="str">
        <f t="shared" si="95"/>
        <v>NFSE</v>
      </c>
      <c r="D244" t="str">
        <f t="shared" si="88"/>
        <v>3666</v>
      </c>
      <c r="E244" t="str">
        <f t="shared" si="78"/>
        <v>COM</v>
      </c>
      <c r="F244" t="str">
        <f t="shared" si="89"/>
        <v>FARMÁCIA INDIANA LJ 1 (10126)</v>
      </c>
      <c r="G244" t="str">
        <f t="shared" si="90"/>
        <v>Serv.Prest. 20/10/2025 a 24/10/2025 - RPS: 1430 - NFSe: 3666</v>
      </c>
      <c r="H244" t="str">
        <f t="shared" si="91"/>
        <v>05/11/2025</v>
      </c>
      <c r="I244" t="str">
        <f t="shared" si="92"/>
        <v>24/10/2025</v>
      </c>
      <c r="J244" t="str">
        <f t="shared" si="96"/>
        <v>06/11/2025</v>
      </c>
      <c r="M244">
        <v>303</v>
      </c>
      <c r="N244" t="str">
        <f t="shared" si="97"/>
        <v>RECEITAS COM ENTREGAS</v>
      </c>
      <c r="P244">
        <v>150.51</v>
      </c>
      <c r="Q244" t="str">
        <f>"FARMÁCIA INDIANA LJ 121 (10054)"</f>
        <v>FARMÁCIA INDIANA LJ 121 (10054)</v>
      </c>
      <c r="R244" t="str">
        <f t="shared" si="98"/>
        <v>RECEITAS COM ENTREGAS (303)</v>
      </c>
      <c r="S244">
        <v>3011</v>
      </c>
      <c r="T244">
        <v>2352</v>
      </c>
      <c r="U244" t="s">
        <v>21</v>
      </c>
    </row>
    <row r="245" spans="1:21">
      <c r="A245" t="str">
        <f t="shared" si="93"/>
        <v>06/11/2025</v>
      </c>
      <c r="B245" t="str">
        <f t="shared" si="94"/>
        <v>ENTRADA</v>
      </c>
      <c r="C245" t="str">
        <f t="shared" si="95"/>
        <v>NFSE</v>
      </c>
      <c r="D245" t="str">
        <f t="shared" si="88"/>
        <v>3666</v>
      </c>
      <c r="E245" t="str">
        <f t="shared" si="78"/>
        <v>COM</v>
      </c>
      <c r="F245" t="str">
        <f t="shared" si="89"/>
        <v>FARMÁCIA INDIANA LJ 1 (10126)</v>
      </c>
      <c r="G245" t="str">
        <f t="shared" si="90"/>
        <v>Serv.Prest. 20/10/2025 a 24/10/2025 - RPS: 1430 - NFSe: 3666</v>
      </c>
      <c r="H245" t="str">
        <f t="shared" si="91"/>
        <v>05/11/2025</v>
      </c>
      <c r="I245" t="str">
        <f t="shared" si="92"/>
        <v>24/10/2025</v>
      </c>
      <c r="J245" t="str">
        <f t="shared" si="96"/>
        <v>06/11/2025</v>
      </c>
      <c r="M245">
        <v>303</v>
      </c>
      <c r="N245" t="str">
        <f t="shared" si="97"/>
        <v>RECEITAS COM ENTREGAS</v>
      </c>
      <c r="P245">
        <v>150.51</v>
      </c>
      <c r="Q245" t="str">
        <f>"FARMÁCIA INDIANA LJ 128 (10057)"</f>
        <v>FARMÁCIA INDIANA LJ 128 (10057)</v>
      </c>
      <c r="R245" t="str">
        <f t="shared" si="98"/>
        <v>RECEITAS COM ENTREGAS (303)</v>
      </c>
      <c r="S245">
        <v>3011</v>
      </c>
      <c r="T245">
        <v>2352</v>
      </c>
      <c r="U245" t="s">
        <v>21</v>
      </c>
    </row>
    <row r="246" spans="1:21">
      <c r="A246" t="str">
        <f t="shared" si="93"/>
        <v>06/11/2025</v>
      </c>
      <c r="B246" t="str">
        <f t="shared" si="94"/>
        <v>ENTRADA</v>
      </c>
      <c r="C246" t="str">
        <f t="shared" si="95"/>
        <v>NFSE</v>
      </c>
      <c r="D246" t="str">
        <f t="shared" si="88"/>
        <v>3666</v>
      </c>
      <c r="E246" t="str">
        <f t="shared" si="78"/>
        <v>COM</v>
      </c>
      <c r="F246" t="str">
        <f t="shared" si="89"/>
        <v>FARMÁCIA INDIANA LJ 1 (10126)</v>
      </c>
      <c r="G246" t="str">
        <f t="shared" si="90"/>
        <v>Serv.Prest. 20/10/2025 a 24/10/2025 - RPS: 1430 - NFSe: 3666</v>
      </c>
      <c r="H246" t="str">
        <f t="shared" si="91"/>
        <v>05/11/2025</v>
      </c>
      <c r="I246" t="str">
        <f t="shared" si="92"/>
        <v>24/10/2025</v>
      </c>
      <c r="J246" t="str">
        <f t="shared" si="96"/>
        <v>06/11/2025</v>
      </c>
      <c r="M246">
        <v>303</v>
      </c>
      <c r="N246" t="str">
        <f t="shared" si="97"/>
        <v>RECEITAS COM ENTREGAS</v>
      </c>
      <c r="P246">
        <v>54.92</v>
      </c>
      <c r="Q246" t="str">
        <f>"FARMÁCIA INDIANA LJ 140 (10064)"</f>
        <v>FARMÁCIA INDIANA LJ 140 (10064)</v>
      </c>
      <c r="R246" t="str">
        <f t="shared" si="98"/>
        <v>RECEITAS COM ENTREGAS (303)</v>
      </c>
      <c r="S246">
        <v>3011</v>
      </c>
      <c r="T246">
        <v>2352</v>
      </c>
      <c r="U246" t="s">
        <v>21</v>
      </c>
    </row>
    <row r="247" spans="1:21">
      <c r="A247" t="str">
        <f t="shared" si="93"/>
        <v>06/11/2025</v>
      </c>
      <c r="B247" t="str">
        <f t="shared" si="94"/>
        <v>ENTRADA</v>
      </c>
      <c r="C247" t="str">
        <f t="shared" si="95"/>
        <v>NFSE</v>
      </c>
      <c r="D247" t="str">
        <f t="shared" si="88"/>
        <v>3666</v>
      </c>
      <c r="E247" t="str">
        <f t="shared" si="78"/>
        <v>COM</v>
      </c>
      <c r="F247" t="str">
        <f t="shared" si="89"/>
        <v>FARMÁCIA INDIANA LJ 1 (10126)</v>
      </c>
      <c r="G247" t="str">
        <f t="shared" si="90"/>
        <v>Serv.Prest. 20/10/2025 a 24/10/2025 - RPS: 1430 - NFSe: 3666</v>
      </c>
      <c r="H247" t="str">
        <f t="shared" si="91"/>
        <v>05/11/2025</v>
      </c>
      <c r="I247" t="str">
        <f t="shared" si="92"/>
        <v>24/10/2025</v>
      </c>
      <c r="J247" t="str">
        <f t="shared" si="96"/>
        <v>06/11/2025</v>
      </c>
      <c r="M247">
        <v>303</v>
      </c>
      <c r="N247" t="str">
        <f t="shared" si="97"/>
        <v>RECEITAS COM ENTREGAS</v>
      </c>
      <c r="P247">
        <v>19.32</v>
      </c>
      <c r="Q247" t="str">
        <f>"FARMÁCIA INDIANA LJ 141 (10065)"</f>
        <v>FARMÁCIA INDIANA LJ 141 (10065)</v>
      </c>
      <c r="R247" t="str">
        <f t="shared" si="98"/>
        <v>RECEITAS COM ENTREGAS (303)</v>
      </c>
      <c r="S247">
        <v>3011</v>
      </c>
      <c r="T247">
        <v>2352</v>
      </c>
      <c r="U247" t="s">
        <v>21</v>
      </c>
    </row>
    <row r="248" spans="1:21">
      <c r="A248" t="str">
        <f t="shared" si="93"/>
        <v>06/11/2025</v>
      </c>
      <c r="B248" t="str">
        <f t="shared" si="94"/>
        <v>ENTRADA</v>
      </c>
      <c r="C248" t="str">
        <f t="shared" si="95"/>
        <v>NFSE</v>
      </c>
      <c r="D248" t="str">
        <f t="shared" si="88"/>
        <v>3666</v>
      </c>
      <c r="E248" t="str">
        <f t="shared" si="78"/>
        <v>COM</v>
      </c>
      <c r="F248" t="str">
        <f t="shared" si="89"/>
        <v>FARMÁCIA INDIANA LJ 1 (10126)</v>
      </c>
      <c r="G248" t="str">
        <f t="shared" si="90"/>
        <v>Serv.Prest. 20/10/2025 a 24/10/2025 - RPS: 1430 - NFSe: 3666</v>
      </c>
      <c r="H248" t="str">
        <f t="shared" si="91"/>
        <v>05/11/2025</v>
      </c>
      <c r="I248" t="str">
        <f t="shared" si="92"/>
        <v>24/10/2025</v>
      </c>
      <c r="J248" t="str">
        <f t="shared" si="96"/>
        <v>06/11/2025</v>
      </c>
      <c r="M248">
        <v>303</v>
      </c>
      <c r="N248" t="str">
        <f t="shared" si="97"/>
        <v>RECEITAS COM ENTREGAS</v>
      </c>
      <c r="P248">
        <v>504.43</v>
      </c>
      <c r="Q248" t="str">
        <f>"FARMÁCIA INDIANA LJ 142 (10066)"</f>
        <v>FARMÁCIA INDIANA LJ 142 (10066)</v>
      </c>
      <c r="R248" t="str">
        <f t="shared" si="98"/>
        <v>RECEITAS COM ENTREGAS (303)</v>
      </c>
      <c r="S248">
        <v>3011</v>
      </c>
      <c r="T248">
        <v>2352</v>
      </c>
      <c r="U248" t="s">
        <v>21</v>
      </c>
    </row>
    <row r="249" spans="1:21">
      <c r="A249" t="str">
        <f t="shared" si="93"/>
        <v>06/11/2025</v>
      </c>
      <c r="B249" t="str">
        <f t="shared" si="94"/>
        <v>ENTRADA</v>
      </c>
      <c r="C249" t="str">
        <f t="shared" si="95"/>
        <v>NFSE</v>
      </c>
      <c r="D249" t="str">
        <f t="shared" si="88"/>
        <v>3666</v>
      </c>
      <c r="E249" t="str">
        <f t="shared" si="78"/>
        <v>COM</v>
      </c>
      <c r="F249" t="str">
        <f t="shared" si="89"/>
        <v>FARMÁCIA INDIANA LJ 1 (10126)</v>
      </c>
      <c r="G249" t="str">
        <f t="shared" si="90"/>
        <v>Serv.Prest. 20/10/2025 a 24/10/2025 - RPS: 1430 - NFSe: 3666</v>
      </c>
      <c r="H249" t="str">
        <f t="shared" si="91"/>
        <v>05/11/2025</v>
      </c>
      <c r="I249" t="str">
        <f t="shared" si="92"/>
        <v>24/10/2025</v>
      </c>
      <c r="J249" t="str">
        <f t="shared" si="96"/>
        <v>06/11/2025</v>
      </c>
      <c r="M249">
        <v>303</v>
      </c>
      <c r="N249" t="str">
        <f t="shared" si="97"/>
        <v>RECEITAS COM ENTREGAS</v>
      </c>
      <c r="P249">
        <v>67.12</v>
      </c>
      <c r="Q249" t="str">
        <f>"FARMÁCIA INDIANA LJ 143 (10067)"</f>
        <v>FARMÁCIA INDIANA LJ 143 (10067)</v>
      </c>
      <c r="R249" t="str">
        <f t="shared" si="98"/>
        <v>RECEITAS COM ENTREGAS (303)</v>
      </c>
      <c r="S249">
        <v>3011</v>
      </c>
      <c r="T249">
        <v>2352</v>
      </c>
      <c r="U249" t="s">
        <v>21</v>
      </c>
    </row>
    <row r="250" spans="1:21">
      <c r="A250" t="str">
        <f t="shared" si="93"/>
        <v>06/11/2025</v>
      </c>
      <c r="B250" t="str">
        <f t="shared" si="94"/>
        <v>ENTRADA</v>
      </c>
      <c r="C250" t="str">
        <f t="shared" si="95"/>
        <v>NFSE</v>
      </c>
      <c r="D250" t="str">
        <f t="shared" si="88"/>
        <v>3666</v>
      </c>
      <c r="E250" t="str">
        <f t="shared" si="78"/>
        <v>COM</v>
      </c>
      <c r="F250" t="str">
        <f t="shared" si="89"/>
        <v>FARMÁCIA INDIANA LJ 1 (10126)</v>
      </c>
      <c r="G250" t="str">
        <f t="shared" si="90"/>
        <v>Serv.Prest. 20/10/2025 a 24/10/2025 - RPS: 1430 - NFSe: 3666</v>
      </c>
      <c r="H250" t="str">
        <f t="shared" si="91"/>
        <v>05/11/2025</v>
      </c>
      <c r="I250" t="str">
        <f t="shared" si="92"/>
        <v>24/10/2025</v>
      </c>
      <c r="J250" t="str">
        <f t="shared" si="96"/>
        <v>06/11/2025</v>
      </c>
      <c r="M250">
        <v>303</v>
      </c>
      <c r="N250" t="str">
        <f t="shared" si="97"/>
        <v>RECEITAS COM ENTREGAS</v>
      </c>
      <c r="P250">
        <v>264.42</v>
      </c>
      <c r="Q250" t="str">
        <f>"FARMÁCIA INDIANA LJ 152 (10069)"</f>
        <v>FARMÁCIA INDIANA LJ 152 (10069)</v>
      </c>
      <c r="R250" t="str">
        <f t="shared" si="98"/>
        <v>RECEITAS COM ENTREGAS (303)</v>
      </c>
      <c r="S250">
        <v>3011</v>
      </c>
      <c r="T250">
        <v>2352</v>
      </c>
      <c r="U250" t="s">
        <v>21</v>
      </c>
    </row>
    <row r="251" spans="1:21">
      <c r="A251" t="str">
        <f t="shared" si="93"/>
        <v>06/11/2025</v>
      </c>
      <c r="B251" t="str">
        <f t="shared" si="94"/>
        <v>ENTRADA</v>
      </c>
      <c r="C251" t="str">
        <f t="shared" si="95"/>
        <v>NFSE</v>
      </c>
      <c r="D251" t="str">
        <f t="shared" si="88"/>
        <v>3666</v>
      </c>
      <c r="E251" t="str">
        <f t="shared" si="78"/>
        <v>COM</v>
      </c>
      <c r="F251" t="str">
        <f t="shared" si="89"/>
        <v>FARMÁCIA INDIANA LJ 1 (10126)</v>
      </c>
      <c r="G251" t="str">
        <f t="shared" si="90"/>
        <v>Serv.Prest. 20/10/2025 a 24/10/2025 - RPS: 1430 - NFSe: 3666</v>
      </c>
      <c r="H251" t="str">
        <f t="shared" si="91"/>
        <v>05/11/2025</v>
      </c>
      <c r="I251" t="str">
        <f t="shared" si="92"/>
        <v>24/10/2025</v>
      </c>
      <c r="J251" t="str">
        <f t="shared" si="96"/>
        <v>06/11/2025</v>
      </c>
      <c r="M251">
        <v>303</v>
      </c>
      <c r="N251" t="str">
        <f t="shared" si="97"/>
        <v>RECEITAS COM ENTREGAS</v>
      </c>
      <c r="P251">
        <v>37.630000000000003</v>
      </c>
      <c r="Q251" t="str">
        <f>"FARMÁCIA INDIANA LJ 154 (10070)"</f>
        <v>FARMÁCIA INDIANA LJ 154 (10070)</v>
      </c>
      <c r="R251" t="str">
        <f t="shared" si="98"/>
        <v>RECEITAS COM ENTREGAS (303)</v>
      </c>
      <c r="S251">
        <v>3011</v>
      </c>
      <c r="T251">
        <v>2352</v>
      </c>
      <c r="U251" t="s">
        <v>21</v>
      </c>
    </row>
    <row r="252" spans="1:21">
      <c r="A252" t="str">
        <f t="shared" si="93"/>
        <v>06/11/2025</v>
      </c>
      <c r="B252" t="str">
        <f t="shared" si="94"/>
        <v>ENTRADA</v>
      </c>
      <c r="C252" t="str">
        <f t="shared" si="95"/>
        <v>NFSE</v>
      </c>
      <c r="D252" t="str">
        <f t="shared" si="88"/>
        <v>3666</v>
      </c>
      <c r="E252" t="str">
        <f t="shared" si="78"/>
        <v>COM</v>
      </c>
      <c r="F252" t="str">
        <f t="shared" si="89"/>
        <v>FARMÁCIA INDIANA LJ 1 (10126)</v>
      </c>
      <c r="G252" t="str">
        <f t="shared" si="90"/>
        <v>Serv.Prest. 20/10/2025 a 24/10/2025 - RPS: 1430 - NFSe: 3666</v>
      </c>
      <c r="H252" t="str">
        <f t="shared" si="91"/>
        <v>05/11/2025</v>
      </c>
      <c r="I252" t="str">
        <f t="shared" si="92"/>
        <v>24/10/2025</v>
      </c>
      <c r="J252" t="str">
        <f t="shared" si="96"/>
        <v>06/11/2025</v>
      </c>
      <c r="M252">
        <v>303</v>
      </c>
      <c r="N252" t="str">
        <f t="shared" si="97"/>
        <v>RECEITAS COM ENTREGAS</v>
      </c>
      <c r="P252">
        <v>321.37</v>
      </c>
      <c r="Q252" t="str">
        <f>"FARMÁCIA INDIANA LJ 171 (10074)"</f>
        <v>FARMÁCIA INDIANA LJ 171 (10074)</v>
      </c>
      <c r="R252" t="str">
        <f t="shared" si="98"/>
        <v>RECEITAS COM ENTREGAS (303)</v>
      </c>
      <c r="S252">
        <v>3011</v>
      </c>
      <c r="T252">
        <v>2352</v>
      </c>
      <c r="U252" t="s">
        <v>21</v>
      </c>
    </row>
    <row r="253" spans="1:21">
      <c r="A253" t="str">
        <f t="shared" si="93"/>
        <v>06/11/2025</v>
      </c>
      <c r="B253" t="str">
        <f t="shared" si="94"/>
        <v>ENTRADA</v>
      </c>
      <c r="C253" t="str">
        <f t="shared" si="95"/>
        <v>NFSE</v>
      </c>
      <c r="D253" t="str">
        <f t="shared" si="88"/>
        <v>3666</v>
      </c>
      <c r="E253" t="str">
        <f t="shared" si="78"/>
        <v>COM</v>
      </c>
      <c r="F253" t="str">
        <f t="shared" si="89"/>
        <v>FARMÁCIA INDIANA LJ 1 (10126)</v>
      </c>
      <c r="G253" t="str">
        <f t="shared" si="90"/>
        <v>Serv.Prest. 20/10/2025 a 24/10/2025 - RPS: 1430 - NFSe: 3666</v>
      </c>
      <c r="H253" t="str">
        <f t="shared" si="91"/>
        <v>05/11/2025</v>
      </c>
      <c r="I253" t="str">
        <f t="shared" si="92"/>
        <v>24/10/2025</v>
      </c>
      <c r="J253" t="str">
        <f t="shared" si="96"/>
        <v>06/11/2025</v>
      </c>
      <c r="M253">
        <v>303</v>
      </c>
      <c r="N253" t="str">
        <f t="shared" si="97"/>
        <v>RECEITAS COM ENTREGAS</v>
      </c>
      <c r="P253">
        <v>123.06</v>
      </c>
      <c r="Q253" t="str">
        <f>"FARMÁCIA INDIANA LJ 175 (10076)"</f>
        <v>FARMÁCIA INDIANA LJ 175 (10076)</v>
      </c>
      <c r="R253" t="str">
        <f t="shared" si="98"/>
        <v>RECEITAS COM ENTREGAS (303)</v>
      </c>
      <c r="S253">
        <v>3011</v>
      </c>
      <c r="T253">
        <v>2352</v>
      </c>
      <c r="U253" t="s">
        <v>21</v>
      </c>
    </row>
    <row r="254" spans="1:21">
      <c r="A254" t="str">
        <f t="shared" si="93"/>
        <v>06/11/2025</v>
      </c>
      <c r="B254" t="str">
        <f t="shared" si="94"/>
        <v>ENTRADA</v>
      </c>
      <c r="C254" t="str">
        <f t="shared" si="95"/>
        <v>NFSE</v>
      </c>
      <c r="D254" t="str">
        <f t="shared" si="88"/>
        <v>3666</v>
      </c>
      <c r="E254" t="str">
        <f t="shared" ref="E254:E317" si="99">"COM"</f>
        <v>COM</v>
      </c>
      <c r="F254" t="str">
        <f t="shared" si="89"/>
        <v>FARMÁCIA INDIANA LJ 1 (10126)</v>
      </c>
      <c r="G254" t="str">
        <f t="shared" si="90"/>
        <v>Serv.Prest. 20/10/2025 a 24/10/2025 - RPS: 1430 - NFSe: 3666</v>
      </c>
      <c r="H254" t="str">
        <f t="shared" ref="H254:H269" si="100">("05/11/2025")</f>
        <v>05/11/2025</v>
      </c>
      <c r="I254" t="str">
        <f t="shared" si="92"/>
        <v>24/10/2025</v>
      </c>
      <c r="J254" t="str">
        <f t="shared" si="96"/>
        <v>06/11/2025</v>
      </c>
      <c r="M254">
        <v>303</v>
      </c>
      <c r="N254" t="str">
        <f t="shared" si="97"/>
        <v>RECEITAS COM ENTREGAS</v>
      </c>
      <c r="P254">
        <v>131.19</v>
      </c>
      <c r="Q254" t="str">
        <f>"FARMÁCIA INDIANA LJ 178 (10077)"</f>
        <v>FARMÁCIA INDIANA LJ 178 (10077)</v>
      </c>
      <c r="R254" t="str">
        <f t="shared" si="98"/>
        <v>RECEITAS COM ENTREGAS (303)</v>
      </c>
      <c r="S254">
        <v>3011</v>
      </c>
      <c r="T254">
        <v>2352</v>
      </c>
      <c r="U254" t="s">
        <v>21</v>
      </c>
    </row>
    <row r="255" spans="1:21">
      <c r="A255" t="str">
        <f t="shared" si="93"/>
        <v>06/11/2025</v>
      </c>
      <c r="B255" t="str">
        <f t="shared" si="94"/>
        <v>ENTRADA</v>
      </c>
      <c r="C255" t="str">
        <f t="shared" si="95"/>
        <v>NFSE</v>
      </c>
      <c r="D255" t="str">
        <f t="shared" si="88"/>
        <v>3666</v>
      </c>
      <c r="E255" t="str">
        <f t="shared" si="99"/>
        <v>COM</v>
      </c>
      <c r="F255" t="str">
        <f t="shared" si="89"/>
        <v>FARMÁCIA INDIANA LJ 1 (10126)</v>
      </c>
      <c r="G255" t="str">
        <f t="shared" si="90"/>
        <v>Serv.Prest. 20/10/2025 a 24/10/2025 - RPS: 1430 - NFSe: 3666</v>
      </c>
      <c r="H255" t="str">
        <f t="shared" si="100"/>
        <v>05/11/2025</v>
      </c>
      <c r="I255" t="str">
        <f t="shared" si="92"/>
        <v>24/10/2025</v>
      </c>
      <c r="J255" t="str">
        <f t="shared" si="96"/>
        <v>06/11/2025</v>
      </c>
      <c r="M255">
        <v>303</v>
      </c>
      <c r="N255" t="str">
        <f t="shared" si="97"/>
        <v>RECEITAS COM ENTREGAS</v>
      </c>
      <c r="P255">
        <v>80.34</v>
      </c>
      <c r="Q255" t="str">
        <f>"FARMÁCIA INDIANA LJ 182 (10079)"</f>
        <v>FARMÁCIA INDIANA LJ 182 (10079)</v>
      </c>
      <c r="R255" t="str">
        <f t="shared" si="98"/>
        <v>RECEITAS COM ENTREGAS (303)</v>
      </c>
      <c r="S255">
        <v>3011</v>
      </c>
      <c r="T255">
        <v>2352</v>
      </c>
      <c r="U255" t="s">
        <v>21</v>
      </c>
    </row>
    <row r="256" spans="1:21">
      <c r="A256" t="str">
        <f t="shared" si="93"/>
        <v>06/11/2025</v>
      </c>
      <c r="B256" t="str">
        <f t="shared" si="94"/>
        <v>ENTRADA</v>
      </c>
      <c r="C256" t="str">
        <f t="shared" si="95"/>
        <v>NFSE</v>
      </c>
      <c r="D256" t="str">
        <f t="shared" si="88"/>
        <v>3666</v>
      </c>
      <c r="E256" t="str">
        <f t="shared" si="99"/>
        <v>COM</v>
      </c>
      <c r="F256" t="str">
        <f t="shared" si="89"/>
        <v>FARMÁCIA INDIANA LJ 1 (10126)</v>
      </c>
      <c r="G256" t="str">
        <f t="shared" si="90"/>
        <v>Serv.Prest. 20/10/2025 a 24/10/2025 - RPS: 1430 - NFSe: 3666</v>
      </c>
      <c r="H256" t="str">
        <f t="shared" si="100"/>
        <v>05/11/2025</v>
      </c>
      <c r="I256" t="str">
        <f t="shared" si="92"/>
        <v>24/10/2025</v>
      </c>
      <c r="J256" t="str">
        <f t="shared" si="96"/>
        <v>06/11/2025</v>
      </c>
      <c r="M256">
        <v>303</v>
      </c>
      <c r="N256" t="str">
        <f t="shared" si="97"/>
        <v>RECEITAS COM ENTREGAS</v>
      </c>
      <c r="P256">
        <v>39.659999999999997</v>
      </c>
      <c r="Q256" t="str">
        <f>"FARMÁCIA INDIANA LJ 184 (10080)"</f>
        <v>FARMÁCIA INDIANA LJ 184 (10080)</v>
      </c>
      <c r="R256" t="str">
        <f t="shared" si="98"/>
        <v>RECEITAS COM ENTREGAS (303)</v>
      </c>
      <c r="S256">
        <v>3011</v>
      </c>
      <c r="T256">
        <v>2352</v>
      </c>
      <c r="U256" t="s">
        <v>21</v>
      </c>
    </row>
    <row r="257" spans="1:21">
      <c r="A257" t="str">
        <f t="shared" si="93"/>
        <v>06/11/2025</v>
      </c>
      <c r="B257" t="str">
        <f t="shared" si="94"/>
        <v>ENTRADA</v>
      </c>
      <c r="C257" t="str">
        <f t="shared" si="95"/>
        <v>NFSE</v>
      </c>
      <c r="D257" t="str">
        <f t="shared" si="88"/>
        <v>3666</v>
      </c>
      <c r="E257" t="str">
        <f t="shared" si="99"/>
        <v>COM</v>
      </c>
      <c r="F257" t="str">
        <f t="shared" si="89"/>
        <v>FARMÁCIA INDIANA LJ 1 (10126)</v>
      </c>
      <c r="G257" t="str">
        <f t="shared" si="90"/>
        <v>Serv.Prest. 20/10/2025 a 24/10/2025 - RPS: 1430 - NFSe: 3666</v>
      </c>
      <c r="H257" t="str">
        <f t="shared" si="100"/>
        <v>05/11/2025</v>
      </c>
      <c r="I257" t="str">
        <f t="shared" si="92"/>
        <v>24/10/2025</v>
      </c>
      <c r="J257" t="str">
        <f t="shared" si="96"/>
        <v>06/11/2025</v>
      </c>
      <c r="M257">
        <v>303</v>
      </c>
      <c r="N257" t="str">
        <f t="shared" si="97"/>
        <v>RECEITAS COM ENTREGAS</v>
      </c>
      <c r="P257">
        <v>80.34</v>
      </c>
      <c r="Q257" t="str">
        <f>"FARMÁCIA INDIANA LJ 186 (10081)"</f>
        <v>FARMÁCIA INDIANA LJ 186 (10081)</v>
      </c>
      <c r="R257" t="str">
        <f t="shared" si="98"/>
        <v>RECEITAS COM ENTREGAS (303)</v>
      </c>
      <c r="S257">
        <v>3011</v>
      </c>
      <c r="T257">
        <v>2352</v>
      </c>
      <c r="U257" t="s">
        <v>21</v>
      </c>
    </row>
    <row r="258" spans="1:21">
      <c r="A258" t="str">
        <f t="shared" si="93"/>
        <v>06/11/2025</v>
      </c>
      <c r="B258" t="str">
        <f t="shared" si="94"/>
        <v>ENTRADA</v>
      </c>
      <c r="C258" t="str">
        <f t="shared" si="95"/>
        <v>NFSE</v>
      </c>
      <c r="D258" t="str">
        <f t="shared" si="88"/>
        <v>3666</v>
      </c>
      <c r="E258" t="str">
        <f t="shared" si="99"/>
        <v>COM</v>
      </c>
      <c r="F258" t="str">
        <f t="shared" si="89"/>
        <v>FARMÁCIA INDIANA LJ 1 (10126)</v>
      </c>
      <c r="G258" t="str">
        <f t="shared" si="90"/>
        <v>Serv.Prest. 20/10/2025 a 24/10/2025 - RPS: 1430 - NFSe: 3666</v>
      </c>
      <c r="H258" t="str">
        <f t="shared" si="100"/>
        <v>05/11/2025</v>
      </c>
      <c r="I258" t="str">
        <f t="shared" si="92"/>
        <v>24/10/2025</v>
      </c>
      <c r="J258" t="str">
        <f t="shared" si="96"/>
        <v>06/11/2025</v>
      </c>
      <c r="M258">
        <v>303</v>
      </c>
      <c r="N258" t="str">
        <f t="shared" si="97"/>
        <v>RECEITAS COM ENTREGAS</v>
      </c>
      <c r="P258">
        <v>95.6</v>
      </c>
      <c r="Q258" t="str">
        <f>"FARMÁCIA INDIANA LJ 192 (10082)"</f>
        <v>FARMÁCIA INDIANA LJ 192 (10082)</v>
      </c>
      <c r="R258" t="str">
        <f t="shared" si="98"/>
        <v>RECEITAS COM ENTREGAS (303)</v>
      </c>
      <c r="S258">
        <v>3011</v>
      </c>
      <c r="T258">
        <v>2352</v>
      </c>
      <c r="U258" t="s">
        <v>21</v>
      </c>
    </row>
    <row r="259" spans="1:21">
      <c r="A259" t="str">
        <f t="shared" si="93"/>
        <v>06/11/2025</v>
      </c>
      <c r="B259" t="str">
        <f t="shared" si="94"/>
        <v>ENTRADA</v>
      </c>
      <c r="C259" t="str">
        <f t="shared" si="95"/>
        <v>NFSE</v>
      </c>
      <c r="D259" t="str">
        <f t="shared" si="88"/>
        <v>3666</v>
      </c>
      <c r="E259" t="str">
        <f t="shared" si="99"/>
        <v>COM</v>
      </c>
      <c r="F259" t="str">
        <f t="shared" si="89"/>
        <v>FARMÁCIA INDIANA LJ 1 (10126)</v>
      </c>
      <c r="G259" t="str">
        <f t="shared" si="90"/>
        <v>Serv.Prest. 20/10/2025 a 24/10/2025 - RPS: 1430 - NFSe: 3666</v>
      </c>
      <c r="H259" t="str">
        <f t="shared" si="100"/>
        <v>05/11/2025</v>
      </c>
      <c r="I259" t="str">
        <f t="shared" si="92"/>
        <v>24/10/2025</v>
      </c>
      <c r="J259" t="str">
        <f t="shared" si="96"/>
        <v>06/11/2025</v>
      </c>
      <c r="M259">
        <v>303</v>
      </c>
      <c r="N259" t="str">
        <f t="shared" si="97"/>
        <v>RECEITAS COM ENTREGAS</v>
      </c>
      <c r="P259">
        <v>39.659999999999997</v>
      </c>
      <c r="Q259" t="str">
        <f>"FARMÁCIA INDIANA LJ 195 (10083)"</f>
        <v>FARMÁCIA INDIANA LJ 195 (10083)</v>
      </c>
      <c r="R259" t="str">
        <f t="shared" si="98"/>
        <v>RECEITAS COM ENTREGAS (303)</v>
      </c>
      <c r="S259">
        <v>3011</v>
      </c>
      <c r="T259">
        <v>2352</v>
      </c>
      <c r="U259" t="s">
        <v>21</v>
      </c>
    </row>
    <row r="260" spans="1:21">
      <c r="A260" t="str">
        <f t="shared" ref="A260:A291" si="101">("06/11/2025")</f>
        <v>06/11/2025</v>
      </c>
      <c r="B260" t="str">
        <f t="shared" ref="B260:B269" si="102">"ENTRADA"</f>
        <v>ENTRADA</v>
      </c>
      <c r="C260" t="str">
        <f t="shared" ref="C260:C269" si="103">"NFSE"</f>
        <v>NFSE</v>
      </c>
      <c r="D260" t="str">
        <f t="shared" si="88"/>
        <v>3666</v>
      </c>
      <c r="E260" t="str">
        <f t="shared" si="99"/>
        <v>COM</v>
      </c>
      <c r="F260" t="str">
        <f t="shared" si="89"/>
        <v>FARMÁCIA INDIANA LJ 1 (10126)</v>
      </c>
      <c r="G260" t="str">
        <f t="shared" si="90"/>
        <v>Serv.Prest. 20/10/2025 a 24/10/2025 - RPS: 1430 - NFSe: 3666</v>
      </c>
      <c r="H260" t="str">
        <f t="shared" si="100"/>
        <v>05/11/2025</v>
      </c>
      <c r="I260" t="str">
        <f t="shared" si="92"/>
        <v>24/10/2025</v>
      </c>
      <c r="J260" t="str">
        <f t="shared" ref="J260:J291" si="104">("06/11/2025")</f>
        <v>06/11/2025</v>
      </c>
      <c r="M260">
        <v>303</v>
      </c>
      <c r="N260" t="str">
        <f t="shared" ref="N260:N269" si="105">"RECEITAS COM ENTREGAS"</f>
        <v>RECEITAS COM ENTREGAS</v>
      </c>
      <c r="P260">
        <v>149.5</v>
      </c>
      <c r="Q260" t="str">
        <f>"FARMÁCIA INDIANA LJ 202 (10085)"</f>
        <v>FARMÁCIA INDIANA LJ 202 (10085)</v>
      </c>
      <c r="R260" t="str">
        <f t="shared" ref="R260:R269" si="106">"RECEITAS COM ENTREGAS (303)"</f>
        <v>RECEITAS COM ENTREGAS (303)</v>
      </c>
      <c r="S260">
        <v>3011</v>
      </c>
      <c r="T260">
        <v>2352</v>
      </c>
      <c r="U260" t="s">
        <v>21</v>
      </c>
    </row>
    <row r="261" spans="1:21">
      <c r="A261" t="str">
        <f t="shared" si="101"/>
        <v>06/11/2025</v>
      </c>
      <c r="B261" t="str">
        <f t="shared" si="102"/>
        <v>ENTRADA</v>
      </c>
      <c r="C261" t="str">
        <f t="shared" si="103"/>
        <v>NFSE</v>
      </c>
      <c r="D261" t="str">
        <f t="shared" si="88"/>
        <v>3666</v>
      </c>
      <c r="E261" t="str">
        <f t="shared" si="99"/>
        <v>COM</v>
      </c>
      <c r="F261" t="str">
        <f t="shared" si="89"/>
        <v>FARMÁCIA INDIANA LJ 1 (10126)</v>
      </c>
      <c r="G261" t="str">
        <f t="shared" si="90"/>
        <v>Serv.Prest. 20/10/2025 a 24/10/2025 - RPS: 1430 - NFSe: 3666</v>
      </c>
      <c r="H261" t="str">
        <f t="shared" si="100"/>
        <v>05/11/2025</v>
      </c>
      <c r="I261" t="str">
        <f t="shared" si="92"/>
        <v>24/10/2025</v>
      </c>
      <c r="J261" t="str">
        <f t="shared" si="104"/>
        <v>06/11/2025</v>
      </c>
      <c r="M261">
        <v>303</v>
      </c>
      <c r="N261" t="str">
        <f t="shared" si="105"/>
        <v>RECEITAS COM ENTREGAS</v>
      </c>
      <c r="P261">
        <v>80.34</v>
      </c>
      <c r="Q261" t="str">
        <f>"FARMÁCIA INDIANA LJ 204 (10087)"</f>
        <v>FARMÁCIA INDIANA LJ 204 (10087)</v>
      </c>
      <c r="R261" t="str">
        <f t="shared" si="106"/>
        <v>RECEITAS COM ENTREGAS (303)</v>
      </c>
      <c r="S261">
        <v>3011</v>
      </c>
      <c r="T261">
        <v>2352</v>
      </c>
      <c r="U261" t="s">
        <v>21</v>
      </c>
    </row>
    <row r="262" spans="1:21">
      <c r="A262" t="str">
        <f t="shared" si="101"/>
        <v>06/11/2025</v>
      </c>
      <c r="B262" t="str">
        <f t="shared" si="102"/>
        <v>ENTRADA</v>
      </c>
      <c r="C262" t="str">
        <f t="shared" si="103"/>
        <v>NFSE</v>
      </c>
      <c r="D262" t="str">
        <f t="shared" si="88"/>
        <v>3666</v>
      </c>
      <c r="E262" t="str">
        <f t="shared" si="99"/>
        <v>COM</v>
      </c>
      <c r="F262" t="str">
        <f t="shared" si="89"/>
        <v>FARMÁCIA INDIANA LJ 1 (10126)</v>
      </c>
      <c r="G262" t="str">
        <f t="shared" si="90"/>
        <v>Serv.Prest. 20/10/2025 a 24/10/2025 - RPS: 1430 - NFSe: 3666</v>
      </c>
      <c r="H262" t="str">
        <f t="shared" si="100"/>
        <v>05/11/2025</v>
      </c>
      <c r="I262" t="str">
        <f t="shared" si="92"/>
        <v>24/10/2025</v>
      </c>
      <c r="J262" t="str">
        <f t="shared" si="104"/>
        <v>06/11/2025</v>
      </c>
      <c r="M262">
        <v>303</v>
      </c>
      <c r="N262" t="str">
        <f t="shared" si="105"/>
        <v>RECEITAS COM ENTREGAS</v>
      </c>
      <c r="P262">
        <v>146.44999999999999</v>
      </c>
      <c r="Q262" t="str">
        <f>"FARMÁCIA INDIANA LJ 207 (10088)"</f>
        <v>FARMÁCIA INDIANA LJ 207 (10088)</v>
      </c>
      <c r="R262" t="str">
        <f t="shared" si="106"/>
        <v>RECEITAS COM ENTREGAS (303)</v>
      </c>
      <c r="S262">
        <v>3011</v>
      </c>
      <c r="T262">
        <v>2352</v>
      </c>
      <c r="U262" t="s">
        <v>21</v>
      </c>
    </row>
    <row r="263" spans="1:21">
      <c r="A263" t="str">
        <f t="shared" si="101"/>
        <v>06/11/2025</v>
      </c>
      <c r="B263" t="str">
        <f t="shared" si="102"/>
        <v>ENTRADA</v>
      </c>
      <c r="C263" t="str">
        <f t="shared" si="103"/>
        <v>NFSE</v>
      </c>
      <c r="D263" t="str">
        <f t="shared" si="88"/>
        <v>3666</v>
      </c>
      <c r="E263" t="str">
        <f t="shared" si="99"/>
        <v>COM</v>
      </c>
      <c r="F263" t="str">
        <f t="shared" si="89"/>
        <v>FARMÁCIA INDIANA LJ 1 (10126)</v>
      </c>
      <c r="G263" t="str">
        <f t="shared" si="90"/>
        <v>Serv.Prest. 20/10/2025 a 24/10/2025 - RPS: 1430 - NFSe: 3666</v>
      </c>
      <c r="H263" t="str">
        <f t="shared" si="100"/>
        <v>05/11/2025</v>
      </c>
      <c r="I263" t="str">
        <f t="shared" si="92"/>
        <v>24/10/2025</v>
      </c>
      <c r="J263" t="str">
        <f t="shared" si="104"/>
        <v>06/11/2025</v>
      </c>
      <c r="M263">
        <v>303</v>
      </c>
      <c r="N263" t="str">
        <f t="shared" si="105"/>
        <v>RECEITAS COM ENTREGAS</v>
      </c>
      <c r="P263">
        <v>125.09</v>
      </c>
      <c r="Q263" t="str">
        <f>"FARMÁCIA INDIANA LJ 209 (10089)"</f>
        <v>FARMÁCIA INDIANA LJ 209 (10089)</v>
      </c>
      <c r="R263" t="str">
        <f t="shared" si="106"/>
        <v>RECEITAS COM ENTREGAS (303)</v>
      </c>
      <c r="S263">
        <v>3011</v>
      </c>
      <c r="T263">
        <v>2352</v>
      </c>
      <c r="U263" t="s">
        <v>21</v>
      </c>
    </row>
    <row r="264" spans="1:21">
      <c r="A264" t="str">
        <f t="shared" si="101"/>
        <v>06/11/2025</v>
      </c>
      <c r="B264" t="str">
        <f t="shared" si="102"/>
        <v>ENTRADA</v>
      </c>
      <c r="C264" t="str">
        <f t="shared" si="103"/>
        <v>NFSE</v>
      </c>
      <c r="D264" t="str">
        <f t="shared" si="88"/>
        <v>3666</v>
      </c>
      <c r="E264" t="str">
        <f t="shared" si="99"/>
        <v>COM</v>
      </c>
      <c r="F264" t="str">
        <f t="shared" si="89"/>
        <v>FARMÁCIA INDIANA LJ 1 (10126)</v>
      </c>
      <c r="G264" t="str">
        <f t="shared" si="90"/>
        <v>Serv.Prest. 20/10/2025 a 24/10/2025 - RPS: 1430 - NFSe: 3666</v>
      </c>
      <c r="H264" t="str">
        <f t="shared" si="100"/>
        <v>05/11/2025</v>
      </c>
      <c r="I264" t="str">
        <f t="shared" si="92"/>
        <v>24/10/2025</v>
      </c>
      <c r="J264" t="str">
        <f t="shared" si="104"/>
        <v>06/11/2025</v>
      </c>
      <c r="M264">
        <v>303</v>
      </c>
      <c r="N264" t="str">
        <f t="shared" si="105"/>
        <v>RECEITAS COM ENTREGAS</v>
      </c>
      <c r="P264">
        <v>149.5</v>
      </c>
      <c r="Q264" t="str">
        <f>"FARMÁCIA INDIANA LJ 219 (10091)"</f>
        <v>FARMÁCIA INDIANA LJ 219 (10091)</v>
      </c>
      <c r="R264" t="str">
        <f t="shared" si="106"/>
        <v>RECEITAS COM ENTREGAS (303)</v>
      </c>
      <c r="S264">
        <v>3011</v>
      </c>
      <c r="T264">
        <v>2352</v>
      </c>
      <c r="U264" t="s">
        <v>21</v>
      </c>
    </row>
    <row r="265" spans="1:21">
      <c r="A265" t="str">
        <f t="shared" si="101"/>
        <v>06/11/2025</v>
      </c>
      <c r="B265" t="str">
        <f t="shared" si="102"/>
        <v>ENTRADA</v>
      </c>
      <c r="C265" t="str">
        <f t="shared" si="103"/>
        <v>NFSE</v>
      </c>
      <c r="D265" t="str">
        <f t="shared" si="88"/>
        <v>3666</v>
      </c>
      <c r="E265" t="str">
        <f t="shared" si="99"/>
        <v>COM</v>
      </c>
      <c r="F265" t="str">
        <f t="shared" si="89"/>
        <v>FARMÁCIA INDIANA LJ 1 (10126)</v>
      </c>
      <c r="G265" t="str">
        <f t="shared" si="90"/>
        <v>Serv.Prest. 20/10/2025 a 24/10/2025 - RPS: 1430 - NFSe: 3666</v>
      </c>
      <c r="H265" t="str">
        <f t="shared" si="100"/>
        <v>05/11/2025</v>
      </c>
      <c r="I265" t="str">
        <f t="shared" si="92"/>
        <v>24/10/2025</v>
      </c>
      <c r="J265" t="str">
        <f t="shared" si="104"/>
        <v>06/11/2025</v>
      </c>
      <c r="M265">
        <v>303</v>
      </c>
      <c r="N265" t="str">
        <f t="shared" si="105"/>
        <v>RECEITAS COM ENTREGAS</v>
      </c>
      <c r="P265">
        <v>152.55000000000001</v>
      </c>
      <c r="Q265" t="str">
        <f>"FARMÁCIA INDIANA LJ 220 (10092)"</f>
        <v>FARMÁCIA INDIANA LJ 220 (10092)</v>
      </c>
      <c r="R265" t="str">
        <f t="shared" si="106"/>
        <v>RECEITAS COM ENTREGAS (303)</v>
      </c>
      <c r="S265">
        <v>3011</v>
      </c>
      <c r="T265">
        <v>2352</v>
      </c>
      <c r="U265" t="s">
        <v>21</v>
      </c>
    </row>
    <row r="266" spans="1:21">
      <c r="A266" t="str">
        <f t="shared" si="101"/>
        <v>06/11/2025</v>
      </c>
      <c r="B266" t="str">
        <f t="shared" si="102"/>
        <v>ENTRADA</v>
      </c>
      <c r="C266" t="str">
        <f t="shared" si="103"/>
        <v>NFSE</v>
      </c>
      <c r="D266" t="str">
        <f t="shared" si="88"/>
        <v>3666</v>
      </c>
      <c r="E266" t="str">
        <f t="shared" si="99"/>
        <v>COM</v>
      </c>
      <c r="F266" t="str">
        <f t="shared" si="89"/>
        <v>FARMÁCIA INDIANA LJ 1 (10126)</v>
      </c>
      <c r="G266" t="str">
        <f t="shared" si="90"/>
        <v>Serv.Prest. 20/10/2025 a 24/10/2025 - RPS: 1430 - NFSe: 3666</v>
      </c>
      <c r="H266" t="str">
        <f t="shared" si="100"/>
        <v>05/11/2025</v>
      </c>
      <c r="I266" t="str">
        <f t="shared" si="92"/>
        <v>24/10/2025</v>
      </c>
      <c r="J266" t="str">
        <f t="shared" si="104"/>
        <v>06/11/2025</v>
      </c>
      <c r="M266">
        <v>303</v>
      </c>
      <c r="N266" t="str">
        <f t="shared" si="105"/>
        <v>RECEITAS COM ENTREGAS</v>
      </c>
      <c r="P266">
        <v>171.87</v>
      </c>
      <c r="Q266" t="str">
        <f>"FARMÁCIA INDIANA LJ 185 (10141)"</f>
        <v>FARMÁCIA INDIANA LJ 185 (10141)</v>
      </c>
      <c r="R266" t="str">
        <f t="shared" si="106"/>
        <v>RECEITAS COM ENTREGAS (303)</v>
      </c>
      <c r="S266">
        <v>3011</v>
      </c>
      <c r="T266">
        <v>2352</v>
      </c>
      <c r="U266" t="s">
        <v>21</v>
      </c>
    </row>
    <row r="267" spans="1:21">
      <c r="A267" t="str">
        <f t="shared" si="101"/>
        <v>06/11/2025</v>
      </c>
      <c r="B267" t="str">
        <f t="shared" si="102"/>
        <v>ENTRADA</v>
      </c>
      <c r="C267" t="str">
        <f t="shared" si="103"/>
        <v>NFSE</v>
      </c>
      <c r="D267" t="str">
        <f t="shared" si="88"/>
        <v>3666</v>
      </c>
      <c r="E267" t="str">
        <f t="shared" si="99"/>
        <v>COM</v>
      </c>
      <c r="F267" t="str">
        <f t="shared" si="89"/>
        <v>FARMÁCIA INDIANA LJ 1 (10126)</v>
      </c>
      <c r="G267" t="str">
        <f t="shared" si="90"/>
        <v>Serv.Prest. 20/10/2025 a 24/10/2025 - RPS: 1430 - NFSe: 3666</v>
      </c>
      <c r="H267" t="str">
        <f t="shared" si="100"/>
        <v>05/11/2025</v>
      </c>
      <c r="I267" t="str">
        <f t="shared" si="92"/>
        <v>24/10/2025</v>
      </c>
      <c r="J267" t="str">
        <f t="shared" si="104"/>
        <v>06/11/2025</v>
      </c>
      <c r="M267">
        <v>303</v>
      </c>
      <c r="N267" t="str">
        <f t="shared" si="105"/>
        <v>RECEITAS COM ENTREGAS</v>
      </c>
      <c r="P267">
        <v>106.78</v>
      </c>
      <c r="Q267" t="str">
        <f>"FARMÁCIA INDIANA LJ 205 (10150)"</f>
        <v>FARMÁCIA INDIANA LJ 205 (10150)</v>
      </c>
      <c r="R267" t="str">
        <f t="shared" si="106"/>
        <v>RECEITAS COM ENTREGAS (303)</v>
      </c>
      <c r="S267">
        <v>3011</v>
      </c>
      <c r="T267">
        <v>2352</v>
      </c>
      <c r="U267" t="s">
        <v>21</v>
      </c>
    </row>
    <row r="268" spans="1:21">
      <c r="A268" t="str">
        <f t="shared" si="101"/>
        <v>06/11/2025</v>
      </c>
      <c r="B268" t="str">
        <f t="shared" si="102"/>
        <v>ENTRADA</v>
      </c>
      <c r="C268" t="str">
        <f t="shared" si="103"/>
        <v>NFSE</v>
      </c>
      <c r="D268" t="str">
        <f t="shared" si="88"/>
        <v>3666</v>
      </c>
      <c r="E268" t="str">
        <f t="shared" si="99"/>
        <v>COM</v>
      </c>
      <c r="F268" t="str">
        <f t="shared" si="89"/>
        <v>FARMÁCIA INDIANA LJ 1 (10126)</v>
      </c>
      <c r="G268" t="str">
        <f t="shared" si="90"/>
        <v>Serv.Prest. 20/10/2025 a 24/10/2025 - RPS: 1430 - NFSe: 3666</v>
      </c>
      <c r="H268" t="str">
        <f t="shared" si="100"/>
        <v>05/11/2025</v>
      </c>
      <c r="I268" t="str">
        <f t="shared" si="92"/>
        <v>24/10/2025</v>
      </c>
      <c r="J268" t="str">
        <f t="shared" si="104"/>
        <v>06/11/2025</v>
      </c>
      <c r="M268">
        <v>303</v>
      </c>
      <c r="N268" t="str">
        <f t="shared" si="105"/>
        <v>RECEITAS COM ENTREGAS</v>
      </c>
      <c r="P268">
        <v>421.03</v>
      </c>
      <c r="Q268" t="str">
        <f>"FARMÁCIA INDIANA LJ 172 (10161)"</f>
        <v>FARMÁCIA INDIANA LJ 172 (10161)</v>
      </c>
      <c r="R268" t="str">
        <f t="shared" si="106"/>
        <v>RECEITAS COM ENTREGAS (303)</v>
      </c>
      <c r="S268">
        <v>3011</v>
      </c>
      <c r="T268">
        <v>2352</v>
      </c>
      <c r="U268" t="s">
        <v>21</v>
      </c>
    </row>
    <row r="269" spans="1:21">
      <c r="A269" t="str">
        <f t="shared" si="101"/>
        <v>06/11/2025</v>
      </c>
      <c r="B269" t="str">
        <f t="shared" si="102"/>
        <v>ENTRADA</v>
      </c>
      <c r="C269" t="str">
        <f t="shared" si="103"/>
        <v>NFSE</v>
      </c>
      <c r="D269" t="str">
        <f t="shared" si="88"/>
        <v>3666</v>
      </c>
      <c r="E269" t="str">
        <f t="shared" si="99"/>
        <v>COM</v>
      </c>
      <c r="F269" t="str">
        <f t="shared" si="89"/>
        <v>FARMÁCIA INDIANA LJ 1 (10126)</v>
      </c>
      <c r="G269" t="str">
        <f t="shared" si="90"/>
        <v>Serv.Prest. 20/10/2025 a 24/10/2025 - RPS: 1430 - NFSe: 3666</v>
      </c>
      <c r="H269" t="str">
        <f t="shared" si="100"/>
        <v>05/11/2025</v>
      </c>
      <c r="I269" t="str">
        <f t="shared" si="92"/>
        <v>24/10/2025</v>
      </c>
      <c r="J269" t="str">
        <f t="shared" si="104"/>
        <v>06/11/2025</v>
      </c>
      <c r="M269">
        <v>303</v>
      </c>
      <c r="N269" t="str">
        <f t="shared" si="105"/>
        <v>RECEITAS COM ENTREGAS</v>
      </c>
      <c r="P269">
        <v>79.319999999999993</v>
      </c>
      <c r="Q269" t="str">
        <f>"FARMÁCIA INDIANA LJ 266 (10186)"</f>
        <v>FARMÁCIA INDIANA LJ 266 (10186)</v>
      </c>
      <c r="R269" t="str">
        <f t="shared" si="106"/>
        <v>RECEITAS COM ENTREGAS (303)</v>
      </c>
      <c r="S269">
        <v>3011</v>
      </c>
      <c r="T269">
        <v>2352</v>
      </c>
      <c r="U269" t="s">
        <v>21</v>
      </c>
    </row>
    <row r="270" spans="1:21">
      <c r="A270" t="str">
        <f t="shared" si="101"/>
        <v>06/11/2025</v>
      </c>
      <c r="B270" t="str">
        <f t="shared" ref="B270:B297" si="107">"SAÍDA"</f>
        <v>SAÍDA</v>
      </c>
      <c r="C270" t="str">
        <f t="shared" ref="C270:C293" si="108">"BOLETO"</f>
        <v>BOLETO</v>
      </c>
      <c r="D270" t="str">
        <f t="shared" ref="D270:D297" si="109">"06112025"</f>
        <v>06112025</v>
      </c>
      <c r="E270" t="str">
        <f t="shared" si="99"/>
        <v>COM</v>
      </c>
      <c r="F270" t="str">
        <f t="shared" ref="F270:F293" si="110">"CORA SOCIEDADE DE CREDITO, FINANCIAMENTO E INVESTIMENTO (20035)"</f>
        <v>CORA SOCIEDADE DE CREDITO, FINANCIAMENTO E INVESTIMENTO (20035)</v>
      </c>
      <c r="G270" t="str">
        <f t="shared" ref="G270:G293" si="111">"BOLETO CORA"</f>
        <v>BOLETO CORA</v>
      </c>
      <c r="H270" t="str">
        <f t="shared" ref="H270:I297" si="112">("06/11/2025")</f>
        <v>06/11/2025</v>
      </c>
      <c r="I270" t="str">
        <f t="shared" si="112"/>
        <v>06/11/2025</v>
      </c>
      <c r="J270" t="str">
        <f t="shared" si="104"/>
        <v>06/11/2025</v>
      </c>
      <c r="K270">
        <v>1.7</v>
      </c>
      <c r="L270">
        <v>1.7</v>
      </c>
      <c r="M270">
        <v>401</v>
      </c>
      <c r="N270" t="str">
        <f t="shared" ref="N270:N293" si="113">"IOF/JUROS/DESP.FINANCEIRA"</f>
        <v>IOF/JUROS/DESP.FINANCEIRA</v>
      </c>
      <c r="O270">
        <v>1.7</v>
      </c>
      <c r="R270" t="str">
        <f t="shared" ref="R270:R297" si="114">"BANCO CORA (102)"</f>
        <v>BANCO CORA (102)</v>
      </c>
      <c r="S270">
        <v>3045</v>
      </c>
      <c r="T270">
        <v>2560</v>
      </c>
      <c r="U270" t="s">
        <v>21</v>
      </c>
    </row>
    <row r="271" spans="1:21">
      <c r="A271" t="str">
        <f t="shared" si="101"/>
        <v>06/11/2025</v>
      </c>
      <c r="B271" t="str">
        <f t="shared" si="107"/>
        <v>SAÍDA</v>
      </c>
      <c r="C271" t="str">
        <f t="shared" si="108"/>
        <v>BOLETO</v>
      </c>
      <c r="D271" t="str">
        <f t="shared" si="109"/>
        <v>06112025</v>
      </c>
      <c r="E271" t="str">
        <f t="shared" si="99"/>
        <v>COM</v>
      </c>
      <c r="F271" t="str">
        <f t="shared" si="110"/>
        <v>CORA SOCIEDADE DE CREDITO, FINANCIAMENTO E INVESTIMENTO (20035)</v>
      </c>
      <c r="G271" t="str">
        <f t="shared" si="111"/>
        <v>BOLETO CORA</v>
      </c>
      <c r="H271" t="str">
        <f t="shared" si="112"/>
        <v>06/11/2025</v>
      </c>
      <c r="I271" t="str">
        <f t="shared" si="112"/>
        <v>06/11/2025</v>
      </c>
      <c r="J271" t="str">
        <f t="shared" si="104"/>
        <v>06/11/2025</v>
      </c>
      <c r="M271">
        <v>401</v>
      </c>
      <c r="N271" t="str">
        <f t="shared" si="113"/>
        <v>IOF/JUROS/DESP.FINANCEIRA</v>
      </c>
      <c r="P271">
        <v>1.7</v>
      </c>
      <c r="Q271" t="str">
        <f>"CORA SOCIEDADE DE CREDITO, FINANCIAMENTO E INVESTIMENTO (20035)"</f>
        <v>CORA SOCIEDADE DE CREDITO, FINANCIAMENTO E INVESTIMENTO (20035)</v>
      </c>
      <c r="R271" t="str">
        <f t="shared" si="114"/>
        <v>BANCO CORA (102)</v>
      </c>
      <c r="S271">
        <v>3045</v>
      </c>
      <c r="T271">
        <v>2560</v>
      </c>
      <c r="U271" t="s">
        <v>21</v>
      </c>
    </row>
    <row r="272" spans="1:21">
      <c r="A272" t="str">
        <f t="shared" si="101"/>
        <v>06/11/2025</v>
      </c>
      <c r="B272" t="str">
        <f t="shared" si="107"/>
        <v>SAÍDA</v>
      </c>
      <c r="C272" t="str">
        <f t="shared" si="108"/>
        <v>BOLETO</v>
      </c>
      <c r="D272" t="str">
        <f t="shared" si="109"/>
        <v>06112025</v>
      </c>
      <c r="E272" t="str">
        <f t="shared" si="99"/>
        <v>COM</v>
      </c>
      <c r="F272" t="str">
        <f t="shared" si="110"/>
        <v>CORA SOCIEDADE DE CREDITO, FINANCIAMENTO E INVESTIMENTO (20035)</v>
      </c>
      <c r="G272" t="str">
        <f t="shared" si="111"/>
        <v>BOLETO CORA</v>
      </c>
      <c r="H272" t="str">
        <f t="shared" si="112"/>
        <v>06/11/2025</v>
      </c>
      <c r="I272" t="str">
        <f t="shared" si="112"/>
        <v>06/11/2025</v>
      </c>
      <c r="J272" t="str">
        <f t="shared" si="104"/>
        <v>06/11/2025</v>
      </c>
      <c r="K272">
        <v>1.7</v>
      </c>
      <c r="L272">
        <v>1.7</v>
      </c>
      <c r="M272">
        <v>401</v>
      </c>
      <c r="N272" t="str">
        <f t="shared" si="113"/>
        <v>IOF/JUROS/DESP.FINANCEIRA</v>
      </c>
      <c r="O272">
        <v>1.7</v>
      </c>
      <c r="R272" t="str">
        <f t="shared" si="114"/>
        <v>BANCO CORA (102)</v>
      </c>
      <c r="S272">
        <v>3046</v>
      </c>
      <c r="T272">
        <v>2561</v>
      </c>
      <c r="U272" t="s">
        <v>21</v>
      </c>
    </row>
    <row r="273" spans="1:21">
      <c r="A273" t="str">
        <f t="shared" si="101"/>
        <v>06/11/2025</v>
      </c>
      <c r="B273" t="str">
        <f t="shared" si="107"/>
        <v>SAÍDA</v>
      </c>
      <c r="C273" t="str">
        <f t="shared" si="108"/>
        <v>BOLETO</v>
      </c>
      <c r="D273" t="str">
        <f t="shared" si="109"/>
        <v>06112025</v>
      </c>
      <c r="E273" t="str">
        <f t="shared" si="99"/>
        <v>COM</v>
      </c>
      <c r="F273" t="str">
        <f t="shared" si="110"/>
        <v>CORA SOCIEDADE DE CREDITO, FINANCIAMENTO E INVESTIMENTO (20035)</v>
      </c>
      <c r="G273" t="str">
        <f t="shared" si="111"/>
        <v>BOLETO CORA</v>
      </c>
      <c r="H273" t="str">
        <f t="shared" si="112"/>
        <v>06/11/2025</v>
      </c>
      <c r="I273" t="str">
        <f t="shared" si="112"/>
        <v>06/11/2025</v>
      </c>
      <c r="J273" t="str">
        <f t="shared" si="104"/>
        <v>06/11/2025</v>
      </c>
      <c r="M273">
        <v>401</v>
      </c>
      <c r="N273" t="str">
        <f t="shared" si="113"/>
        <v>IOF/JUROS/DESP.FINANCEIRA</v>
      </c>
      <c r="P273">
        <v>1.7</v>
      </c>
      <c r="Q273" t="str">
        <f>"CORA SOCIEDADE DE CREDITO, FINANCIAMENTO E INVESTIMENTO (20035)"</f>
        <v>CORA SOCIEDADE DE CREDITO, FINANCIAMENTO E INVESTIMENTO (20035)</v>
      </c>
      <c r="R273" t="str">
        <f t="shared" si="114"/>
        <v>BANCO CORA (102)</v>
      </c>
      <c r="S273">
        <v>3046</v>
      </c>
      <c r="T273">
        <v>2561</v>
      </c>
      <c r="U273" t="s">
        <v>21</v>
      </c>
    </row>
    <row r="274" spans="1:21">
      <c r="A274" t="str">
        <f t="shared" si="101"/>
        <v>06/11/2025</v>
      </c>
      <c r="B274" t="str">
        <f t="shared" si="107"/>
        <v>SAÍDA</v>
      </c>
      <c r="C274" t="str">
        <f t="shared" si="108"/>
        <v>BOLETO</v>
      </c>
      <c r="D274" t="str">
        <f t="shared" si="109"/>
        <v>06112025</v>
      </c>
      <c r="E274" t="str">
        <f t="shared" si="99"/>
        <v>COM</v>
      </c>
      <c r="F274" t="str">
        <f t="shared" si="110"/>
        <v>CORA SOCIEDADE DE CREDITO, FINANCIAMENTO E INVESTIMENTO (20035)</v>
      </c>
      <c r="G274" t="str">
        <f t="shared" si="111"/>
        <v>BOLETO CORA</v>
      </c>
      <c r="H274" t="str">
        <f t="shared" si="112"/>
        <v>06/11/2025</v>
      </c>
      <c r="I274" t="str">
        <f t="shared" si="112"/>
        <v>06/11/2025</v>
      </c>
      <c r="J274" t="str">
        <f t="shared" si="104"/>
        <v>06/11/2025</v>
      </c>
      <c r="K274">
        <v>1.7</v>
      </c>
      <c r="L274">
        <v>1.7</v>
      </c>
      <c r="M274">
        <v>401</v>
      </c>
      <c r="N274" t="str">
        <f t="shared" si="113"/>
        <v>IOF/JUROS/DESP.FINANCEIRA</v>
      </c>
      <c r="O274">
        <v>1.7</v>
      </c>
      <c r="R274" t="str">
        <f t="shared" si="114"/>
        <v>BANCO CORA (102)</v>
      </c>
      <c r="S274">
        <v>3047</v>
      </c>
      <c r="T274">
        <v>2562</v>
      </c>
      <c r="U274" t="s">
        <v>21</v>
      </c>
    </row>
    <row r="275" spans="1:21">
      <c r="A275" t="str">
        <f t="shared" si="101"/>
        <v>06/11/2025</v>
      </c>
      <c r="B275" t="str">
        <f t="shared" si="107"/>
        <v>SAÍDA</v>
      </c>
      <c r="C275" t="str">
        <f t="shared" si="108"/>
        <v>BOLETO</v>
      </c>
      <c r="D275" t="str">
        <f t="shared" si="109"/>
        <v>06112025</v>
      </c>
      <c r="E275" t="str">
        <f t="shared" si="99"/>
        <v>COM</v>
      </c>
      <c r="F275" t="str">
        <f t="shared" si="110"/>
        <v>CORA SOCIEDADE DE CREDITO, FINANCIAMENTO E INVESTIMENTO (20035)</v>
      </c>
      <c r="G275" t="str">
        <f t="shared" si="111"/>
        <v>BOLETO CORA</v>
      </c>
      <c r="H275" t="str">
        <f t="shared" si="112"/>
        <v>06/11/2025</v>
      </c>
      <c r="I275" t="str">
        <f t="shared" si="112"/>
        <v>06/11/2025</v>
      </c>
      <c r="J275" t="str">
        <f t="shared" si="104"/>
        <v>06/11/2025</v>
      </c>
      <c r="M275">
        <v>401</v>
      </c>
      <c r="N275" t="str">
        <f t="shared" si="113"/>
        <v>IOF/JUROS/DESP.FINANCEIRA</v>
      </c>
      <c r="P275">
        <v>1.7</v>
      </c>
      <c r="Q275" t="str">
        <f>"CORA SOCIEDADE DE CREDITO, FINANCIAMENTO E INVESTIMENTO (20035)"</f>
        <v>CORA SOCIEDADE DE CREDITO, FINANCIAMENTO E INVESTIMENTO (20035)</v>
      </c>
      <c r="R275" t="str">
        <f t="shared" si="114"/>
        <v>BANCO CORA (102)</v>
      </c>
      <c r="S275">
        <v>3047</v>
      </c>
      <c r="T275">
        <v>2562</v>
      </c>
      <c r="U275" t="s">
        <v>21</v>
      </c>
    </row>
    <row r="276" spans="1:21">
      <c r="A276" t="str">
        <f t="shared" si="101"/>
        <v>06/11/2025</v>
      </c>
      <c r="B276" t="str">
        <f t="shared" si="107"/>
        <v>SAÍDA</v>
      </c>
      <c r="C276" t="str">
        <f t="shared" si="108"/>
        <v>BOLETO</v>
      </c>
      <c r="D276" t="str">
        <f t="shared" si="109"/>
        <v>06112025</v>
      </c>
      <c r="E276" t="str">
        <f t="shared" si="99"/>
        <v>COM</v>
      </c>
      <c r="F276" t="str">
        <f t="shared" si="110"/>
        <v>CORA SOCIEDADE DE CREDITO, FINANCIAMENTO E INVESTIMENTO (20035)</v>
      </c>
      <c r="G276" t="str">
        <f t="shared" si="111"/>
        <v>BOLETO CORA</v>
      </c>
      <c r="H276" t="str">
        <f t="shared" si="112"/>
        <v>06/11/2025</v>
      </c>
      <c r="I276" t="str">
        <f t="shared" si="112"/>
        <v>06/11/2025</v>
      </c>
      <c r="J276" t="str">
        <f t="shared" si="104"/>
        <v>06/11/2025</v>
      </c>
      <c r="K276">
        <v>1.7</v>
      </c>
      <c r="L276">
        <v>1.7</v>
      </c>
      <c r="M276">
        <v>401</v>
      </c>
      <c r="N276" t="str">
        <f t="shared" si="113"/>
        <v>IOF/JUROS/DESP.FINANCEIRA</v>
      </c>
      <c r="O276">
        <v>1.7</v>
      </c>
      <c r="R276" t="str">
        <f t="shared" si="114"/>
        <v>BANCO CORA (102)</v>
      </c>
      <c r="S276">
        <v>3048</v>
      </c>
      <c r="T276">
        <v>2563</v>
      </c>
      <c r="U276" t="s">
        <v>21</v>
      </c>
    </row>
    <row r="277" spans="1:21">
      <c r="A277" t="str">
        <f t="shared" si="101"/>
        <v>06/11/2025</v>
      </c>
      <c r="B277" t="str">
        <f t="shared" si="107"/>
        <v>SAÍDA</v>
      </c>
      <c r="C277" t="str">
        <f t="shared" si="108"/>
        <v>BOLETO</v>
      </c>
      <c r="D277" t="str">
        <f t="shared" si="109"/>
        <v>06112025</v>
      </c>
      <c r="E277" t="str">
        <f t="shared" si="99"/>
        <v>COM</v>
      </c>
      <c r="F277" t="str">
        <f t="shared" si="110"/>
        <v>CORA SOCIEDADE DE CREDITO, FINANCIAMENTO E INVESTIMENTO (20035)</v>
      </c>
      <c r="G277" t="str">
        <f t="shared" si="111"/>
        <v>BOLETO CORA</v>
      </c>
      <c r="H277" t="str">
        <f t="shared" si="112"/>
        <v>06/11/2025</v>
      </c>
      <c r="I277" t="str">
        <f t="shared" si="112"/>
        <v>06/11/2025</v>
      </c>
      <c r="J277" t="str">
        <f t="shared" si="104"/>
        <v>06/11/2025</v>
      </c>
      <c r="M277">
        <v>401</v>
      </c>
      <c r="N277" t="str">
        <f t="shared" si="113"/>
        <v>IOF/JUROS/DESP.FINANCEIRA</v>
      </c>
      <c r="P277">
        <v>1.7</v>
      </c>
      <c r="Q277" t="str">
        <f>"CORA SOCIEDADE DE CREDITO, FINANCIAMENTO E INVESTIMENTO (20035)"</f>
        <v>CORA SOCIEDADE DE CREDITO, FINANCIAMENTO E INVESTIMENTO (20035)</v>
      </c>
      <c r="R277" t="str">
        <f t="shared" si="114"/>
        <v>BANCO CORA (102)</v>
      </c>
      <c r="S277">
        <v>3048</v>
      </c>
      <c r="T277">
        <v>2563</v>
      </c>
      <c r="U277" t="s">
        <v>21</v>
      </c>
    </row>
    <row r="278" spans="1:21">
      <c r="A278" t="str">
        <f t="shared" si="101"/>
        <v>06/11/2025</v>
      </c>
      <c r="B278" t="str">
        <f t="shared" si="107"/>
        <v>SAÍDA</v>
      </c>
      <c r="C278" t="str">
        <f t="shared" si="108"/>
        <v>BOLETO</v>
      </c>
      <c r="D278" t="str">
        <f t="shared" si="109"/>
        <v>06112025</v>
      </c>
      <c r="E278" t="str">
        <f t="shared" si="99"/>
        <v>COM</v>
      </c>
      <c r="F278" t="str">
        <f t="shared" si="110"/>
        <v>CORA SOCIEDADE DE CREDITO, FINANCIAMENTO E INVESTIMENTO (20035)</v>
      </c>
      <c r="G278" t="str">
        <f t="shared" si="111"/>
        <v>BOLETO CORA</v>
      </c>
      <c r="H278" t="str">
        <f t="shared" si="112"/>
        <v>06/11/2025</v>
      </c>
      <c r="I278" t="str">
        <f t="shared" si="112"/>
        <v>06/11/2025</v>
      </c>
      <c r="J278" t="str">
        <f t="shared" si="104"/>
        <v>06/11/2025</v>
      </c>
      <c r="K278">
        <v>1.7</v>
      </c>
      <c r="L278">
        <v>1.7</v>
      </c>
      <c r="M278">
        <v>401</v>
      </c>
      <c r="N278" t="str">
        <f t="shared" si="113"/>
        <v>IOF/JUROS/DESP.FINANCEIRA</v>
      </c>
      <c r="O278">
        <v>1.7</v>
      </c>
      <c r="R278" t="str">
        <f t="shared" si="114"/>
        <v>BANCO CORA (102)</v>
      </c>
      <c r="S278">
        <v>3049</v>
      </c>
      <c r="T278">
        <v>2564</v>
      </c>
      <c r="U278" t="s">
        <v>21</v>
      </c>
    </row>
    <row r="279" spans="1:21">
      <c r="A279" t="str">
        <f t="shared" si="101"/>
        <v>06/11/2025</v>
      </c>
      <c r="B279" t="str">
        <f t="shared" si="107"/>
        <v>SAÍDA</v>
      </c>
      <c r="C279" t="str">
        <f t="shared" si="108"/>
        <v>BOLETO</v>
      </c>
      <c r="D279" t="str">
        <f t="shared" si="109"/>
        <v>06112025</v>
      </c>
      <c r="E279" t="str">
        <f t="shared" si="99"/>
        <v>COM</v>
      </c>
      <c r="F279" t="str">
        <f t="shared" si="110"/>
        <v>CORA SOCIEDADE DE CREDITO, FINANCIAMENTO E INVESTIMENTO (20035)</v>
      </c>
      <c r="G279" t="str">
        <f t="shared" si="111"/>
        <v>BOLETO CORA</v>
      </c>
      <c r="H279" t="str">
        <f t="shared" si="112"/>
        <v>06/11/2025</v>
      </c>
      <c r="I279" t="str">
        <f t="shared" si="112"/>
        <v>06/11/2025</v>
      </c>
      <c r="J279" t="str">
        <f t="shared" si="104"/>
        <v>06/11/2025</v>
      </c>
      <c r="M279">
        <v>401</v>
      </c>
      <c r="N279" t="str">
        <f t="shared" si="113"/>
        <v>IOF/JUROS/DESP.FINANCEIRA</v>
      </c>
      <c r="P279">
        <v>1.7</v>
      </c>
      <c r="Q279" t="str">
        <f>"CORA SOCIEDADE DE CREDITO, FINANCIAMENTO E INVESTIMENTO (20035)"</f>
        <v>CORA SOCIEDADE DE CREDITO, FINANCIAMENTO E INVESTIMENTO (20035)</v>
      </c>
      <c r="R279" t="str">
        <f t="shared" si="114"/>
        <v>BANCO CORA (102)</v>
      </c>
      <c r="S279">
        <v>3049</v>
      </c>
      <c r="T279">
        <v>2564</v>
      </c>
      <c r="U279" t="s">
        <v>21</v>
      </c>
    </row>
    <row r="280" spans="1:21">
      <c r="A280" t="str">
        <f t="shared" si="101"/>
        <v>06/11/2025</v>
      </c>
      <c r="B280" t="str">
        <f t="shared" si="107"/>
        <v>SAÍDA</v>
      </c>
      <c r="C280" t="str">
        <f t="shared" si="108"/>
        <v>BOLETO</v>
      </c>
      <c r="D280" t="str">
        <f t="shared" si="109"/>
        <v>06112025</v>
      </c>
      <c r="E280" t="str">
        <f t="shared" si="99"/>
        <v>COM</v>
      </c>
      <c r="F280" t="str">
        <f t="shared" si="110"/>
        <v>CORA SOCIEDADE DE CREDITO, FINANCIAMENTO E INVESTIMENTO (20035)</v>
      </c>
      <c r="G280" t="str">
        <f t="shared" si="111"/>
        <v>BOLETO CORA</v>
      </c>
      <c r="H280" t="str">
        <f t="shared" si="112"/>
        <v>06/11/2025</v>
      </c>
      <c r="I280" t="str">
        <f t="shared" si="112"/>
        <v>06/11/2025</v>
      </c>
      <c r="J280" t="str">
        <f t="shared" si="104"/>
        <v>06/11/2025</v>
      </c>
      <c r="K280">
        <v>1.7</v>
      </c>
      <c r="L280">
        <v>1.7</v>
      </c>
      <c r="M280">
        <v>401</v>
      </c>
      <c r="N280" t="str">
        <f t="shared" si="113"/>
        <v>IOF/JUROS/DESP.FINANCEIRA</v>
      </c>
      <c r="O280">
        <v>1.7</v>
      </c>
      <c r="R280" t="str">
        <f t="shared" si="114"/>
        <v>BANCO CORA (102)</v>
      </c>
      <c r="S280">
        <v>3050</v>
      </c>
      <c r="T280">
        <v>2565</v>
      </c>
      <c r="U280" t="s">
        <v>21</v>
      </c>
    </row>
    <row r="281" spans="1:21">
      <c r="A281" t="str">
        <f t="shared" si="101"/>
        <v>06/11/2025</v>
      </c>
      <c r="B281" t="str">
        <f t="shared" si="107"/>
        <v>SAÍDA</v>
      </c>
      <c r="C281" t="str">
        <f t="shared" si="108"/>
        <v>BOLETO</v>
      </c>
      <c r="D281" t="str">
        <f t="shared" si="109"/>
        <v>06112025</v>
      </c>
      <c r="E281" t="str">
        <f t="shared" si="99"/>
        <v>COM</v>
      </c>
      <c r="F281" t="str">
        <f t="shared" si="110"/>
        <v>CORA SOCIEDADE DE CREDITO, FINANCIAMENTO E INVESTIMENTO (20035)</v>
      </c>
      <c r="G281" t="str">
        <f t="shared" si="111"/>
        <v>BOLETO CORA</v>
      </c>
      <c r="H281" t="str">
        <f t="shared" si="112"/>
        <v>06/11/2025</v>
      </c>
      <c r="I281" t="str">
        <f t="shared" si="112"/>
        <v>06/11/2025</v>
      </c>
      <c r="J281" t="str">
        <f t="shared" si="104"/>
        <v>06/11/2025</v>
      </c>
      <c r="M281">
        <v>401</v>
      </c>
      <c r="N281" t="str">
        <f t="shared" si="113"/>
        <v>IOF/JUROS/DESP.FINANCEIRA</v>
      </c>
      <c r="P281">
        <v>1.7</v>
      </c>
      <c r="Q281" t="str">
        <f>"CORA SOCIEDADE DE CREDITO, FINANCIAMENTO E INVESTIMENTO (20035)"</f>
        <v>CORA SOCIEDADE DE CREDITO, FINANCIAMENTO E INVESTIMENTO (20035)</v>
      </c>
      <c r="R281" t="str">
        <f t="shared" si="114"/>
        <v>BANCO CORA (102)</v>
      </c>
      <c r="S281">
        <v>3050</v>
      </c>
      <c r="T281">
        <v>2565</v>
      </c>
      <c r="U281" t="s">
        <v>21</v>
      </c>
    </row>
    <row r="282" spans="1:21">
      <c r="A282" t="str">
        <f t="shared" si="101"/>
        <v>06/11/2025</v>
      </c>
      <c r="B282" t="str">
        <f t="shared" si="107"/>
        <v>SAÍDA</v>
      </c>
      <c r="C282" t="str">
        <f t="shared" si="108"/>
        <v>BOLETO</v>
      </c>
      <c r="D282" t="str">
        <f t="shared" si="109"/>
        <v>06112025</v>
      </c>
      <c r="E282" t="str">
        <f t="shared" si="99"/>
        <v>COM</v>
      </c>
      <c r="F282" t="str">
        <f t="shared" si="110"/>
        <v>CORA SOCIEDADE DE CREDITO, FINANCIAMENTO E INVESTIMENTO (20035)</v>
      </c>
      <c r="G282" t="str">
        <f t="shared" si="111"/>
        <v>BOLETO CORA</v>
      </c>
      <c r="H282" t="str">
        <f t="shared" si="112"/>
        <v>06/11/2025</v>
      </c>
      <c r="I282" t="str">
        <f t="shared" si="112"/>
        <v>06/11/2025</v>
      </c>
      <c r="J282" t="str">
        <f t="shared" si="104"/>
        <v>06/11/2025</v>
      </c>
      <c r="K282">
        <v>1.7</v>
      </c>
      <c r="L282">
        <v>1.7</v>
      </c>
      <c r="M282">
        <v>401</v>
      </c>
      <c r="N282" t="str">
        <f t="shared" si="113"/>
        <v>IOF/JUROS/DESP.FINANCEIRA</v>
      </c>
      <c r="O282">
        <v>1.7</v>
      </c>
      <c r="R282" t="str">
        <f t="shared" si="114"/>
        <v>BANCO CORA (102)</v>
      </c>
      <c r="S282">
        <v>3051</v>
      </c>
      <c r="T282">
        <v>2566</v>
      </c>
      <c r="U282" t="s">
        <v>21</v>
      </c>
    </row>
    <row r="283" spans="1:21">
      <c r="A283" t="str">
        <f t="shared" si="101"/>
        <v>06/11/2025</v>
      </c>
      <c r="B283" t="str">
        <f t="shared" si="107"/>
        <v>SAÍDA</v>
      </c>
      <c r="C283" t="str">
        <f t="shared" si="108"/>
        <v>BOLETO</v>
      </c>
      <c r="D283" t="str">
        <f t="shared" si="109"/>
        <v>06112025</v>
      </c>
      <c r="E283" t="str">
        <f t="shared" si="99"/>
        <v>COM</v>
      </c>
      <c r="F283" t="str">
        <f t="shared" si="110"/>
        <v>CORA SOCIEDADE DE CREDITO, FINANCIAMENTO E INVESTIMENTO (20035)</v>
      </c>
      <c r="G283" t="str">
        <f t="shared" si="111"/>
        <v>BOLETO CORA</v>
      </c>
      <c r="H283" t="str">
        <f t="shared" si="112"/>
        <v>06/11/2025</v>
      </c>
      <c r="I283" t="str">
        <f t="shared" si="112"/>
        <v>06/11/2025</v>
      </c>
      <c r="J283" t="str">
        <f t="shared" si="104"/>
        <v>06/11/2025</v>
      </c>
      <c r="M283">
        <v>401</v>
      </c>
      <c r="N283" t="str">
        <f t="shared" si="113"/>
        <v>IOF/JUROS/DESP.FINANCEIRA</v>
      </c>
      <c r="P283">
        <v>1.7</v>
      </c>
      <c r="Q283" t="str">
        <f>"CORA SOCIEDADE DE CREDITO, FINANCIAMENTO E INVESTIMENTO (20035)"</f>
        <v>CORA SOCIEDADE DE CREDITO, FINANCIAMENTO E INVESTIMENTO (20035)</v>
      </c>
      <c r="R283" t="str">
        <f t="shared" si="114"/>
        <v>BANCO CORA (102)</v>
      </c>
      <c r="S283">
        <v>3051</v>
      </c>
      <c r="T283">
        <v>2566</v>
      </c>
      <c r="U283" t="s">
        <v>21</v>
      </c>
    </row>
    <row r="284" spans="1:21">
      <c r="A284" t="str">
        <f t="shared" si="101"/>
        <v>06/11/2025</v>
      </c>
      <c r="B284" t="str">
        <f t="shared" si="107"/>
        <v>SAÍDA</v>
      </c>
      <c r="C284" t="str">
        <f t="shared" si="108"/>
        <v>BOLETO</v>
      </c>
      <c r="D284" t="str">
        <f t="shared" si="109"/>
        <v>06112025</v>
      </c>
      <c r="E284" t="str">
        <f t="shared" si="99"/>
        <v>COM</v>
      </c>
      <c r="F284" t="str">
        <f t="shared" si="110"/>
        <v>CORA SOCIEDADE DE CREDITO, FINANCIAMENTO E INVESTIMENTO (20035)</v>
      </c>
      <c r="G284" t="str">
        <f t="shared" si="111"/>
        <v>BOLETO CORA</v>
      </c>
      <c r="H284" t="str">
        <f t="shared" si="112"/>
        <v>06/11/2025</v>
      </c>
      <c r="I284" t="str">
        <f t="shared" si="112"/>
        <v>06/11/2025</v>
      </c>
      <c r="J284" t="str">
        <f t="shared" si="104"/>
        <v>06/11/2025</v>
      </c>
      <c r="K284">
        <v>1.7</v>
      </c>
      <c r="L284">
        <v>1.7</v>
      </c>
      <c r="M284">
        <v>401</v>
      </c>
      <c r="N284" t="str">
        <f t="shared" si="113"/>
        <v>IOF/JUROS/DESP.FINANCEIRA</v>
      </c>
      <c r="O284">
        <v>1.7</v>
      </c>
      <c r="R284" t="str">
        <f t="shared" si="114"/>
        <v>BANCO CORA (102)</v>
      </c>
      <c r="S284">
        <v>3052</v>
      </c>
      <c r="T284">
        <v>2567</v>
      </c>
      <c r="U284" t="s">
        <v>21</v>
      </c>
    </row>
    <row r="285" spans="1:21">
      <c r="A285" t="str">
        <f t="shared" si="101"/>
        <v>06/11/2025</v>
      </c>
      <c r="B285" t="str">
        <f t="shared" si="107"/>
        <v>SAÍDA</v>
      </c>
      <c r="C285" t="str">
        <f t="shared" si="108"/>
        <v>BOLETO</v>
      </c>
      <c r="D285" t="str">
        <f t="shared" si="109"/>
        <v>06112025</v>
      </c>
      <c r="E285" t="str">
        <f t="shared" si="99"/>
        <v>COM</v>
      </c>
      <c r="F285" t="str">
        <f t="shared" si="110"/>
        <v>CORA SOCIEDADE DE CREDITO, FINANCIAMENTO E INVESTIMENTO (20035)</v>
      </c>
      <c r="G285" t="str">
        <f t="shared" si="111"/>
        <v>BOLETO CORA</v>
      </c>
      <c r="H285" t="str">
        <f t="shared" si="112"/>
        <v>06/11/2025</v>
      </c>
      <c r="I285" t="str">
        <f t="shared" si="112"/>
        <v>06/11/2025</v>
      </c>
      <c r="J285" t="str">
        <f t="shared" si="104"/>
        <v>06/11/2025</v>
      </c>
      <c r="M285">
        <v>401</v>
      </c>
      <c r="N285" t="str">
        <f t="shared" si="113"/>
        <v>IOF/JUROS/DESP.FINANCEIRA</v>
      </c>
      <c r="P285">
        <v>1.7</v>
      </c>
      <c r="Q285" t="str">
        <f>"CORA SOCIEDADE DE CREDITO, FINANCIAMENTO E INVESTIMENTO (20035)"</f>
        <v>CORA SOCIEDADE DE CREDITO, FINANCIAMENTO E INVESTIMENTO (20035)</v>
      </c>
      <c r="R285" t="str">
        <f t="shared" si="114"/>
        <v>BANCO CORA (102)</v>
      </c>
      <c r="S285">
        <v>3052</v>
      </c>
      <c r="T285">
        <v>2567</v>
      </c>
      <c r="U285" t="s">
        <v>21</v>
      </c>
    </row>
    <row r="286" spans="1:21">
      <c r="A286" t="str">
        <f t="shared" si="101"/>
        <v>06/11/2025</v>
      </c>
      <c r="B286" t="str">
        <f t="shared" si="107"/>
        <v>SAÍDA</v>
      </c>
      <c r="C286" t="str">
        <f t="shared" si="108"/>
        <v>BOLETO</v>
      </c>
      <c r="D286" t="str">
        <f t="shared" si="109"/>
        <v>06112025</v>
      </c>
      <c r="E286" t="str">
        <f t="shared" si="99"/>
        <v>COM</v>
      </c>
      <c r="F286" t="str">
        <f t="shared" si="110"/>
        <v>CORA SOCIEDADE DE CREDITO, FINANCIAMENTO E INVESTIMENTO (20035)</v>
      </c>
      <c r="G286" t="str">
        <f t="shared" si="111"/>
        <v>BOLETO CORA</v>
      </c>
      <c r="H286" t="str">
        <f t="shared" si="112"/>
        <v>06/11/2025</v>
      </c>
      <c r="I286" t="str">
        <f t="shared" si="112"/>
        <v>06/11/2025</v>
      </c>
      <c r="J286" t="str">
        <f t="shared" si="104"/>
        <v>06/11/2025</v>
      </c>
      <c r="K286">
        <v>1.7</v>
      </c>
      <c r="L286">
        <v>1.7</v>
      </c>
      <c r="M286">
        <v>401</v>
      </c>
      <c r="N286" t="str">
        <f t="shared" si="113"/>
        <v>IOF/JUROS/DESP.FINANCEIRA</v>
      </c>
      <c r="O286">
        <v>1.7</v>
      </c>
      <c r="R286" t="str">
        <f t="shared" si="114"/>
        <v>BANCO CORA (102)</v>
      </c>
      <c r="S286">
        <v>3053</v>
      </c>
      <c r="T286">
        <v>2568</v>
      </c>
      <c r="U286" t="s">
        <v>21</v>
      </c>
    </row>
    <row r="287" spans="1:21">
      <c r="A287" t="str">
        <f t="shared" si="101"/>
        <v>06/11/2025</v>
      </c>
      <c r="B287" t="str">
        <f t="shared" si="107"/>
        <v>SAÍDA</v>
      </c>
      <c r="C287" t="str">
        <f t="shared" si="108"/>
        <v>BOLETO</v>
      </c>
      <c r="D287" t="str">
        <f t="shared" si="109"/>
        <v>06112025</v>
      </c>
      <c r="E287" t="str">
        <f t="shared" si="99"/>
        <v>COM</v>
      </c>
      <c r="F287" t="str">
        <f t="shared" si="110"/>
        <v>CORA SOCIEDADE DE CREDITO, FINANCIAMENTO E INVESTIMENTO (20035)</v>
      </c>
      <c r="G287" t="str">
        <f t="shared" si="111"/>
        <v>BOLETO CORA</v>
      </c>
      <c r="H287" t="str">
        <f t="shared" si="112"/>
        <v>06/11/2025</v>
      </c>
      <c r="I287" t="str">
        <f t="shared" si="112"/>
        <v>06/11/2025</v>
      </c>
      <c r="J287" t="str">
        <f t="shared" si="104"/>
        <v>06/11/2025</v>
      </c>
      <c r="M287">
        <v>401</v>
      </c>
      <c r="N287" t="str">
        <f t="shared" si="113"/>
        <v>IOF/JUROS/DESP.FINANCEIRA</v>
      </c>
      <c r="P287">
        <v>1.7</v>
      </c>
      <c r="Q287" t="str">
        <f>"CORA SOCIEDADE DE CREDITO, FINANCIAMENTO E INVESTIMENTO (20035)"</f>
        <v>CORA SOCIEDADE DE CREDITO, FINANCIAMENTO E INVESTIMENTO (20035)</v>
      </c>
      <c r="R287" t="str">
        <f t="shared" si="114"/>
        <v>BANCO CORA (102)</v>
      </c>
      <c r="S287">
        <v>3053</v>
      </c>
      <c r="T287">
        <v>2568</v>
      </c>
      <c r="U287" t="s">
        <v>21</v>
      </c>
    </row>
    <row r="288" spans="1:21">
      <c r="A288" t="str">
        <f t="shared" si="101"/>
        <v>06/11/2025</v>
      </c>
      <c r="B288" t="str">
        <f t="shared" si="107"/>
        <v>SAÍDA</v>
      </c>
      <c r="C288" t="str">
        <f t="shared" si="108"/>
        <v>BOLETO</v>
      </c>
      <c r="D288" t="str">
        <f t="shared" si="109"/>
        <v>06112025</v>
      </c>
      <c r="E288" t="str">
        <f t="shared" si="99"/>
        <v>COM</v>
      </c>
      <c r="F288" t="str">
        <f t="shared" si="110"/>
        <v>CORA SOCIEDADE DE CREDITO, FINANCIAMENTO E INVESTIMENTO (20035)</v>
      </c>
      <c r="G288" t="str">
        <f t="shared" si="111"/>
        <v>BOLETO CORA</v>
      </c>
      <c r="H288" t="str">
        <f t="shared" si="112"/>
        <v>06/11/2025</v>
      </c>
      <c r="I288" t="str">
        <f t="shared" si="112"/>
        <v>06/11/2025</v>
      </c>
      <c r="J288" t="str">
        <f t="shared" si="104"/>
        <v>06/11/2025</v>
      </c>
      <c r="K288">
        <v>1.7</v>
      </c>
      <c r="L288">
        <v>1.7</v>
      </c>
      <c r="M288">
        <v>401</v>
      </c>
      <c r="N288" t="str">
        <f t="shared" si="113"/>
        <v>IOF/JUROS/DESP.FINANCEIRA</v>
      </c>
      <c r="O288">
        <v>1.7</v>
      </c>
      <c r="R288" t="str">
        <f t="shared" si="114"/>
        <v>BANCO CORA (102)</v>
      </c>
      <c r="S288">
        <v>3054</v>
      </c>
      <c r="T288">
        <v>2569</v>
      </c>
      <c r="U288" t="s">
        <v>21</v>
      </c>
    </row>
    <row r="289" spans="1:21">
      <c r="A289" t="str">
        <f t="shared" si="101"/>
        <v>06/11/2025</v>
      </c>
      <c r="B289" t="str">
        <f t="shared" si="107"/>
        <v>SAÍDA</v>
      </c>
      <c r="C289" t="str">
        <f t="shared" si="108"/>
        <v>BOLETO</v>
      </c>
      <c r="D289" t="str">
        <f t="shared" si="109"/>
        <v>06112025</v>
      </c>
      <c r="E289" t="str">
        <f t="shared" si="99"/>
        <v>COM</v>
      </c>
      <c r="F289" t="str">
        <f t="shared" si="110"/>
        <v>CORA SOCIEDADE DE CREDITO, FINANCIAMENTO E INVESTIMENTO (20035)</v>
      </c>
      <c r="G289" t="str">
        <f t="shared" si="111"/>
        <v>BOLETO CORA</v>
      </c>
      <c r="H289" t="str">
        <f t="shared" si="112"/>
        <v>06/11/2025</v>
      </c>
      <c r="I289" t="str">
        <f t="shared" si="112"/>
        <v>06/11/2025</v>
      </c>
      <c r="J289" t="str">
        <f t="shared" si="104"/>
        <v>06/11/2025</v>
      </c>
      <c r="M289">
        <v>401</v>
      </c>
      <c r="N289" t="str">
        <f t="shared" si="113"/>
        <v>IOF/JUROS/DESP.FINANCEIRA</v>
      </c>
      <c r="P289">
        <v>1.7</v>
      </c>
      <c r="Q289" t="str">
        <f>"CORA SOCIEDADE DE CREDITO, FINANCIAMENTO E INVESTIMENTO (20035)"</f>
        <v>CORA SOCIEDADE DE CREDITO, FINANCIAMENTO E INVESTIMENTO (20035)</v>
      </c>
      <c r="R289" t="str">
        <f t="shared" si="114"/>
        <v>BANCO CORA (102)</v>
      </c>
      <c r="S289">
        <v>3054</v>
      </c>
      <c r="T289">
        <v>2569</v>
      </c>
      <c r="U289" t="s">
        <v>21</v>
      </c>
    </row>
    <row r="290" spans="1:21">
      <c r="A290" t="str">
        <f t="shared" si="101"/>
        <v>06/11/2025</v>
      </c>
      <c r="B290" t="str">
        <f t="shared" si="107"/>
        <v>SAÍDA</v>
      </c>
      <c r="C290" t="str">
        <f t="shared" si="108"/>
        <v>BOLETO</v>
      </c>
      <c r="D290" t="str">
        <f t="shared" si="109"/>
        <v>06112025</v>
      </c>
      <c r="E290" t="str">
        <f t="shared" si="99"/>
        <v>COM</v>
      </c>
      <c r="F290" t="str">
        <f t="shared" si="110"/>
        <v>CORA SOCIEDADE DE CREDITO, FINANCIAMENTO E INVESTIMENTO (20035)</v>
      </c>
      <c r="G290" t="str">
        <f t="shared" si="111"/>
        <v>BOLETO CORA</v>
      </c>
      <c r="H290" t="str">
        <f t="shared" si="112"/>
        <v>06/11/2025</v>
      </c>
      <c r="I290" t="str">
        <f t="shared" si="112"/>
        <v>06/11/2025</v>
      </c>
      <c r="J290" t="str">
        <f t="shared" si="104"/>
        <v>06/11/2025</v>
      </c>
      <c r="K290">
        <v>1.7</v>
      </c>
      <c r="L290">
        <v>1.7</v>
      </c>
      <c r="M290">
        <v>401</v>
      </c>
      <c r="N290" t="str">
        <f t="shared" si="113"/>
        <v>IOF/JUROS/DESP.FINANCEIRA</v>
      </c>
      <c r="O290">
        <v>1.7</v>
      </c>
      <c r="R290" t="str">
        <f t="shared" si="114"/>
        <v>BANCO CORA (102)</v>
      </c>
      <c r="S290">
        <v>3055</v>
      </c>
      <c r="T290">
        <v>2570</v>
      </c>
      <c r="U290" t="s">
        <v>21</v>
      </c>
    </row>
    <row r="291" spans="1:21">
      <c r="A291" t="str">
        <f t="shared" si="101"/>
        <v>06/11/2025</v>
      </c>
      <c r="B291" t="str">
        <f t="shared" si="107"/>
        <v>SAÍDA</v>
      </c>
      <c r="C291" t="str">
        <f t="shared" si="108"/>
        <v>BOLETO</v>
      </c>
      <c r="D291" t="str">
        <f t="shared" si="109"/>
        <v>06112025</v>
      </c>
      <c r="E291" t="str">
        <f t="shared" si="99"/>
        <v>COM</v>
      </c>
      <c r="F291" t="str">
        <f t="shared" si="110"/>
        <v>CORA SOCIEDADE DE CREDITO, FINANCIAMENTO E INVESTIMENTO (20035)</v>
      </c>
      <c r="G291" t="str">
        <f t="shared" si="111"/>
        <v>BOLETO CORA</v>
      </c>
      <c r="H291" t="str">
        <f t="shared" si="112"/>
        <v>06/11/2025</v>
      </c>
      <c r="I291" t="str">
        <f t="shared" si="112"/>
        <v>06/11/2025</v>
      </c>
      <c r="J291" t="str">
        <f t="shared" si="104"/>
        <v>06/11/2025</v>
      </c>
      <c r="M291">
        <v>401</v>
      </c>
      <c r="N291" t="str">
        <f t="shared" si="113"/>
        <v>IOF/JUROS/DESP.FINANCEIRA</v>
      </c>
      <c r="P291">
        <v>1.7</v>
      </c>
      <c r="Q291" t="str">
        <f>"CORA SOCIEDADE DE CREDITO, FINANCIAMENTO E INVESTIMENTO (20035)"</f>
        <v>CORA SOCIEDADE DE CREDITO, FINANCIAMENTO E INVESTIMENTO (20035)</v>
      </c>
      <c r="R291" t="str">
        <f t="shared" si="114"/>
        <v>BANCO CORA (102)</v>
      </c>
      <c r="S291">
        <v>3055</v>
      </c>
      <c r="T291">
        <v>2570</v>
      </c>
      <c r="U291" t="s">
        <v>21</v>
      </c>
    </row>
    <row r="292" spans="1:21">
      <c r="A292" t="str">
        <f t="shared" ref="A292:A297" si="115">("06/11/2025")</f>
        <v>06/11/2025</v>
      </c>
      <c r="B292" t="str">
        <f t="shared" si="107"/>
        <v>SAÍDA</v>
      </c>
      <c r="C292" t="str">
        <f t="shared" si="108"/>
        <v>BOLETO</v>
      </c>
      <c r="D292" t="str">
        <f t="shared" si="109"/>
        <v>06112025</v>
      </c>
      <c r="E292" t="str">
        <f t="shared" si="99"/>
        <v>COM</v>
      </c>
      <c r="F292" t="str">
        <f t="shared" si="110"/>
        <v>CORA SOCIEDADE DE CREDITO, FINANCIAMENTO E INVESTIMENTO (20035)</v>
      </c>
      <c r="G292" t="str">
        <f t="shared" si="111"/>
        <v>BOLETO CORA</v>
      </c>
      <c r="H292" t="str">
        <f t="shared" si="112"/>
        <v>06/11/2025</v>
      </c>
      <c r="I292" t="str">
        <f t="shared" si="112"/>
        <v>06/11/2025</v>
      </c>
      <c r="J292" t="str">
        <f t="shared" ref="J292:J297" si="116">("06/11/2025")</f>
        <v>06/11/2025</v>
      </c>
      <c r="K292">
        <v>1.7</v>
      </c>
      <c r="L292">
        <v>1.7</v>
      </c>
      <c r="M292">
        <v>401</v>
      </c>
      <c r="N292" t="str">
        <f t="shared" si="113"/>
        <v>IOF/JUROS/DESP.FINANCEIRA</v>
      </c>
      <c r="O292">
        <v>1.7</v>
      </c>
      <c r="R292" t="str">
        <f t="shared" si="114"/>
        <v>BANCO CORA (102)</v>
      </c>
      <c r="S292">
        <v>3056</v>
      </c>
      <c r="T292">
        <v>2571</v>
      </c>
      <c r="U292" t="s">
        <v>21</v>
      </c>
    </row>
    <row r="293" spans="1:21">
      <c r="A293" t="str">
        <f t="shared" si="115"/>
        <v>06/11/2025</v>
      </c>
      <c r="B293" t="str">
        <f t="shared" si="107"/>
        <v>SAÍDA</v>
      </c>
      <c r="C293" t="str">
        <f t="shared" si="108"/>
        <v>BOLETO</v>
      </c>
      <c r="D293" t="str">
        <f t="shared" si="109"/>
        <v>06112025</v>
      </c>
      <c r="E293" t="str">
        <f t="shared" si="99"/>
        <v>COM</v>
      </c>
      <c r="F293" t="str">
        <f t="shared" si="110"/>
        <v>CORA SOCIEDADE DE CREDITO, FINANCIAMENTO E INVESTIMENTO (20035)</v>
      </c>
      <c r="G293" t="str">
        <f t="shared" si="111"/>
        <v>BOLETO CORA</v>
      </c>
      <c r="H293" t="str">
        <f t="shared" si="112"/>
        <v>06/11/2025</v>
      </c>
      <c r="I293" t="str">
        <f t="shared" si="112"/>
        <v>06/11/2025</v>
      </c>
      <c r="J293" t="str">
        <f t="shared" si="116"/>
        <v>06/11/2025</v>
      </c>
      <c r="M293">
        <v>401</v>
      </c>
      <c r="N293" t="str">
        <f t="shared" si="113"/>
        <v>IOF/JUROS/DESP.FINANCEIRA</v>
      </c>
      <c r="P293">
        <v>1.7</v>
      </c>
      <c r="Q293" t="str">
        <f>"CORA SOCIEDADE DE CREDITO, FINANCIAMENTO E INVESTIMENTO (20035)"</f>
        <v>CORA SOCIEDADE DE CREDITO, FINANCIAMENTO E INVESTIMENTO (20035)</v>
      </c>
      <c r="R293" t="str">
        <f t="shared" si="114"/>
        <v>BANCO CORA (102)</v>
      </c>
      <c r="S293">
        <v>3056</v>
      </c>
      <c r="T293">
        <v>2571</v>
      </c>
      <c r="U293" t="s">
        <v>21</v>
      </c>
    </row>
    <row r="294" spans="1:21">
      <c r="A294" t="str">
        <f t="shared" si="115"/>
        <v>06/11/2025</v>
      </c>
      <c r="B294" t="str">
        <f t="shared" si="107"/>
        <v>SAÍDA</v>
      </c>
      <c r="C294" t="str">
        <f>"PIX"</f>
        <v>PIX</v>
      </c>
      <c r="D294" t="str">
        <f t="shared" si="109"/>
        <v>06112025</v>
      </c>
      <c r="E294" t="str">
        <f t="shared" si="99"/>
        <v>COM</v>
      </c>
      <c r="F294" t="str">
        <f>"47.157.493 EDER DONIZETI GOMIDE (20096)"</f>
        <v>47.157.493 EDER DONIZETI GOMIDE (20096)</v>
      </c>
      <c r="G294" t="str">
        <f>"DESEPESAS DE VIAGEM PASSAGEM AREA PARA NATAL/RN"</f>
        <v>DESEPESAS DE VIAGEM PASSAGEM AREA PARA NATAL/RN</v>
      </c>
      <c r="H294" t="str">
        <f t="shared" si="112"/>
        <v>06/11/2025</v>
      </c>
      <c r="I294" t="str">
        <f t="shared" si="112"/>
        <v>06/11/2025</v>
      </c>
      <c r="J294" t="str">
        <f t="shared" si="116"/>
        <v>06/11/2025</v>
      </c>
      <c r="K294">
        <v>3527.9</v>
      </c>
      <c r="L294">
        <v>3527.9</v>
      </c>
      <c r="M294">
        <v>128</v>
      </c>
      <c r="N294" t="str">
        <f>"DESPESAS COM VIAGENS"</f>
        <v>DESPESAS COM VIAGENS</v>
      </c>
      <c r="O294">
        <v>3527.9</v>
      </c>
      <c r="R294" t="str">
        <f t="shared" si="114"/>
        <v>BANCO CORA (102)</v>
      </c>
      <c r="S294">
        <v>3194</v>
      </c>
      <c r="T294">
        <v>2776</v>
      </c>
      <c r="U294" t="s">
        <v>21</v>
      </c>
    </row>
    <row r="295" spans="1:21">
      <c r="A295" t="str">
        <f t="shared" si="115"/>
        <v>06/11/2025</v>
      </c>
      <c r="B295" t="str">
        <f t="shared" si="107"/>
        <v>SAÍDA</v>
      </c>
      <c r="C295" t="str">
        <f>"PIX"</f>
        <v>PIX</v>
      </c>
      <c r="D295" t="str">
        <f t="shared" si="109"/>
        <v>06112025</v>
      </c>
      <c r="E295" t="str">
        <f t="shared" si="99"/>
        <v>COM</v>
      </c>
      <c r="F295" t="str">
        <f>"47.157.493 EDER DONIZETI GOMIDE (20096)"</f>
        <v>47.157.493 EDER DONIZETI GOMIDE (20096)</v>
      </c>
      <c r="G295" t="str">
        <f>"DESEPESAS DE VIAGEM PASSAGEM AREA PARA NATAL/RN"</f>
        <v>DESEPESAS DE VIAGEM PASSAGEM AREA PARA NATAL/RN</v>
      </c>
      <c r="H295" t="str">
        <f t="shared" si="112"/>
        <v>06/11/2025</v>
      </c>
      <c r="I295" t="str">
        <f t="shared" si="112"/>
        <v>06/11/2025</v>
      </c>
      <c r="J295" t="str">
        <f t="shared" si="116"/>
        <v>06/11/2025</v>
      </c>
      <c r="M295">
        <v>128</v>
      </c>
      <c r="N295" t="str">
        <f>"DESPESAS COM VIAGENS"</f>
        <v>DESPESAS COM VIAGENS</v>
      </c>
      <c r="P295">
        <v>3527.9</v>
      </c>
      <c r="Q295" t="str">
        <f>"47.157.493 EDER DONIZETI GOMIDE (20096)"</f>
        <v>47.157.493 EDER DONIZETI GOMIDE (20096)</v>
      </c>
      <c r="R295" t="str">
        <f t="shared" si="114"/>
        <v>BANCO CORA (102)</v>
      </c>
      <c r="S295">
        <v>3194</v>
      </c>
      <c r="T295">
        <v>2776</v>
      </c>
      <c r="U295" t="s">
        <v>21</v>
      </c>
    </row>
    <row r="296" spans="1:21">
      <c r="A296" t="str">
        <f t="shared" si="115"/>
        <v>06/11/2025</v>
      </c>
      <c r="B296" t="str">
        <f t="shared" si="107"/>
        <v>SAÍDA</v>
      </c>
      <c r="C296" t="str">
        <f>"PIX"</f>
        <v>PIX</v>
      </c>
      <c r="D296" t="str">
        <f t="shared" si="109"/>
        <v>06112025</v>
      </c>
      <c r="E296" t="str">
        <f t="shared" si="99"/>
        <v>COM</v>
      </c>
      <c r="F296" t="str">
        <f>"VAROESTE COMERCIO DE ARTIGOS DE VESTUARIO LTDA (20116)"</f>
        <v>VAROESTE COMERCIO DE ARTIGOS DE VESTUARIO LTDA (20116)</v>
      </c>
      <c r="G296" t="str">
        <f>"CAMISETAS PARA EVENTO "</f>
        <v xml:space="preserve">CAMISETAS PARA EVENTO </v>
      </c>
      <c r="H296" t="str">
        <f t="shared" si="112"/>
        <v>06/11/2025</v>
      </c>
      <c r="I296" t="str">
        <f t="shared" si="112"/>
        <v>06/11/2025</v>
      </c>
      <c r="J296" t="str">
        <f t="shared" si="116"/>
        <v>06/11/2025</v>
      </c>
      <c r="K296">
        <v>639.91999999999996</v>
      </c>
      <c r="L296">
        <v>639.91999999999996</v>
      </c>
      <c r="M296">
        <v>129</v>
      </c>
      <c r="N296" t="str">
        <f>"DESPESAS COM EVENTOS"</f>
        <v>DESPESAS COM EVENTOS</v>
      </c>
      <c r="O296">
        <v>639.91999999999996</v>
      </c>
      <c r="R296" t="str">
        <f t="shared" si="114"/>
        <v>BANCO CORA (102)</v>
      </c>
      <c r="S296">
        <v>3195</v>
      </c>
      <c r="T296">
        <v>2777</v>
      </c>
      <c r="U296" t="s">
        <v>21</v>
      </c>
    </row>
    <row r="297" spans="1:21">
      <c r="A297" t="str">
        <f t="shared" si="115"/>
        <v>06/11/2025</v>
      </c>
      <c r="B297" t="str">
        <f t="shared" si="107"/>
        <v>SAÍDA</v>
      </c>
      <c r="C297" t="str">
        <f>"PIX"</f>
        <v>PIX</v>
      </c>
      <c r="D297" t="str">
        <f t="shared" si="109"/>
        <v>06112025</v>
      </c>
      <c r="E297" t="str">
        <f t="shared" si="99"/>
        <v>COM</v>
      </c>
      <c r="F297" t="str">
        <f>"VAROESTE COMERCIO DE ARTIGOS DE VESTUARIO LTDA (20116)"</f>
        <v>VAROESTE COMERCIO DE ARTIGOS DE VESTUARIO LTDA (20116)</v>
      </c>
      <c r="G297" t="str">
        <f>"CAMISETAS PARA EVENTO "</f>
        <v xml:space="preserve">CAMISETAS PARA EVENTO </v>
      </c>
      <c r="H297" t="str">
        <f t="shared" si="112"/>
        <v>06/11/2025</v>
      </c>
      <c r="I297" t="str">
        <f t="shared" si="112"/>
        <v>06/11/2025</v>
      </c>
      <c r="J297" t="str">
        <f t="shared" si="116"/>
        <v>06/11/2025</v>
      </c>
      <c r="M297">
        <v>129</v>
      </c>
      <c r="N297" t="str">
        <f>"DESPESAS COM EVENTOS"</f>
        <v>DESPESAS COM EVENTOS</v>
      </c>
      <c r="P297">
        <v>639.91999999999996</v>
      </c>
      <c r="Q297" t="str">
        <f>"VAROESTE COMERCIO DE ARTIGOS DE VESTUARIO LTDA (20116)"</f>
        <v>VAROESTE COMERCIO DE ARTIGOS DE VESTUARIO LTDA (20116)</v>
      </c>
      <c r="R297" t="str">
        <f t="shared" si="114"/>
        <v>BANCO CORA (102)</v>
      </c>
      <c r="S297">
        <v>3195</v>
      </c>
      <c r="T297">
        <v>2777</v>
      </c>
      <c r="U297" t="s">
        <v>21</v>
      </c>
    </row>
    <row r="298" spans="1:21">
      <c r="A298" t="str">
        <f t="shared" ref="A298:A309" si="117">("07/11/2025")</f>
        <v>07/11/2025</v>
      </c>
      <c r="B298" t="str">
        <f t="shared" ref="B298:B305" si="118">"ENTRADA"</f>
        <v>ENTRADA</v>
      </c>
      <c r="C298" t="str">
        <f t="shared" ref="C298:C305" si="119">"NFSE"</f>
        <v>NFSE</v>
      </c>
      <c r="D298" t="str">
        <f>"3745"</f>
        <v>3745</v>
      </c>
      <c r="E298" t="str">
        <f t="shared" si="99"/>
        <v>COM</v>
      </c>
      <c r="F298" t="str">
        <f>"DROGARIA VAZ (10179)"</f>
        <v>DROGARIA VAZ (10179)</v>
      </c>
      <c r="G298" t="str">
        <f>"Serv.Prest. 27/10/2025 a 02/11/2025 - RPS: 1508 - NFSe: 3745"</f>
        <v>Serv.Prest. 27/10/2025 a 02/11/2025 - RPS: 1508 - NFSe: 3745</v>
      </c>
      <c r="H298" t="str">
        <f>("05/11/2025")</f>
        <v>05/11/2025</v>
      </c>
      <c r="I298" t="str">
        <f t="shared" ref="I298:I305" si="120">("03/11/2025")</f>
        <v>03/11/2025</v>
      </c>
      <c r="J298" t="str">
        <f t="shared" ref="J298:J309" si="121">("07/11/2025")</f>
        <v>07/11/2025</v>
      </c>
      <c r="K298">
        <v>225.19</v>
      </c>
      <c r="L298">
        <v>229.84</v>
      </c>
      <c r="M298">
        <v>303</v>
      </c>
      <c r="N298" t="str">
        <f t="shared" ref="N298:N305" si="122">"RECEITAS COM ENTREGAS"</f>
        <v>RECEITAS COM ENTREGAS</v>
      </c>
      <c r="O298">
        <v>229.84</v>
      </c>
      <c r="R298" t="str">
        <f t="shared" ref="R298:R305" si="123">"RECEITAS COM ENTREGAS (303)"</f>
        <v>RECEITAS COM ENTREGAS (303)</v>
      </c>
      <c r="S298">
        <v>2996</v>
      </c>
      <c r="T298">
        <v>2440</v>
      </c>
      <c r="U298" t="s">
        <v>21</v>
      </c>
    </row>
    <row r="299" spans="1:21">
      <c r="A299" t="str">
        <f t="shared" si="117"/>
        <v>07/11/2025</v>
      </c>
      <c r="B299" t="str">
        <f t="shared" si="118"/>
        <v>ENTRADA</v>
      </c>
      <c r="C299" t="str">
        <f t="shared" si="119"/>
        <v>NFSE</v>
      </c>
      <c r="D299" t="str">
        <f>"3745"</f>
        <v>3745</v>
      </c>
      <c r="E299" t="str">
        <f t="shared" si="99"/>
        <v>COM</v>
      </c>
      <c r="F299" t="str">
        <f>"DROGARIA VAZ (10179)"</f>
        <v>DROGARIA VAZ (10179)</v>
      </c>
      <c r="G299" t="str">
        <f>"Serv.Prest. 27/10/2025 a 02/11/2025 - RPS: 1508 - NFSe: 3745"</f>
        <v>Serv.Prest. 27/10/2025 a 02/11/2025 - RPS: 1508 - NFSe: 3745</v>
      </c>
      <c r="H299" t="str">
        <f>("05/11/2025")</f>
        <v>05/11/2025</v>
      </c>
      <c r="I299" t="str">
        <f t="shared" si="120"/>
        <v>03/11/2025</v>
      </c>
      <c r="J299" t="str">
        <f t="shared" si="121"/>
        <v>07/11/2025</v>
      </c>
      <c r="M299">
        <v>303</v>
      </c>
      <c r="N299" t="str">
        <f t="shared" si="122"/>
        <v>RECEITAS COM ENTREGAS</v>
      </c>
      <c r="P299">
        <v>229.84</v>
      </c>
      <c r="Q299" t="str">
        <f>"DROGARIA VAZ (10179)"</f>
        <v>DROGARIA VAZ (10179)</v>
      </c>
      <c r="R299" t="str">
        <f t="shared" si="123"/>
        <v>RECEITAS COM ENTREGAS (303)</v>
      </c>
      <c r="S299">
        <v>2996</v>
      </c>
      <c r="T299">
        <v>2440</v>
      </c>
      <c r="U299" t="s">
        <v>21</v>
      </c>
    </row>
    <row r="300" spans="1:21">
      <c r="A300" t="str">
        <f t="shared" si="117"/>
        <v>07/11/2025</v>
      </c>
      <c r="B300" t="str">
        <f t="shared" si="118"/>
        <v>ENTRADA</v>
      </c>
      <c r="C300" t="str">
        <f t="shared" si="119"/>
        <v>NFSE</v>
      </c>
      <c r="D300" t="str">
        <f>"3740"</f>
        <v>3740</v>
      </c>
      <c r="E300" t="str">
        <f t="shared" si="99"/>
        <v>COM</v>
      </c>
      <c r="F300" t="str">
        <f>"DROGARIA POUPA MINAS (DOIS AMIGOS) 5 (10140)"</f>
        <v>DROGARIA POUPA MINAS (DOIS AMIGOS) 5 (10140)</v>
      </c>
      <c r="G300" t="str">
        <f>"Serv.Prest. 27/10/2025 a 02/11/2025 - RPS: 1503 - NFSe: 3740"</f>
        <v>Serv.Prest. 27/10/2025 a 02/11/2025 - RPS: 1503 - NFSe: 3740</v>
      </c>
      <c r="H300" t="str">
        <f t="shared" ref="H300:H305" si="124">("06/11/2025")</f>
        <v>06/11/2025</v>
      </c>
      <c r="I300" t="str">
        <f t="shared" si="120"/>
        <v>03/11/2025</v>
      </c>
      <c r="J300" t="str">
        <f t="shared" si="121"/>
        <v>07/11/2025</v>
      </c>
      <c r="K300">
        <v>817.02</v>
      </c>
      <c r="L300">
        <v>817.02</v>
      </c>
      <c r="M300">
        <v>303</v>
      </c>
      <c r="N300" t="str">
        <f t="shared" si="122"/>
        <v>RECEITAS COM ENTREGAS</v>
      </c>
      <c r="O300">
        <v>817.02</v>
      </c>
      <c r="R300" t="str">
        <f t="shared" si="123"/>
        <v>RECEITAS COM ENTREGAS (303)</v>
      </c>
      <c r="S300">
        <v>2997</v>
      </c>
      <c r="T300">
        <v>2433</v>
      </c>
      <c r="U300" t="s">
        <v>21</v>
      </c>
    </row>
    <row r="301" spans="1:21">
      <c r="A301" t="str">
        <f t="shared" si="117"/>
        <v>07/11/2025</v>
      </c>
      <c r="B301" t="str">
        <f t="shared" si="118"/>
        <v>ENTRADA</v>
      </c>
      <c r="C301" t="str">
        <f t="shared" si="119"/>
        <v>NFSE</v>
      </c>
      <c r="D301" t="str">
        <f>"3740"</f>
        <v>3740</v>
      </c>
      <c r="E301" t="str">
        <f t="shared" si="99"/>
        <v>COM</v>
      </c>
      <c r="F301" t="str">
        <f>"DROGARIA POUPA MINAS (DOIS AMIGOS) 5 (10140)"</f>
        <v>DROGARIA POUPA MINAS (DOIS AMIGOS) 5 (10140)</v>
      </c>
      <c r="G301" t="str">
        <f>"Serv.Prest. 27/10/2025 a 02/11/2025 - RPS: 1503 - NFSe: 3740"</f>
        <v>Serv.Prest. 27/10/2025 a 02/11/2025 - RPS: 1503 - NFSe: 3740</v>
      </c>
      <c r="H301" t="str">
        <f t="shared" si="124"/>
        <v>06/11/2025</v>
      </c>
      <c r="I301" t="str">
        <f t="shared" si="120"/>
        <v>03/11/2025</v>
      </c>
      <c r="J301" t="str">
        <f t="shared" si="121"/>
        <v>07/11/2025</v>
      </c>
      <c r="M301">
        <v>303</v>
      </c>
      <c r="N301" t="str">
        <f t="shared" si="122"/>
        <v>RECEITAS COM ENTREGAS</v>
      </c>
      <c r="P301">
        <v>817.02</v>
      </c>
      <c r="Q301" t="str">
        <f>"DROGARIA POUPA MINAS (ULTRAMINAS) 1 (10181)"</f>
        <v>DROGARIA POUPA MINAS (ULTRAMINAS) 1 (10181)</v>
      </c>
      <c r="R301" t="str">
        <f t="shared" si="123"/>
        <v>RECEITAS COM ENTREGAS (303)</v>
      </c>
      <c r="S301">
        <v>2997</v>
      </c>
      <c r="T301">
        <v>2433</v>
      </c>
      <c r="U301" t="s">
        <v>21</v>
      </c>
    </row>
    <row r="302" spans="1:21">
      <c r="A302" t="str">
        <f t="shared" si="117"/>
        <v>07/11/2025</v>
      </c>
      <c r="B302" t="str">
        <f t="shared" si="118"/>
        <v>ENTRADA</v>
      </c>
      <c r="C302" t="str">
        <f t="shared" si="119"/>
        <v>NFSE</v>
      </c>
      <c r="D302" t="str">
        <f>"3739"</f>
        <v>3739</v>
      </c>
      <c r="E302" t="str">
        <f t="shared" si="99"/>
        <v>COM</v>
      </c>
      <c r="F302" t="str">
        <f>"DROGARIA POUPA MINAS (ULTRAMINAS) 3 (10129)"</f>
        <v>DROGARIA POUPA MINAS (ULTRAMINAS) 3 (10129)</v>
      </c>
      <c r="G302" t="str">
        <f>"Serv.Prest. 27/10/2025 a 02/11/2025 - RPS: 1502 - NFSe: 3739"</f>
        <v>Serv.Prest. 27/10/2025 a 02/11/2025 - RPS: 1502 - NFSe: 3739</v>
      </c>
      <c r="H302" t="str">
        <f t="shared" si="124"/>
        <v>06/11/2025</v>
      </c>
      <c r="I302" t="str">
        <f t="shared" si="120"/>
        <v>03/11/2025</v>
      </c>
      <c r="J302" t="str">
        <f t="shared" si="121"/>
        <v>07/11/2025</v>
      </c>
      <c r="K302">
        <v>171.6</v>
      </c>
      <c r="L302">
        <v>171.6</v>
      </c>
      <c r="M302">
        <v>303</v>
      </c>
      <c r="N302" t="str">
        <f t="shared" si="122"/>
        <v>RECEITAS COM ENTREGAS</v>
      </c>
      <c r="O302">
        <v>171.6</v>
      </c>
      <c r="R302" t="str">
        <f t="shared" si="123"/>
        <v>RECEITAS COM ENTREGAS (303)</v>
      </c>
      <c r="S302">
        <v>2998</v>
      </c>
      <c r="T302">
        <v>2432</v>
      </c>
      <c r="U302" t="s">
        <v>21</v>
      </c>
    </row>
    <row r="303" spans="1:21">
      <c r="A303" t="str">
        <f t="shared" si="117"/>
        <v>07/11/2025</v>
      </c>
      <c r="B303" t="str">
        <f t="shared" si="118"/>
        <v>ENTRADA</v>
      </c>
      <c r="C303" t="str">
        <f t="shared" si="119"/>
        <v>NFSE</v>
      </c>
      <c r="D303" t="str">
        <f>"3739"</f>
        <v>3739</v>
      </c>
      <c r="E303" t="str">
        <f t="shared" si="99"/>
        <v>COM</v>
      </c>
      <c r="F303" t="str">
        <f>"DROGARIA POUPA MINAS (ULTRAMINAS) 3 (10129)"</f>
        <v>DROGARIA POUPA MINAS (ULTRAMINAS) 3 (10129)</v>
      </c>
      <c r="G303" t="str">
        <f>"Serv.Prest. 27/10/2025 a 02/11/2025 - RPS: 1502 - NFSe: 3739"</f>
        <v>Serv.Prest. 27/10/2025 a 02/11/2025 - RPS: 1502 - NFSe: 3739</v>
      </c>
      <c r="H303" t="str">
        <f t="shared" si="124"/>
        <v>06/11/2025</v>
      </c>
      <c r="I303" t="str">
        <f t="shared" si="120"/>
        <v>03/11/2025</v>
      </c>
      <c r="J303" t="str">
        <f t="shared" si="121"/>
        <v>07/11/2025</v>
      </c>
      <c r="M303">
        <v>303</v>
      </c>
      <c r="N303" t="str">
        <f t="shared" si="122"/>
        <v>RECEITAS COM ENTREGAS</v>
      </c>
      <c r="P303">
        <v>171.6</v>
      </c>
      <c r="Q303" t="str">
        <f>"DROGARIA POUPA MINAS (ULTRAMINAS) 3 (10129)"</f>
        <v>DROGARIA POUPA MINAS (ULTRAMINAS) 3 (10129)</v>
      </c>
      <c r="R303" t="str">
        <f t="shared" si="123"/>
        <v>RECEITAS COM ENTREGAS (303)</v>
      </c>
      <c r="S303">
        <v>2998</v>
      </c>
      <c r="T303">
        <v>2432</v>
      </c>
      <c r="U303" t="s">
        <v>21</v>
      </c>
    </row>
    <row r="304" spans="1:21">
      <c r="A304" t="str">
        <f t="shared" si="117"/>
        <v>07/11/2025</v>
      </c>
      <c r="B304" t="str">
        <f t="shared" si="118"/>
        <v>ENTRADA</v>
      </c>
      <c r="C304" t="str">
        <f t="shared" si="119"/>
        <v>NFSE</v>
      </c>
      <c r="D304" t="str">
        <f>"3743"</f>
        <v>3743</v>
      </c>
      <c r="E304" t="str">
        <f t="shared" si="99"/>
        <v>COM</v>
      </c>
      <c r="F304" t="str">
        <f>"DROGARIA POUPA MINAS (DOIS AMIGOS) 5 (10140)"</f>
        <v>DROGARIA POUPA MINAS (DOIS AMIGOS) 5 (10140)</v>
      </c>
      <c r="G304" t="str">
        <f>"Serv.Prest. 01/10/2025 a 31/10/2025 - RPS: 1506 - NFSe: 3743"</f>
        <v>Serv.Prest. 01/10/2025 a 31/10/2025 - RPS: 1506 - NFSe: 3743</v>
      </c>
      <c r="H304" t="str">
        <f t="shared" si="124"/>
        <v>06/11/2025</v>
      </c>
      <c r="I304" t="str">
        <f t="shared" si="120"/>
        <v>03/11/2025</v>
      </c>
      <c r="J304" t="str">
        <f t="shared" si="121"/>
        <v>07/11/2025</v>
      </c>
      <c r="K304">
        <v>797.89</v>
      </c>
      <c r="L304">
        <v>797.89</v>
      </c>
      <c r="M304">
        <v>303</v>
      </c>
      <c r="N304" t="str">
        <f t="shared" si="122"/>
        <v>RECEITAS COM ENTREGAS</v>
      </c>
      <c r="O304">
        <v>797.89</v>
      </c>
      <c r="R304" t="str">
        <f t="shared" si="123"/>
        <v>RECEITAS COM ENTREGAS (303)</v>
      </c>
      <c r="S304">
        <v>2999</v>
      </c>
      <c r="T304">
        <v>2438</v>
      </c>
      <c r="U304" t="s">
        <v>21</v>
      </c>
    </row>
    <row r="305" spans="1:21">
      <c r="A305" t="str">
        <f t="shared" si="117"/>
        <v>07/11/2025</v>
      </c>
      <c r="B305" t="str">
        <f t="shared" si="118"/>
        <v>ENTRADA</v>
      </c>
      <c r="C305" t="str">
        <f t="shared" si="119"/>
        <v>NFSE</v>
      </c>
      <c r="D305" t="str">
        <f>"3743"</f>
        <v>3743</v>
      </c>
      <c r="E305" t="str">
        <f t="shared" si="99"/>
        <v>COM</v>
      </c>
      <c r="F305" t="str">
        <f>"DROGARIA POUPA MINAS (DOIS AMIGOS) 5 (10140)"</f>
        <v>DROGARIA POUPA MINAS (DOIS AMIGOS) 5 (10140)</v>
      </c>
      <c r="G305" t="str">
        <f>"Serv.Prest. 01/10/2025 a 31/10/2025 - RPS: 1506 - NFSe: 3743"</f>
        <v>Serv.Prest. 01/10/2025 a 31/10/2025 - RPS: 1506 - NFSe: 3743</v>
      </c>
      <c r="H305" t="str">
        <f t="shared" si="124"/>
        <v>06/11/2025</v>
      </c>
      <c r="I305" t="str">
        <f t="shared" si="120"/>
        <v>03/11/2025</v>
      </c>
      <c r="J305" t="str">
        <f t="shared" si="121"/>
        <v>07/11/2025</v>
      </c>
      <c r="M305">
        <v>303</v>
      </c>
      <c r="N305" t="str">
        <f t="shared" si="122"/>
        <v>RECEITAS COM ENTREGAS</v>
      </c>
      <c r="P305">
        <v>797.89</v>
      </c>
      <c r="Q305" t="str">
        <f>"DROGARIA POUPA MINAS (ULTRAMINAS) 1 (10181)"</f>
        <v>DROGARIA POUPA MINAS (ULTRAMINAS) 1 (10181)</v>
      </c>
      <c r="R305" t="str">
        <f t="shared" si="123"/>
        <v>RECEITAS COM ENTREGAS (303)</v>
      </c>
      <c r="S305">
        <v>2999</v>
      </c>
      <c r="T305">
        <v>2438</v>
      </c>
      <c r="U305" t="s">
        <v>21</v>
      </c>
    </row>
    <row r="306" spans="1:21">
      <c r="A306" t="str">
        <f t="shared" si="117"/>
        <v>07/11/2025</v>
      </c>
      <c r="B306" t="str">
        <f t="shared" ref="B306:B313" si="125">"SAÍDA"</f>
        <v>SAÍDA</v>
      </c>
      <c r="C306" t="str">
        <f t="shared" ref="C306:C313" si="126">"BOLETO"</f>
        <v>BOLETO</v>
      </c>
      <c r="D306" t="str">
        <f>"01112025"</f>
        <v>01112025</v>
      </c>
      <c r="E306" t="str">
        <f t="shared" si="99"/>
        <v>COM</v>
      </c>
      <c r="F306" t="str">
        <f>"CORA SOCIEDADE DE CREDITO, FINANCIAMENTO E INVESTIMENTO (20035)"</f>
        <v>CORA SOCIEDADE DE CREDITO, FINANCIAMENTO E INVESTIMENTO (20035)</v>
      </c>
      <c r="G306" t="str">
        <f>"TAXA BOLETO CORA "</f>
        <v xml:space="preserve">TAXA BOLETO CORA </v>
      </c>
      <c r="H306" t="str">
        <f t="shared" ref="H306:I309" si="127">("07/11/2025")</f>
        <v>07/11/2025</v>
      </c>
      <c r="I306" t="str">
        <f t="shared" si="127"/>
        <v>07/11/2025</v>
      </c>
      <c r="J306" t="str">
        <f t="shared" si="121"/>
        <v>07/11/2025</v>
      </c>
      <c r="K306">
        <v>1.7</v>
      </c>
      <c r="L306">
        <v>1.7</v>
      </c>
      <c r="M306">
        <v>401</v>
      </c>
      <c r="N306" t="str">
        <f>"IOF/JUROS/DESP.FINANCEIRA"</f>
        <v>IOF/JUROS/DESP.FINANCEIRA</v>
      </c>
      <c r="O306">
        <v>1.7</v>
      </c>
      <c r="R306" t="str">
        <f t="shared" ref="R306:R313" si="128">"BANCO CORA (102)"</f>
        <v>BANCO CORA (102)</v>
      </c>
      <c r="S306">
        <v>3057</v>
      </c>
      <c r="T306">
        <v>2572</v>
      </c>
      <c r="U306" t="s">
        <v>21</v>
      </c>
    </row>
    <row r="307" spans="1:21">
      <c r="A307" t="str">
        <f t="shared" si="117"/>
        <v>07/11/2025</v>
      </c>
      <c r="B307" t="str">
        <f t="shared" si="125"/>
        <v>SAÍDA</v>
      </c>
      <c r="C307" t="str">
        <f t="shared" si="126"/>
        <v>BOLETO</v>
      </c>
      <c r="D307" t="str">
        <f>"01112025"</f>
        <v>01112025</v>
      </c>
      <c r="E307" t="str">
        <f t="shared" si="99"/>
        <v>COM</v>
      </c>
      <c r="F307" t="str">
        <f>"CORA SOCIEDADE DE CREDITO, FINANCIAMENTO E INVESTIMENTO (20035)"</f>
        <v>CORA SOCIEDADE DE CREDITO, FINANCIAMENTO E INVESTIMENTO (20035)</v>
      </c>
      <c r="G307" t="str">
        <f>"TAXA BOLETO CORA "</f>
        <v xml:space="preserve">TAXA BOLETO CORA </v>
      </c>
      <c r="H307" t="str">
        <f t="shared" si="127"/>
        <v>07/11/2025</v>
      </c>
      <c r="I307" t="str">
        <f t="shared" si="127"/>
        <v>07/11/2025</v>
      </c>
      <c r="J307" t="str">
        <f t="shared" si="121"/>
        <v>07/11/2025</v>
      </c>
      <c r="K307">
        <v>1.7</v>
      </c>
      <c r="L307">
        <v>1.7</v>
      </c>
      <c r="M307">
        <v>401</v>
      </c>
      <c r="N307" t="str">
        <f>"IOF/JUROS/DESP.FINANCEIRA"</f>
        <v>IOF/JUROS/DESP.FINANCEIRA</v>
      </c>
      <c r="O307">
        <v>1.7</v>
      </c>
      <c r="R307" t="str">
        <f t="shared" si="128"/>
        <v>BANCO CORA (102)</v>
      </c>
      <c r="S307">
        <v>3058</v>
      </c>
      <c r="T307">
        <v>2573</v>
      </c>
      <c r="U307" t="s">
        <v>21</v>
      </c>
    </row>
    <row r="308" spans="1:21">
      <c r="A308" t="str">
        <f t="shared" si="117"/>
        <v>07/11/2025</v>
      </c>
      <c r="B308" t="str">
        <f t="shared" si="125"/>
        <v>SAÍDA</v>
      </c>
      <c r="C308" t="str">
        <f t="shared" si="126"/>
        <v>BOLETO</v>
      </c>
      <c r="D308" t="str">
        <f>"01112025"</f>
        <v>01112025</v>
      </c>
      <c r="E308" t="str">
        <f t="shared" si="99"/>
        <v>COM</v>
      </c>
      <c r="F308" t="str">
        <f>"CORA SOCIEDADE DE CREDITO, FINANCIAMENTO E INVESTIMENTO (20035)"</f>
        <v>CORA SOCIEDADE DE CREDITO, FINANCIAMENTO E INVESTIMENTO (20035)</v>
      </c>
      <c r="G308" t="str">
        <f>"TAXA BOLETO CORA "</f>
        <v xml:space="preserve">TAXA BOLETO CORA </v>
      </c>
      <c r="H308" t="str">
        <f t="shared" si="127"/>
        <v>07/11/2025</v>
      </c>
      <c r="I308" t="str">
        <f t="shared" si="127"/>
        <v>07/11/2025</v>
      </c>
      <c r="J308" t="str">
        <f t="shared" si="121"/>
        <v>07/11/2025</v>
      </c>
      <c r="K308">
        <v>1.7</v>
      </c>
      <c r="L308">
        <v>1.7</v>
      </c>
      <c r="M308">
        <v>401</v>
      </c>
      <c r="N308" t="str">
        <f>"IOF/JUROS/DESP.FINANCEIRA"</f>
        <v>IOF/JUROS/DESP.FINANCEIRA</v>
      </c>
      <c r="O308">
        <v>1.7</v>
      </c>
      <c r="R308" t="str">
        <f t="shared" si="128"/>
        <v>BANCO CORA (102)</v>
      </c>
      <c r="S308">
        <v>3059</v>
      </c>
      <c r="T308">
        <v>2574</v>
      </c>
      <c r="U308" t="s">
        <v>21</v>
      </c>
    </row>
    <row r="309" spans="1:21">
      <c r="A309" t="str">
        <f t="shared" si="117"/>
        <v>07/11/2025</v>
      </c>
      <c r="B309" t="str">
        <f t="shared" si="125"/>
        <v>SAÍDA</v>
      </c>
      <c r="C309" t="str">
        <f t="shared" si="126"/>
        <v>BOLETO</v>
      </c>
      <c r="D309" t="str">
        <f>"01112025"</f>
        <v>01112025</v>
      </c>
      <c r="E309" t="str">
        <f t="shared" si="99"/>
        <v>COM</v>
      </c>
      <c r="F309" t="str">
        <f>"CORA SOCIEDADE DE CREDITO, FINANCIAMENTO E INVESTIMENTO (20035)"</f>
        <v>CORA SOCIEDADE DE CREDITO, FINANCIAMENTO E INVESTIMENTO (20035)</v>
      </c>
      <c r="G309" t="str">
        <f>"TAXA BOLETO CORA "</f>
        <v xml:space="preserve">TAXA BOLETO CORA </v>
      </c>
      <c r="H309" t="str">
        <f t="shared" si="127"/>
        <v>07/11/2025</v>
      </c>
      <c r="I309" t="str">
        <f t="shared" si="127"/>
        <v>07/11/2025</v>
      </c>
      <c r="J309" t="str">
        <f t="shared" si="121"/>
        <v>07/11/2025</v>
      </c>
      <c r="K309">
        <v>0.5</v>
      </c>
      <c r="L309">
        <v>0.5</v>
      </c>
      <c r="M309">
        <v>401</v>
      </c>
      <c r="N309" t="str">
        <f>"IOF/JUROS/DESP.FINANCEIRA"</f>
        <v>IOF/JUROS/DESP.FINANCEIRA</v>
      </c>
      <c r="O309">
        <v>0.5</v>
      </c>
      <c r="R309" t="str">
        <f t="shared" si="128"/>
        <v>BANCO CORA (102)</v>
      </c>
      <c r="S309">
        <v>3060</v>
      </c>
      <c r="T309">
        <v>2575</v>
      </c>
      <c r="U309" t="s">
        <v>21</v>
      </c>
    </row>
    <row r="310" spans="1:21">
      <c r="A310" t="str">
        <f>("10/11/2025")</f>
        <v>10/11/2025</v>
      </c>
      <c r="B310" t="str">
        <f t="shared" si="125"/>
        <v>SAÍDA</v>
      </c>
      <c r="C310" t="str">
        <f t="shared" si="126"/>
        <v>BOLETO</v>
      </c>
      <c r="D310" t="str">
        <f>"10742076"</f>
        <v>10742076</v>
      </c>
      <c r="E310" t="str">
        <f t="shared" si="99"/>
        <v>COM</v>
      </c>
      <c r="F310" t="str">
        <f>"UNIODONTO REGIONAL COOPERATIVA ODONTOLOGICA LTDA. (20024)"</f>
        <v>UNIODONTO REGIONAL COOPERATIVA ODONTOLOGICA LTDA. (20024)</v>
      </c>
      <c r="G310" t="str">
        <f>"PLANO ODONTOLOGICO 10/2025"</f>
        <v>PLANO ODONTOLOGICO 10/2025</v>
      </c>
      <c r="H310" t="str">
        <f>("10/11/2025")</f>
        <v>10/11/2025</v>
      </c>
      <c r="I310" t="str">
        <f>("16/10/2025")</f>
        <v>16/10/2025</v>
      </c>
      <c r="J310" t="str">
        <f>("10/11/2025")</f>
        <v>10/11/2025</v>
      </c>
      <c r="K310">
        <v>1513.09</v>
      </c>
      <c r="L310">
        <v>1513.09</v>
      </c>
      <c r="M310">
        <v>192</v>
      </c>
      <c r="N310" t="str">
        <f>"PLANOS E SEGUROS"</f>
        <v>PLANOS E SEGUROS</v>
      </c>
      <c r="O310">
        <v>1513.09</v>
      </c>
      <c r="R310" t="str">
        <f t="shared" si="128"/>
        <v>BANCO CORA (102)</v>
      </c>
      <c r="S310">
        <v>2994</v>
      </c>
      <c r="T310">
        <v>845</v>
      </c>
      <c r="U310" t="s">
        <v>21</v>
      </c>
    </row>
    <row r="311" spans="1:21">
      <c r="A311" t="str">
        <f>("10/11/2025")</f>
        <v>10/11/2025</v>
      </c>
      <c r="B311" t="str">
        <f t="shared" si="125"/>
        <v>SAÍDA</v>
      </c>
      <c r="C311" t="str">
        <f t="shared" si="126"/>
        <v>BOLETO</v>
      </c>
      <c r="D311" t="str">
        <f>"10742076"</f>
        <v>10742076</v>
      </c>
      <c r="E311" t="str">
        <f t="shared" si="99"/>
        <v>COM</v>
      </c>
      <c r="F311" t="str">
        <f>"UNIODONTO REGIONAL COOPERATIVA ODONTOLOGICA LTDA. (20024)"</f>
        <v>UNIODONTO REGIONAL COOPERATIVA ODONTOLOGICA LTDA. (20024)</v>
      </c>
      <c r="G311" t="str">
        <f>"PLANO ODONTOLOGICO 10/2025"</f>
        <v>PLANO ODONTOLOGICO 10/2025</v>
      </c>
      <c r="H311" t="str">
        <f>("10/11/2025")</f>
        <v>10/11/2025</v>
      </c>
      <c r="I311" t="str">
        <f>("16/10/2025")</f>
        <v>16/10/2025</v>
      </c>
      <c r="J311" t="str">
        <f>("10/11/2025")</f>
        <v>10/11/2025</v>
      </c>
      <c r="M311">
        <v>192</v>
      </c>
      <c r="N311" t="str">
        <f>"PLANOS E SEGUROS"</f>
        <v>PLANOS E SEGUROS</v>
      </c>
      <c r="P311">
        <v>1513.09</v>
      </c>
      <c r="Q311" t="str">
        <f>"UNIODONTO REGIONAL COOPERATIVA ODONTOLOGICA LTDA. (20024)"</f>
        <v>UNIODONTO REGIONAL COOPERATIVA ODONTOLOGICA LTDA. (20024)</v>
      </c>
      <c r="R311" t="str">
        <f t="shared" si="128"/>
        <v>BANCO CORA (102)</v>
      </c>
      <c r="S311">
        <v>2994</v>
      </c>
      <c r="T311">
        <v>845</v>
      </c>
      <c r="U311" t="s">
        <v>21</v>
      </c>
    </row>
    <row r="312" spans="1:21">
      <c r="A312" t="str">
        <f>("10/11/2025")</f>
        <v>10/11/2025</v>
      </c>
      <c r="B312" t="str">
        <f t="shared" si="125"/>
        <v>SAÍDA</v>
      </c>
      <c r="C312" t="str">
        <f t="shared" si="126"/>
        <v>BOLETO</v>
      </c>
      <c r="D312" t="str">
        <f>"0901"</f>
        <v>0901</v>
      </c>
      <c r="E312" t="str">
        <f t="shared" si="99"/>
        <v>COM</v>
      </c>
      <c r="F312" t="str">
        <f>"CORA SOCIEDADE DE CREDITO, FINANCIAMENTO E INVESTIMENTO (20035)"</f>
        <v>CORA SOCIEDADE DE CREDITO, FINANCIAMENTO E INVESTIMENTO (20035)</v>
      </c>
      <c r="G312" t="str">
        <f>"DESPESAS COM TARIFAS BANCARIAS"</f>
        <v>DESPESAS COM TARIFAS BANCARIAS</v>
      </c>
      <c r="H312" t="str">
        <f>("09/11/2025")</f>
        <v>09/11/2025</v>
      </c>
      <c r="I312" t="str">
        <f>("01/01/2025")</f>
        <v>01/01/2025</v>
      </c>
      <c r="J312" t="str">
        <f>("10/11/2025")</f>
        <v>10/11/2025</v>
      </c>
      <c r="K312">
        <v>44.9</v>
      </c>
      <c r="L312">
        <v>44.9</v>
      </c>
      <c r="M312">
        <v>401</v>
      </c>
      <c r="N312" t="str">
        <f>"IOF/JUROS/DESP.FINANCEIRA"</f>
        <v>IOF/JUROS/DESP.FINANCEIRA</v>
      </c>
      <c r="O312">
        <v>44.9</v>
      </c>
      <c r="R312" t="str">
        <f t="shared" si="128"/>
        <v>BANCO CORA (102)</v>
      </c>
      <c r="S312">
        <v>2995</v>
      </c>
      <c r="T312">
        <v>753</v>
      </c>
      <c r="U312" t="s">
        <v>21</v>
      </c>
    </row>
    <row r="313" spans="1:21">
      <c r="A313" t="str">
        <f>("10/11/2025")</f>
        <v>10/11/2025</v>
      </c>
      <c r="B313" t="str">
        <f t="shared" si="125"/>
        <v>SAÍDA</v>
      </c>
      <c r="C313" t="str">
        <f t="shared" si="126"/>
        <v>BOLETO</v>
      </c>
      <c r="D313" t="str">
        <f>"0901"</f>
        <v>0901</v>
      </c>
      <c r="E313" t="str">
        <f t="shared" si="99"/>
        <v>COM</v>
      </c>
      <c r="F313" t="str">
        <f>"CORA SOCIEDADE DE CREDITO, FINANCIAMENTO E INVESTIMENTO (20035)"</f>
        <v>CORA SOCIEDADE DE CREDITO, FINANCIAMENTO E INVESTIMENTO (20035)</v>
      </c>
      <c r="G313" t="str">
        <f>"DESPESAS COM TARIFAS BANCARIAS"</f>
        <v>DESPESAS COM TARIFAS BANCARIAS</v>
      </c>
      <c r="H313" t="str">
        <f>("09/11/2025")</f>
        <v>09/11/2025</v>
      </c>
      <c r="I313" t="str">
        <f>("01/01/2025")</f>
        <v>01/01/2025</v>
      </c>
      <c r="J313" t="str">
        <f>("10/11/2025")</f>
        <v>10/11/2025</v>
      </c>
      <c r="M313">
        <v>401</v>
      </c>
      <c r="N313" t="str">
        <f>"IOF/JUROS/DESP.FINANCEIRA"</f>
        <v>IOF/JUROS/DESP.FINANCEIRA</v>
      </c>
      <c r="P313">
        <v>44.9</v>
      </c>
      <c r="Q313" t="str">
        <f>"CORA SOCIEDADE DE CREDITO, FINANCIAMENTO E INVESTIMENTO (20035)"</f>
        <v>CORA SOCIEDADE DE CREDITO, FINANCIAMENTO E INVESTIMENTO (20035)</v>
      </c>
      <c r="R313" t="str">
        <f t="shared" si="128"/>
        <v>BANCO CORA (102)</v>
      </c>
      <c r="S313">
        <v>2995</v>
      </c>
      <c r="T313">
        <v>753</v>
      </c>
      <c r="U313" t="s">
        <v>21</v>
      </c>
    </row>
    <row r="314" spans="1:21">
      <c r="A314" t="str">
        <f t="shared" ref="A314:A319" si="129">("11/11/2025")</f>
        <v>11/11/2025</v>
      </c>
      <c r="B314" t="str">
        <f>"ENTRADA"</f>
        <v>ENTRADA</v>
      </c>
      <c r="C314" t="str">
        <f>"NFSE"</f>
        <v>NFSE</v>
      </c>
      <c r="D314" t="str">
        <f>"3669"</f>
        <v>3669</v>
      </c>
      <c r="E314" t="str">
        <f t="shared" si="99"/>
        <v>COM</v>
      </c>
      <c r="F314" t="str">
        <f>"PAGMENOS - LJ 608 (10135)"</f>
        <v>PAGMENOS - LJ 608 (10135)</v>
      </c>
      <c r="G314" t="str">
        <f>"Serv.Prest. 20/10/2025 a 26/10/2025 - RPS: 1433 - NFSe: 3669"</f>
        <v>Serv.Prest. 20/10/2025 a 26/10/2025 - RPS: 1433 - NFSe: 3669</v>
      </c>
      <c r="H314" t="str">
        <f>("06/11/2025")</f>
        <v>06/11/2025</v>
      </c>
      <c r="I314" t="str">
        <f>("27/10/2025")</f>
        <v>27/10/2025</v>
      </c>
      <c r="J314" t="str">
        <f t="shared" ref="J314:J319" si="130">("11/11/2025")</f>
        <v>11/11/2025</v>
      </c>
      <c r="K314">
        <v>220.25</v>
      </c>
      <c r="L314">
        <v>220.25</v>
      </c>
      <c r="M314">
        <v>303</v>
      </c>
      <c r="N314" t="str">
        <f>"RECEITAS COM ENTREGAS"</f>
        <v>RECEITAS COM ENTREGAS</v>
      </c>
      <c r="O314">
        <v>220.25</v>
      </c>
      <c r="R314" t="str">
        <f>"RECEITAS COM ENTREGAS (303)"</f>
        <v>RECEITAS COM ENTREGAS (303)</v>
      </c>
      <c r="S314">
        <v>3196</v>
      </c>
      <c r="T314">
        <v>2355</v>
      </c>
      <c r="U314" t="s">
        <v>21</v>
      </c>
    </row>
    <row r="315" spans="1:21">
      <c r="A315" t="str">
        <f t="shared" si="129"/>
        <v>11/11/2025</v>
      </c>
      <c r="B315" t="str">
        <f>"ENTRADA"</f>
        <v>ENTRADA</v>
      </c>
      <c r="C315" t="str">
        <f>"NFSE"</f>
        <v>NFSE</v>
      </c>
      <c r="D315" t="str">
        <f>"3669"</f>
        <v>3669</v>
      </c>
      <c r="E315" t="str">
        <f t="shared" si="99"/>
        <v>COM</v>
      </c>
      <c r="F315" t="str">
        <f>"PAGMENOS - LJ 608 (10135)"</f>
        <v>PAGMENOS - LJ 608 (10135)</v>
      </c>
      <c r="G315" t="str">
        <f>"Serv.Prest. 20/10/2025 a 26/10/2025 - RPS: 1433 - NFSe: 3669"</f>
        <v>Serv.Prest. 20/10/2025 a 26/10/2025 - RPS: 1433 - NFSe: 3669</v>
      </c>
      <c r="H315" t="str">
        <f>("06/11/2025")</f>
        <v>06/11/2025</v>
      </c>
      <c r="I315" t="str">
        <f>("27/10/2025")</f>
        <v>27/10/2025</v>
      </c>
      <c r="J315" t="str">
        <f t="shared" si="130"/>
        <v>11/11/2025</v>
      </c>
      <c r="M315">
        <v>303</v>
      </c>
      <c r="N315" t="str">
        <f>"RECEITAS COM ENTREGAS"</f>
        <v>RECEITAS COM ENTREGAS</v>
      </c>
      <c r="P315">
        <v>220.25</v>
      </c>
      <c r="Q315" t="str">
        <f>"PAGMENOS - LJ 608 (10135)"</f>
        <v>PAGMENOS - LJ 608 (10135)</v>
      </c>
      <c r="R315" t="str">
        <f>"RECEITAS COM ENTREGAS (303)"</f>
        <v>RECEITAS COM ENTREGAS (303)</v>
      </c>
      <c r="S315">
        <v>3196</v>
      </c>
      <c r="T315">
        <v>2355</v>
      </c>
      <c r="U315" t="s">
        <v>21</v>
      </c>
    </row>
    <row r="316" spans="1:21">
      <c r="A316" t="str">
        <f t="shared" si="129"/>
        <v>11/11/2025</v>
      </c>
      <c r="B316" t="str">
        <f>"ENTRADA"</f>
        <v>ENTRADA</v>
      </c>
      <c r="C316" t="str">
        <f>"NFSE"</f>
        <v>NFSE</v>
      </c>
      <c r="D316" t="str">
        <f>"3670"</f>
        <v>3670</v>
      </c>
      <c r="E316" t="str">
        <f t="shared" si="99"/>
        <v>COM</v>
      </c>
      <c r="F316" t="str">
        <f>"PAGMENOS - LJ 657 (10136)"</f>
        <v>PAGMENOS - LJ 657 (10136)</v>
      </c>
      <c r="G316" t="str">
        <f>"Serv.Prest. 20/10/2025 a 26/10/2025 - RPS: 1434 - NFSe: 3670"</f>
        <v>Serv.Prest. 20/10/2025 a 26/10/2025 - RPS: 1434 - NFSe: 3670</v>
      </c>
      <c r="H316" t="str">
        <f>("06/11/2025")</f>
        <v>06/11/2025</v>
      </c>
      <c r="I316" t="str">
        <f>("27/10/2025")</f>
        <v>27/10/2025</v>
      </c>
      <c r="J316" t="str">
        <f t="shared" si="130"/>
        <v>11/11/2025</v>
      </c>
      <c r="K316">
        <v>550.62</v>
      </c>
      <c r="L316">
        <v>550.62</v>
      </c>
      <c r="M316">
        <v>303</v>
      </c>
      <c r="N316" t="str">
        <f>"RECEITAS COM ENTREGAS"</f>
        <v>RECEITAS COM ENTREGAS</v>
      </c>
      <c r="O316">
        <v>550.62</v>
      </c>
      <c r="R316" t="str">
        <f>"RECEITAS COM ENTREGAS (303)"</f>
        <v>RECEITAS COM ENTREGAS (303)</v>
      </c>
      <c r="S316">
        <v>3197</v>
      </c>
      <c r="T316">
        <v>2356</v>
      </c>
      <c r="U316" t="s">
        <v>21</v>
      </c>
    </row>
    <row r="317" spans="1:21">
      <c r="A317" t="str">
        <f t="shared" si="129"/>
        <v>11/11/2025</v>
      </c>
      <c r="B317" t="str">
        <f>"ENTRADA"</f>
        <v>ENTRADA</v>
      </c>
      <c r="C317" t="str">
        <f>"NFSE"</f>
        <v>NFSE</v>
      </c>
      <c r="D317" t="str">
        <f>"3670"</f>
        <v>3670</v>
      </c>
      <c r="E317" t="str">
        <f t="shared" si="99"/>
        <v>COM</v>
      </c>
      <c r="F317" t="str">
        <f>"PAGMENOS - LJ 657 (10136)"</f>
        <v>PAGMENOS - LJ 657 (10136)</v>
      </c>
      <c r="G317" t="str">
        <f>"Serv.Prest. 20/10/2025 a 26/10/2025 - RPS: 1434 - NFSe: 3670"</f>
        <v>Serv.Prest. 20/10/2025 a 26/10/2025 - RPS: 1434 - NFSe: 3670</v>
      </c>
      <c r="H317" t="str">
        <f>("06/11/2025")</f>
        <v>06/11/2025</v>
      </c>
      <c r="I317" t="str">
        <f>("27/10/2025")</f>
        <v>27/10/2025</v>
      </c>
      <c r="J317" t="str">
        <f t="shared" si="130"/>
        <v>11/11/2025</v>
      </c>
      <c r="M317">
        <v>303</v>
      </c>
      <c r="N317" t="str">
        <f>"RECEITAS COM ENTREGAS"</f>
        <v>RECEITAS COM ENTREGAS</v>
      </c>
      <c r="P317">
        <v>550.62</v>
      </c>
      <c r="Q317" t="str">
        <f>"PAGMENOS - LJ 657 (10136)"</f>
        <v>PAGMENOS - LJ 657 (10136)</v>
      </c>
      <c r="R317" t="str">
        <f>"RECEITAS COM ENTREGAS (303)"</f>
        <v>RECEITAS COM ENTREGAS (303)</v>
      </c>
      <c r="S317">
        <v>3197</v>
      </c>
      <c r="T317">
        <v>2356</v>
      </c>
      <c r="U317" t="s">
        <v>21</v>
      </c>
    </row>
    <row r="318" spans="1:21">
      <c r="A318" t="str">
        <f t="shared" si="129"/>
        <v>11/11/2025</v>
      </c>
      <c r="B318" t="str">
        <f>"SAÍDA"</f>
        <v>SAÍDA</v>
      </c>
      <c r="C318" t="str">
        <f>"BOLETO"</f>
        <v>BOLETO</v>
      </c>
      <c r="D318" t="str">
        <f>"002458966"</f>
        <v>002458966</v>
      </c>
      <c r="E318" t="str">
        <f t="shared" ref="E318:E381" si="131">"COM"</f>
        <v>COM</v>
      </c>
      <c r="F318" t="str">
        <f>"VIKINGS DIGITAL LTDA (20124)"</f>
        <v>VIKINGS DIGITAL LTDA (20124)</v>
      </c>
      <c r="G318" t="str">
        <f>"COMPUTADOR TANIA "</f>
        <v xml:space="preserve">COMPUTADOR TANIA </v>
      </c>
      <c r="H318" t="str">
        <f>("12/11/2025")</f>
        <v>12/11/2025</v>
      </c>
      <c r="I318" t="str">
        <f>("12/11/2025")</f>
        <v>12/11/2025</v>
      </c>
      <c r="J318" t="str">
        <f t="shared" si="130"/>
        <v>11/11/2025</v>
      </c>
      <c r="K318">
        <v>2191.3000000000002</v>
      </c>
      <c r="L318">
        <v>2191.3000000000002</v>
      </c>
      <c r="M318">
        <v>130</v>
      </c>
      <c r="N318" t="str">
        <f>"EQUIPAMENTOS DE INFORMATICA"</f>
        <v>EQUIPAMENTOS DE INFORMATICA</v>
      </c>
      <c r="O318">
        <v>2191.3000000000002</v>
      </c>
      <c r="R318" t="str">
        <f>"BANCO CORA (102)"</f>
        <v>BANCO CORA (102)</v>
      </c>
      <c r="S318">
        <v>3199</v>
      </c>
      <c r="T318">
        <v>2778</v>
      </c>
      <c r="U318" t="s">
        <v>21</v>
      </c>
    </row>
    <row r="319" spans="1:21">
      <c r="A319" t="str">
        <f t="shared" si="129"/>
        <v>11/11/2025</v>
      </c>
      <c r="B319" t="str">
        <f>"SAÍDA"</f>
        <v>SAÍDA</v>
      </c>
      <c r="C319" t="str">
        <f>"BOLETO"</f>
        <v>BOLETO</v>
      </c>
      <c r="D319" t="str">
        <f>"002458966"</f>
        <v>002458966</v>
      </c>
      <c r="E319" t="str">
        <f t="shared" si="131"/>
        <v>COM</v>
      </c>
      <c r="F319" t="str">
        <f>"VIKINGS DIGITAL LTDA (20124)"</f>
        <v>VIKINGS DIGITAL LTDA (20124)</v>
      </c>
      <c r="G319" t="str">
        <f>"COMPUTADOR TANIA "</f>
        <v xml:space="preserve">COMPUTADOR TANIA </v>
      </c>
      <c r="H319" t="str">
        <f>("12/11/2025")</f>
        <v>12/11/2025</v>
      </c>
      <c r="I319" t="str">
        <f>("12/11/2025")</f>
        <v>12/11/2025</v>
      </c>
      <c r="J319" t="str">
        <f t="shared" si="130"/>
        <v>11/11/2025</v>
      </c>
      <c r="M319">
        <v>130</v>
      </c>
      <c r="N319" t="str">
        <f>"EQUIPAMENTOS DE INFORMATICA"</f>
        <v>EQUIPAMENTOS DE INFORMATICA</v>
      </c>
      <c r="P319">
        <v>2191.3000000000002</v>
      </c>
      <c r="Q319" t="str">
        <f>"VIKINGS DIGITAL LTDA (20124)"</f>
        <v>VIKINGS DIGITAL LTDA (20124)</v>
      </c>
      <c r="R319" t="str">
        <f>"BANCO CORA (102)"</f>
        <v>BANCO CORA (102)</v>
      </c>
      <c r="S319">
        <v>3199</v>
      </c>
      <c r="T319">
        <v>2778</v>
      </c>
      <c r="U319" t="s">
        <v>21</v>
      </c>
    </row>
    <row r="320" spans="1:21">
      <c r="A320" t="str">
        <f t="shared" ref="A320:A351" si="132">("12/11/2025")</f>
        <v>12/11/2025</v>
      </c>
      <c r="B320" t="str">
        <f t="shared" ref="B320:B351" si="133">"ENTRADA"</f>
        <v>ENTRADA</v>
      </c>
      <c r="C320" t="str">
        <f t="shared" ref="C320:C351" si="134">"NFSE"</f>
        <v>NFSE</v>
      </c>
      <c r="D320" t="str">
        <f>"3793"</f>
        <v>3793</v>
      </c>
      <c r="E320" t="str">
        <f t="shared" si="131"/>
        <v>COM</v>
      </c>
      <c r="F320" t="str">
        <f>"DROGARIA TOTAL JUNDIAI (10177)"</f>
        <v>DROGARIA TOTAL JUNDIAI (10177)</v>
      </c>
      <c r="G320" t="str">
        <f>"Serv.Prest. 03/11/2025 a 09/11/2025 - RPS: 1556 - NFSe: 3793"</f>
        <v>Serv.Prest. 03/11/2025 a 09/11/2025 - RPS: 1556 - NFSe: 3793</v>
      </c>
      <c r="H320" t="str">
        <f t="shared" ref="H320:H334" si="135">("12/11/2025")</f>
        <v>12/11/2025</v>
      </c>
      <c r="I320" t="str">
        <f t="shared" ref="I320:I334" si="136">("10/11/2025")</f>
        <v>10/11/2025</v>
      </c>
      <c r="J320" t="str">
        <f t="shared" ref="J320:J351" si="137">("12/11/2025")</f>
        <v>12/11/2025</v>
      </c>
      <c r="K320">
        <v>100.27</v>
      </c>
      <c r="L320">
        <v>100.27</v>
      </c>
      <c r="M320">
        <v>303</v>
      </c>
      <c r="N320" t="str">
        <f t="shared" ref="N320:N351" si="138">"RECEITAS COM ENTREGAS"</f>
        <v>RECEITAS COM ENTREGAS</v>
      </c>
      <c r="O320">
        <v>100.27</v>
      </c>
      <c r="R320" t="str">
        <f t="shared" ref="R320:R351" si="139">"RECEITAS COM ENTREGAS (303)"</f>
        <v>RECEITAS COM ENTREGAS (303)</v>
      </c>
      <c r="S320">
        <v>2981</v>
      </c>
      <c r="T320">
        <v>2502</v>
      </c>
      <c r="U320" t="s">
        <v>21</v>
      </c>
    </row>
    <row r="321" spans="1:21">
      <c r="A321" t="str">
        <f t="shared" si="132"/>
        <v>12/11/2025</v>
      </c>
      <c r="B321" t="str">
        <f t="shared" si="133"/>
        <v>ENTRADA</v>
      </c>
      <c r="C321" t="str">
        <f t="shared" si="134"/>
        <v>NFSE</v>
      </c>
      <c r="D321" t="str">
        <f>"3793"</f>
        <v>3793</v>
      </c>
      <c r="E321" t="str">
        <f t="shared" si="131"/>
        <v>COM</v>
      </c>
      <c r="F321" t="str">
        <f>"DROGARIA TOTAL JUNDIAI (10177)"</f>
        <v>DROGARIA TOTAL JUNDIAI (10177)</v>
      </c>
      <c r="G321" t="str">
        <f>"Serv.Prest. 03/11/2025 a 09/11/2025 - RPS: 1556 - NFSe: 3793"</f>
        <v>Serv.Prest. 03/11/2025 a 09/11/2025 - RPS: 1556 - NFSe: 3793</v>
      </c>
      <c r="H321" t="str">
        <f t="shared" si="135"/>
        <v>12/11/2025</v>
      </c>
      <c r="I321" t="str">
        <f t="shared" si="136"/>
        <v>10/11/2025</v>
      </c>
      <c r="J321" t="str">
        <f t="shared" si="137"/>
        <v>12/11/2025</v>
      </c>
      <c r="M321">
        <v>303</v>
      </c>
      <c r="N321" t="str">
        <f t="shared" si="138"/>
        <v>RECEITAS COM ENTREGAS</v>
      </c>
      <c r="P321">
        <v>100.27</v>
      </c>
      <c r="Q321" t="str">
        <f>"DROGARIA TOTAL JUNDIAI (10177)"</f>
        <v>DROGARIA TOTAL JUNDIAI (10177)</v>
      </c>
      <c r="R321" t="str">
        <f t="shared" si="139"/>
        <v>RECEITAS COM ENTREGAS (303)</v>
      </c>
      <c r="S321">
        <v>2981</v>
      </c>
      <c r="T321">
        <v>2502</v>
      </c>
      <c r="U321" t="s">
        <v>21</v>
      </c>
    </row>
    <row r="322" spans="1:21">
      <c r="A322" t="str">
        <f t="shared" si="132"/>
        <v>12/11/2025</v>
      </c>
      <c r="B322" t="str">
        <f t="shared" si="133"/>
        <v>ENTRADA</v>
      </c>
      <c r="C322" t="str">
        <f t="shared" si="134"/>
        <v>NFSE</v>
      </c>
      <c r="D322" t="str">
        <f>"3789"</f>
        <v>3789</v>
      </c>
      <c r="E322" t="str">
        <f t="shared" si="131"/>
        <v>COM</v>
      </c>
      <c r="F322" t="str">
        <f>"FRAN FARMA (10124)"</f>
        <v>FRAN FARMA (10124)</v>
      </c>
      <c r="G322" t="str">
        <f>"Serv.Prest. 03/11/2025 a 09/11/2025 - RPS: 1552 - NFSe: 3789"</f>
        <v>Serv.Prest. 03/11/2025 a 09/11/2025 - RPS: 1552 - NFSe: 3789</v>
      </c>
      <c r="H322" t="str">
        <f t="shared" si="135"/>
        <v>12/11/2025</v>
      </c>
      <c r="I322" t="str">
        <f t="shared" si="136"/>
        <v>10/11/2025</v>
      </c>
      <c r="J322" t="str">
        <f t="shared" si="137"/>
        <v>12/11/2025</v>
      </c>
      <c r="K322">
        <v>160</v>
      </c>
      <c r="L322">
        <v>160</v>
      </c>
      <c r="M322">
        <v>303</v>
      </c>
      <c r="N322" t="str">
        <f t="shared" si="138"/>
        <v>RECEITAS COM ENTREGAS</v>
      </c>
      <c r="O322">
        <v>160</v>
      </c>
      <c r="R322" t="str">
        <f t="shared" si="139"/>
        <v>RECEITAS COM ENTREGAS (303)</v>
      </c>
      <c r="S322">
        <v>2983</v>
      </c>
      <c r="T322">
        <v>2498</v>
      </c>
      <c r="U322" t="s">
        <v>21</v>
      </c>
    </row>
    <row r="323" spans="1:21">
      <c r="A323" t="str">
        <f t="shared" si="132"/>
        <v>12/11/2025</v>
      </c>
      <c r="B323" t="str">
        <f t="shared" si="133"/>
        <v>ENTRADA</v>
      </c>
      <c r="C323" t="str">
        <f t="shared" si="134"/>
        <v>NFSE</v>
      </c>
      <c r="D323" t="str">
        <f>"3789"</f>
        <v>3789</v>
      </c>
      <c r="E323" t="str">
        <f t="shared" si="131"/>
        <v>COM</v>
      </c>
      <c r="F323" t="str">
        <f>"FRAN FARMA (10124)"</f>
        <v>FRAN FARMA (10124)</v>
      </c>
      <c r="G323" t="str">
        <f>"Serv.Prest. 03/11/2025 a 09/11/2025 - RPS: 1552 - NFSe: 3789"</f>
        <v>Serv.Prest. 03/11/2025 a 09/11/2025 - RPS: 1552 - NFSe: 3789</v>
      </c>
      <c r="H323" t="str">
        <f t="shared" si="135"/>
        <v>12/11/2025</v>
      </c>
      <c r="I323" t="str">
        <f t="shared" si="136"/>
        <v>10/11/2025</v>
      </c>
      <c r="J323" t="str">
        <f t="shared" si="137"/>
        <v>12/11/2025</v>
      </c>
      <c r="M323">
        <v>303</v>
      </c>
      <c r="N323" t="str">
        <f t="shared" si="138"/>
        <v>RECEITAS COM ENTREGAS</v>
      </c>
      <c r="P323">
        <v>96</v>
      </c>
      <c r="Q323" t="str">
        <f>"FRAN FARMA LJ 2 (10131)"</f>
        <v>FRAN FARMA LJ 2 (10131)</v>
      </c>
      <c r="R323" t="str">
        <f t="shared" si="139"/>
        <v>RECEITAS COM ENTREGAS (303)</v>
      </c>
      <c r="S323">
        <v>2983</v>
      </c>
      <c r="T323">
        <v>2498</v>
      </c>
      <c r="U323" t="s">
        <v>21</v>
      </c>
    </row>
    <row r="324" spans="1:21">
      <c r="A324" t="str">
        <f t="shared" si="132"/>
        <v>12/11/2025</v>
      </c>
      <c r="B324" t="str">
        <f t="shared" si="133"/>
        <v>ENTRADA</v>
      </c>
      <c r="C324" t="str">
        <f t="shared" si="134"/>
        <v>NFSE</v>
      </c>
      <c r="D324" t="str">
        <f>"3789"</f>
        <v>3789</v>
      </c>
      <c r="E324" t="str">
        <f t="shared" si="131"/>
        <v>COM</v>
      </c>
      <c r="F324" t="str">
        <f>"FRAN FARMA (10124)"</f>
        <v>FRAN FARMA (10124)</v>
      </c>
      <c r="G324" t="str">
        <f>"Serv.Prest. 03/11/2025 a 09/11/2025 - RPS: 1552 - NFSe: 3789"</f>
        <v>Serv.Prest. 03/11/2025 a 09/11/2025 - RPS: 1552 - NFSe: 3789</v>
      </c>
      <c r="H324" t="str">
        <f t="shared" si="135"/>
        <v>12/11/2025</v>
      </c>
      <c r="I324" t="str">
        <f t="shared" si="136"/>
        <v>10/11/2025</v>
      </c>
      <c r="J324" t="str">
        <f t="shared" si="137"/>
        <v>12/11/2025</v>
      </c>
      <c r="M324">
        <v>303</v>
      </c>
      <c r="N324" t="str">
        <f t="shared" si="138"/>
        <v>RECEITAS COM ENTREGAS</v>
      </c>
      <c r="P324">
        <v>64</v>
      </c>
      <c r="Q324" t="str">
        <f>"FRAN FARMA LJ 3 (10132)"</f>
        <v>FRAN FARMA LJ 3 (10132)</v>
      </c>
      <c r="R324" t="str">
        <f t="shared" si="139"/>
        <v>RECEITAS COM ENTREGAS (303)</v>
      </c>
      <c r="S324">
        <v>2983</v>
      </c>
      <c r="T324">
        <v>2498</v>
      </c>
      <c r="U324" t="s">
        <v>21</v>
      </c>
    </row>
    <row r="325" spans="1:21">
      <c r="A325" t="str">
        <f t="shared" si="132"/>
        <v>12/11/2025</v>
      </c>
      <c r="B325" t="str">
        <f t="shared" si="133"/>
        <v>ENTRADA</v>
      </c>
      <c r="C325" t="str">
        <f t="shared" si="134"/>
        <v>NFSE</v>
      </c>
      <c r="D325" t="str">
        <f>"3788"</f>
        <v>3788</v>
      </c>
      <c r="E325" t="str">
        <f t="shared" si="131"/>
        <v>COM</v>
      </c>
      <c r="F325" t="str">
        <f>"ENTREFARMA (10164)"</f>
        <v>ENTREFARMA (10164)</v>
      </c>
      <c r="G325" t="str">
        <f>"Serv.Prest. 03/11/2025 a 09/11/2025 - RPS: 1551 - NFSe: 3788"</f>
        <v>Serv.Prest. 03/11/2025 a 09/11/2025 - RPS: 1551 - NFSe: 3788</v>
      </c>
      <c r="H325" t="str">
        <f t="shared" si="135"/>
        <v>12/11/2025</v>
      </c>
      <c r="I325" t="str">
        <f t="shared" si="136"/>
        <v>10/11/2025</v>
      </c>
      <c r="J325" t="str">
        <f t="shared" si="137"/>
        <v>12/11/2025</v>
      </c>
      <c r="K325">
        <v>1147.5</v>
      </c>
      <c r="L325">
        <v>1147.5</v>
      </c>
      <c r="M325">
        <v>303</v>
      </c>
      <c r="N325" t="str">
        <f t="shared" si="138"/>
        <v>RECEITAS COM ENTREGAS</v>
      </c>
      <c r="O325">
        <v>1147.5</v>
      </c>
      <c r="R325" t="str">
        <f t="shared" si="139"/>
        <v>RECEITAS COM ENTREGAS (303)</v>
      </c>
      <c r="S325">
        <v>2984</v>
      </c>
      <c r="T325">
        <v>2497</v>
      </c>
      <c r="U325" t="s">
        <v>21</v>
      </c>
    </row>
    <row r="326" spans="1:21">
      <c r="A326" t="str">
        <f t="shared" si="132"/>
        <v>12/11/2025</v>
      </c>
      <c r="B326" t="str">
        <f t="shared" si="133"/>
        <v>ENTRADA</v>
      </c>
      <c r="C326" t="str">
        <f t="shared" si="134"/>
        <v>NFSE</v>
      </c>
      <c r="D326" t="str">
        <f>"3788"</f>
        <v>3788</v>
      </c>
      <c r="E326" t="str">
        <f t="shared" si="131"/>
        <v>COM</v>
      </c>
      <c r="F326" t="str">
        <f>"ENTREFARMA (10164)"</f>
        <v>ENTREFARMA (10164)</v>
      </c>
      <c r="G326" t="str">
        <f>"Serv.Prest. 03/11/2025 a 09/11/2025 - RPS: 1551 - NFSe: 3788"</f>
        <v>Serv.Prest. 03/11/2025 a 09/11/2025 - RPS: 1551 - NFSe: 3788</v>
      </c>
      <c r="H326" t="str">
        <f t="shared" si="135"/>
        <v>12/11/2025</v>
      </c>
      <c r="I326" t="str">
        <f t="shared" si="136"/>
        <v>10/11/2025</v>
      </c>
      <c r="J326" t="str">
        <f t="shared" si="137"/>
        <v>12/11/2025</v>
      </c>
      <c r="M326">
        <v>303</v>
      </c>
      <c r="N326" t="str">
        <f t="shared" si="138"/>
        <v>RECEITAS COM ENTREGAS</v>
      </c>
      <c r="P326">
        <v>1147.5</v>
      </c>
      <c r="Q326" t="str">
        <f>"ENTREFARMA (10164)"</f>
        <v>ENTREFARMA (10164)</v>
      </c>
      <c r="R326" t="str">
        <f t="shared" si="139"/>
        <v>RECEITAS COM ENTREGAS (303)</v>
      </c>
      <c r="S326">
        <v>2984</v>
      </c>
      <c r="T326">
        <v>2497</v>
      </c>
      <c r="U326" t="s">
        <v>21</v>
      </c>
    </row>
    <row r="327" spans="1:21">
      <c r="A327" t="str">
        <f t="shared" si="132"/>
        <v>12/11/2025</v>
      </c>
      <c r="B327" t="str">
        <f t="shared" si="133"/>
        <v>ENTRADA</v>
      </c>
      <c r="C327" t="str">
        <f t="shared" si="134"/>
        <v>NFSE</v>
      </c>
      <c r="D327" t="str">
        <f>"3796"</f>
        <v>3796</v>
      </c>
      <c r="E327" t="str">
        <f t="shared" si="131"/>
        <v>COM</v>
      </c>
      <c r="F327" t="str">
        <f>"JAL FARMACIA E DROGARIA LJ 2 (10138)"</f>
        <v>JAL FARMACIA E DROGARIA LJ 2 (10138)</v>
      </c>
      <c r="G327" t="str">
        <f>"Serv.Prest. 03/11/2025 a 09/11/2025 - RPS: 1559 - NFSe: 3796"</f>
        <v>Serv.Prest. 03/11/2025 a 09/11/2025 - RPS: 1559 - NFSe: 3796</v>
      </c>
      <c r="H327" t="str">
        <f t="shared" si="135"/>
        <v>12/11/2025</v>
      </c>
      <c r="I327" t="str">
        <f t="shared" si="136"/>
        <v>10/11/2025</v>
      </c>
      <c r="J327" t="str">
        <f t="shared" si="137"/>
        <v>12/11/2025</v>
      </c>
      <c r="K327">
        <v>271.5</v>
      </c>
      <c r="L327">
        <v>271.5</v>
      </c>
      <c r="M327">
        <v>303</v>
      </c>
      <c r="N327" t="str">
        <f t="shared" si="138"/>
        <v>RECEITAS COM ENTREGAS</v>
      </c>
      <c r="O327">
        <v>271.5</v>
      </c>
      <c r="R327" t="str">
        <f t="shared" si="139"/>
        <v>RECEITAS COM ENTREGAS (303)</v>
      </c>
      <c r="S327">
        <v>2985</v>
      </c>
      <c r="T327">
        <v>2505</v>
      </c>
      <c r="U327" t="s">
        <v>21</v>
      </c>
    </row>
    <row r="328" spans="1:21">
      <c r="A328" t="str">
        <f t="shared" si="132"/>
        <v>12/11/2025</v>
      </c>
      <c r="B328" t="str">
        <f t="shared" si="133"/>
        <v>ENTRADA</v>
      </c>
      <c r="C328" t="str">
        <f t="shared" si="134"/>
        <v>NFSE</v>
      </c>
      <c r="D328" t="str">
        <f>"3796"</f>
        <v>3796</v>
      </c>
      <c r="E328" t="str">
        <f t="shared" si="131"/>
        <v>COM</v>
      </c>
      <c r="F328" t="str">
        <f>"JAL FARMACIA E DROGARIA LJ 2 (10138)"</f>
        <v>JAL FARMACIA E DROGARIA LJ 2 (10138)</v>
      </c>
      <c r="G328" t="str">
        <f>"Serv.Prest. 03/11/2025 a 09/11/2025 - RPS: 1559 - NFSe: 3796"</f>
        <v>Serv.Prest. 03/11/2025 a 09/11/2025 - RPS: 1559 - NFSe: 3796</v>
      </c>
      <c r="H328" t="str">
        <f t="shared" si="135"/>
        <v>12/11/2025</v>
      </c>
      <c r="I328" t="str">
        <f t="shared" si="136"/>
        <v>10/11/2025</v>
      </c>
      <c r="J328" t="str">
        <f t="shared" si="137"/>
        <v>12/11/2025</v>
      </c>
      <c r="M328">
        <v>303</v>
      </c>
      <c r="N328" t="str">
        <f t="shared" si="138"/>
        <v>RECEITAS COM ENTREGAS</v>
      </c>
      <c r="P328">
        <v>271.5</v>
      </c>
      <c r="Q328" t="str">
        <f>"JAL FARMACIA E DROGARIA LJ 2 (10138)"</f>
        <v>JAL FARMACIA E DROGARIA LJ 2 (10138)</v>
      </c>
      <c r="R328" t="str">
        <f t="shared" si="139"/>
        <v>RECEITAS COM ENTREGAS (303)</v>
      </c>
      <c r="S328">
        <v>2985</v>
      </c>
      <c r="T328">
        <v>2505</v>
      </c>
      <c r="U328" t="s">
        <v>21</v>
      </c>
    </row>
    <row r="329" spans="1:21">
      <c r="A329" t="str">
        <f t="shared" si="132"/>
        <v>12/11/2025</v>
      </c>
      <c r="B329" t="str">
        <f t="shared" si="133"/>
        <v>ENTRADA</v>
      </c>
      <c r="C329" t="str">
        <f t="shared" si="134"/>
        <v>NFSE</v>
      </c>
      <c r="D329" t="str">
        <f>"3785"</f>
        <v>3785</v>
      </c>
      <c r="E329" t="str">
        <f t="shared" si="131"/>
        <v>COM</v>
      </c>
      <c r="F329" t="str">
        <f>"DROGARIA AGAPEAMA (10167)"</f>
        <v>DROGARIA AGAPEAMA (10167)</v>
      </c>
      <c r="G329" t="str">
        <f>"Serv.Prest. 03/11/2025 a 09/11/2025 - RPS: 1548 - NFSe: 3785"</f>
        <v>Serv.Prest. 03/11/2025 a 09/11/2025 - RPS: 1548 - NFSe: 3785</v>
      </c>
      <c r="H329" t="str">
        <f t="shared" si="135"/>
        <v>12/11/2025</v>
      </c>
      <c r="I329" t="str">
        <f t="shared" si="136"/>
        <v>10/11/2025</v>
      </c>
      <c r="J329" t="str">
        <f t="shared" si="137"/>
        <v>12/11/2025</v>
      </c>
      <c r="K329">
        <v>397.6</v>
      </c>
      <c r="L329">
        <v>397.6</v>
      </c>
      <c r="M329">
        <v>303</v>
      </c>
      <c r="N329" t="str">
        <f t="shared" si="138"/>
        <v>RECEITAS COM ENTREGAS</v>
      </c>
      <c r="O329">
        <v>397.6</v>
      </c>
      <c r="R329" t="str">
        <f t="shared" si="139"/>
        <v>RECEITAS COM ENTREGAS (303)</v>
      </c>
      <c r="S329">
        <v>2986</v>
      </c>
      <c r="T329">
        <v>2494</v>
      </c>
      <c r="U329" t="s">
        <v>21</v>
      </c>
    </row>
    <row r="330" spans="1:21">
      <c r="A330" t="str">
        <f t="shared" si="132"/>
        <v>12/11/2025</v>
      </c>
      <c r="B330" t="str">
        <f t="shared" si="133"/>
        <v>ENTRADA</v>
      </c>
      <c r="C330" t="str">
        <f t="shared" si="134"/>
        <v>NFSE</v>
      </c>
      <c r="D330" t="str">
        <f>"3785"</f>
        <v>3785</v>
      </c>
      <c r="E330" t="str">
        <f t="shared" si="131"/>
        <v>COM</v>
      </c>
      <c r="F330" t="str">
        <f>"DROGARIA AGAPEAMA (10167)"</f>
        <v>DROGARIA AGAPEAMA (10167)</v>
      </c>
      <c r="G330" t="str">
        <f>"Serv.Prest. 03/11/2025 a 09/11/2025 - RPS: 1548 - NFSe: 3785"</f>
        <v>Serv.Prest. 03/11/2025 a 09/11/2025 - RPS: 1548 - NFSe: 3785</v>
      </c>
      <c r="H330" t="str">
        <f t="shared" si="135"/>
        <v>12/11/2025</v>
      </c>
      <c r="I330" t="str">
        <f t="shared" si="136"/>
        <v>10/11/2025</v>
      </c>
      <c r="J330" t="str">
        <f t="shared" si="137"/>
        <v>12/11/2025</v>
      </c>
      <c r="M330">
        <v>303</v>
      </c>
      <c r="N330" t="str">
        <f t="shared" si="138"/>
        <v>RECEITAS COM ENTREGAS</v>
      </c>
      <c r="P330">
        <v>397.6</v>
      </c>
      <c r="Q330" t="str">
        <f>"DROGARIA AGAPEAMA (10167)"</f>
        <v>DROGARIA AGAPEAMA (10167)</v>
      </c>
      <c r="R330" t="str">
        <f t="shared" si="139"/>
        <v>RECEITAS COM ENTREGAS (303)</v>
      </c>
      <c r="S330">
        <v>2986</v>
      </c>
      <c r="T330">
        <v>2494</v>
      </c>
      <c r="U330" t="s">
        <v>21</v>
      </c>
    </row>
    <row r="331" spans="1:21">
      <c r="A331" t="str">
        <f t="shared" si="132"/>
        <v>12/11/2025</v>
      </c>
      <c r="B331" t="str">
        <f t="shared" si="133"/>
        <v>ENTRADA</v>
      </c>
      <c r="C331" t="str">
        <f t="shared" si="134"/>
        <v>NFSE</v>
      </c>
      <c r="D331" t="str">
        <f>"3792"</f>
        <v>3792</v>
      </c>
      <c r="E331" t="str">
        <f t="shared" si="131"/>
        <v>COM</v>
      </c>
      <c r="F331" t="str">
        <f>"DROGARIA MORENO LTDA (10171)"</f>
        <v>DROGARIA MORENO LTDA (10171)</v>
      </c>
      <c r="G331" t="str">
        <f>"Serv.Prest. 03/11/2025 a 09/11/2025 - RPS: 1555 - NFSe: 3792"</f>
        <v>Serv.Prest. 03/11/2025 a 09/11/2025 - RPS: 1555 - NFSe: 3792</v>
      </c>
      <c r="H331" t="str">
        <f t="shared" si="135"/>
        <v>12/11/2025</v>
      </c>
      <c r="I331" t="str">
        <f t="shared" si="136"/>
        <v>10/11/2025</v>
      </c>
      <c r="J331" t="str">
        <f t="shared" si="137"/>
        <v>12/11/2025</v>
      </c>
      <c r="K331">
        <v>394.2</v>
      </c>
      <c r="L331">
        <v>394.2</v>
      </c>
      <c r="M331">
        <v>303</v>
      </c>
      <c r="N331" t="str">
        <f t="shared" si="138"/>
        <v>RECEITAS COM ENTREGAS</v>
      </c>
      <c r="O331">
        <v>394.2</v>
      </c>
      <c r="R331" t="str">
        <f t="shared" si="139"/>
        <v>RECEITAS COM ENTREGAS (303)</v>
      </c>
      <c r="S331">
        <v>2987</v>
      </c>
      <c r="T331">
        <v>2501</v>
      </c>
      <c r="U331" t="s">
        <v>21</v>
      </c>
    </row>
    <row r="332" spans="1:21">
      <c r="A332" t="str">
        <f t="shared" si="132"/>
        <v>12/11/2025</v>
      </c>
      <c r="B332" t="str">
        <f t="shared" si="133"/>
        <v>ENTRADA</v>
      </c>
      <c r="C332" t="str">
        <f t="shared" si="134"/>
        <v>NFSE</v>
      </c>
      <c r="D332" t="str">
        <f>"3792"</f>
        <v>3792</v>
      </c>
      <c r="E332" t="str">
        <f t="shared" si="131"/>
        <v>COM</v>
      </c>
      <c r="F332" t="str">
        <f>"DROGARIA MORENO LTDA (10171)"</f>
        <v>DROGARIA MORENO LTDA (10171)</v>
      </c>
      <c r="G332" t="str">
        <f>"Serv.Prest. 03/11/2025 a 09/11/2025 - RPS: 1555 - NFSe: 3792"</f>
        <v>Serv.Prest. 03/11/2025 a 09/11/2025 - RPS: 1555 - NFSe: 3792</v>
      </c>
      <c r="H332" t="str">
        <f t="shared" si="135"/>
        <v>12/11/2025</v>
      </c>
      <c r="I332" t="str">
        <f t="shared" si="136"/>
        <v>10/11/2025</v>
      </c>
      <c r="J332" t="str">
        <f t="shared" si="137"/>
        <v>12/11/2025</v>
      </c>
      <c r="M332">
        <v>303</v>
      </c>
      <c r="N332" t="str">
        <f t="shared" si="138"/>
        <v>RECEITAS COM ENTREGAS</v>
      </c>
      <c r="P332">
        <v>394.2</v>
      </c>
      <c r="Q332" t="str">
        <f>"DROGARIA MORENO LTDA (10171)"</f>
        <v>DROGARIA MORENO LTDA (10171)</v>
      </c>
      <c r="R332" t="str">
        <f t="shared" si="139"/>
        <v>RECEITAS COM ENTREGAS (303)</v>
      </c>
      <c r="S332">
        <v>2987</v>
      </c>
      <c r="T332">
        <v>2501</v>
      </c>
      <c r="U332" t="s">
        <v>21</v>
      </c>
    </row>
    <row r="333" spans="1:21">
      <c r="A333" t="str">
        <f t="shared" si="132"/>
        <v>12/11/2025</v>
      </c>
      <c r="B333" t="str">
        <f t="shared" si="133"/>
        <v>ENTRADA</v>
      </c>
      <c r="C333" t="str">
        <f t="shared" si="134"/>
        <v>NFSE</v>
      </c>
      <c r="D333" t="str">
        <f>"3791"</f>
        <v>3791</v>
      </c>
      <c r="E333" t="str">
        <f t="shared" si="131"/>
        <v>COM</v>
      </c>
      <c r="F333" t="str">
        <f>"DROGARIA MEDIC CENTER LTDA (10172)"</f>
        <v>DROGARIA MEDIC CENTER LTDA (10172)</v>
      </c>
      <c r="G333" t="str">
        <f>"Serv.Prest. 03/11/2025 a 09/11/2025 - RPS: 1554 - NFSe: 3791"</f>
        <v>Serv.Prest. 03/11/2025 a 09/11/2025 - RPS: 1554 - NFSe: 3791</v>
      </c>
      <c r="H333" t="str">
        <f t="shared" si="135"/>
        <v>12/11/2025</v>
      </c>
      <c r="I333" t="str">
        <f t="shared" si="136"/>
        <v>10/11/2025</v>
      </c>
      <c r="J333" t="str">
        <f t="shared" si="137"/>
        <v>12/11/2025</v>
      </c>
      <c r="K333">
        <v>111.6</v>
      </c>
      <c r="L333">
        <v>111.6</v>
      </c>
      <c r="M333">
        <v>303</v>
      </c>
      <c r="N333" t="str">
        <f t="shared" si="138"/>
        <v>RECEITAS COM ENTREGAS</v>
      </c>
      <c r="O333">
        <v>111.6</v>
      </c>
      <c r="R333" t="str">
        <f t="shared" si="139"/>
        <v>RECEITAS COM ENTREGAS (303)</v>
      </c>
      <c r="S333">
        <v>2988</v>
      </c>
      <c r="T333">
        <v>2500</v>
      </c>
      <c r="U333" t="s">
        <v>21</v>
      </c>
    </row>
    <row r="334" spans="1:21">
      <c r="A334" t="str">
        <f t="shared" si="132"/>
        <v>12/11/2025</v>
      </c>
      <c r="B334" t="str">
        <f t="shared" si="133"/>
        <v>ENTRADA</v>
      </c>
      <c r="C334" t="str">
        <f t="shared" si="134"/>
        <v>NFSE</v>
      </c>
      <c r="D334" t="str">
        <f>"3791"</f>
        <v>3791</v>
      </c>
      <c r="E334" t="str">
        <f t="shared" si="131"/>
        <v>COM</v>
      </c>
      <c r="F334" t="str">
        <f>"DROGARIA MEDIC CENTER LTDA (10172)"</f>
        <v>DROGARIA MEDIC CENTER LTDA (10172)</v>
      </c>
      <c r="G334" t="str">
        <f>"Serv.Prest. 03/11/2025 a 09/11/2025 - RPS: 1554 - NFSe: 3791"</f>
        <v>Serv.Prest. 03/11/2025 a 09/11/2025 - RPS: 1554 - NFSe: 3791</v>
      </c>
      <c r="H334" t="str">
        <f t="shared" si="135"/>
        <v>12/11/2025</v>
      </c>
      <c r="I334" t="str">
        <f t="shared" si="136"/>
        <v>10/11/2025</v>
      </c>
      <c r="J334" t="str">
        <f t="shared" si="137"/>
        <v>12/11/2025</v>
      </c>
      <c r="M334">
        <v>303</v>
      </c>
      <c r="N334" t="str">
        <f t="shared" si="138"/>
        <v>RECEITAS COM ENTREGAS</v>
      </c>
      <c r="P334">
        <v>111.6</v>
      </c>
      <c r="Q334" t="str">
        <f>"DROGARIA MEDIC CENTER LTDA (10172)"</f>
        <v>DROGARIA MEDIC CENTER LTDA (10172)</v>
      </c>
      <c r="R334" t="str">
        <f t="shared" si="139"/>
        <v>RECEITAS COM ENTREGAS (303)</v>
      </c>
      <c r="S334">
        <v>2988</v>
      </c>
      <c r="T334">
        <v>2500</v>
      </c>
      <c r="U334" t="s">
        <v>21</v>
      </c>
    </row>
    <row r="335" spans="1:21">
      <c r="A335" t="str">
        <f t="shared" si="132"/>
        <v>12/11/2025</v>
      </c>
      <c r="B335" t="str">
        <f t="shared" si="133"/>
        <v>ENTRADA</v>
      </c>
      <c r="C335" t="str">
        <f t="shared" si="134"/>
        <v>NFSE</v>
      </c>
      <c r="D335" t="str">
        <f t="shared" ref="D335:D340" si="140">"3765"</f>
        <v>3765</v>
      </c>
      <c r="E335" t="str">
        <f t="shared" si="131"/>
        <v>COM</v>
      </c>
      <c r="F335" t="str">
        <f t="shared" ref="F335:F340" si="141">"DROGALIDER 25 (10246)"</f>
        <v>DROGALIDER 25 (10246)</v>
      </c>
      <c r="G335" t="str">
        <f t="shared" ref="G335:G340" si="142">"Serv.Prest. 27/10/2025 a 02/11/2025 - RPS: 1528 - NFSe: 3765"</f>
        <v>Serv.Prest. 27/10/2025 a 02/11/2025 - RPS: 1528 - NFSe: 3765</v>
      </c>
      <c r="H335" t="str">
        <f t="shared" ref="H335:H346" si="143">("11/11/2025")</f>
        <v>11/11/2025</v>
      </c>
      <c r="I335" t="str">
        <f t="shared" ref="I335:I346" si="144">("05/11/2025")</f>
        <v>05/11/2025</v>
      </c>
      <c r="J335" t="str">
        <f t="shared" si="137"/>
        <v>12/11/2025</v>
      </c>
      <c r="K335">
        <v>300</v>
      </c>
      <c r="L335">
        <v>300</v>
      </c>
      <c r="M335">
        <v>303</v>
      </c>
      <c r="N335" t="str">
        <f t="shared" si="138"/>
        <v>RECEITAS COM ENTREGAS</v>
      </c>
      <c r="O335">
        <v>300</v>
      </c>
      <c r="R335" t="str">
        <f t="shared" si="139"/>
        <v>RECEITAS COM ENTREGAS (303)</v>
      </c>
      <c r="S335">
        <v>2989</v>
      </c>
      <c r="T335">
        <v>2460</v>
      </c>
      <c r="U335" t="s">
        <v>21</v>
      </c>
    </row>
    <row r="336" spans="1:21">
      <c r="A336" t="str">
        <f t="shared" si="132"/>
        <v>12/11/2025</v>
      </c>
      <c r="B336" t="str">
        <f t="shared" si="133"/>
        <v>ENTRADA</v>
      </c>
      <c r="C336" t="str">
        <f t="shared" si="134"/>
        <v>NFSE</v>
      </c>
      <c r="D336" t="str">
        <f t="shared" si="140"/>
        <v>3765</v>
      </c>
      <c r="E336" t="str">
        <f t="shared" si="131"/>
        <v>COM</v>
      </c>
      <c r="F336" t="str">
        <f t="shared" si="141"/>
        <v>DROGALIDER 25 (10246)</v>
      </c>
      <c r="G336" t="str">
        <f t="shared" si="142"/>
        <v>Serv.Prest. 27/10/2025 a 02/11/2025 - RPS: 1528 - NFSe: 3765</v>
      </c>
      <c r="H336" t="str">
        <f t="shared" si="143"/>
        <v>11/11/2025</v>
      </c>
      <c r="I336" t="str">
        <f t="shared" si="144"/>
        <v>05/11/2025</v>
      </c>
      <c r="J336" t="str">
        <f t="shared" si="137"/>
        <v>12/11/2025</v>
      </c>
      <c r="M336">
        <v>303</v>
      </c>
      <c r="N336" t="str">
        <f t="shared" si="138"/>
        <v>RECEITAS COM ENTREGAS</v>
      </c>
      <c r="P336">
        <v>60</v>
      </c>
      <c r="Q336" t="str">
        <f>"DROGALIDER 58 (10213)"</f>
        <v>DROGALIDER 58 (10213)</v>
      </c>
      <c r="R336" t="str">
        <f t="shared" si="139"/>
        <v>RECEITAS COM ENTREGAS (303)</v>
      </c>
      <c r="S336">
        <v>2989</v>
      </c>
      <c r="T336">
        <v>2460</v>
      </c>
      <c r="U336" t="s">
        <v>21</v>
      </c>
    </row>
    <row r="337" spans="1:21">
      <c r="A337" t="str">
        <f t="shared" si="132"/>
        <v>12/11/2025</v>
      </c>
      <c r="B337" t="str">
        <f t="shared" si="133"/>
        <v>ENTRADA</v>
      </c>
      <c r="C337" t="str">
        <f t="shared" si="134"/>
        <v>NFSE</v>
      </c>
      <c r="D337" t="str">
        <f t="shared" si="140"/>
        <v>3765</v>
      </c>
      <c r="E337" t="str">
        <f t="shared" si="131"/>
        <v>COM</v>
      </c>
      <c r="F337" t="str">
        <f t="shared" si="141"/>
        <v>DROGALIDER 25 (10246)</v>
      </c>
      <c r="G337" t="str">
        <f t="shared" si="142"/>
        <v>Serv.Prest. 27/10/2025 a 02/11/2025 - RPS: 1528 - NFSe: 3765</v>
      </c>
      <c r="H337" t="str">
        <f t="shared" si="143"/>
        <v>11/11/2025</v>
      </c>
      <c r="I337" t="str">
        <f t="shared" si="144"/>
        <v>05/11/2025</v>
      </c>
      <c r="J337" t="str">
        <f t="shared" si="137"/>
        <v>12/11/2025</v>
      </c>
      <c r="M337">
        <v>303</v>
      </c>
      <c r="N337" t="str">
        <f t="shared" si="138"/>
        <v>RECEITAS COM ENTREGAS</v>
      </c>
      <c r="P337">
        <v>60.99</v>
      </c>
      <c r="Q337" t="str">
        <f>"DROGALIDER 25 (10246)"</f>
        <v>DROGALIDER 25 (10246)</v>
      </c>
      <c r="R337" t="str">
        <f t="shared" si="139"/>
        <v>RECEITAS COM ENTREGAS (303)</v>
      </c>
      <c r="S337">
        <v>2989</v>
      </c>
      <c r="T337">
        <v>2460</v>
      </c>
      <c r="U337" t="s">
        <v>21</v>
      </c>
    </row>
    <row r="338" spans="1:21">
      <c r="A338" t="str">
        <f t="shared" si="132"/>
        <v>12/11/2025</v>
      </c>
      <c r="B338" t="str">
        <f t="shared" si="133"/>
        <v>ENTRADA</v>
      </c>
      <c r="C338" t="str">
        <f t="shared" si="134"/>
        <v>NFSE</v>
      </c>
      <c r="D338" t="str">
        <f t="shared" si="140"/>
        <v>3765</v>
      </c>
      <c r="E338" t="str">
        <f t="shared" si="131"/>
        <v>COM</v>
      </c>
      <c r="F338" t="str">
        <f t="shared" si="141"/>
        <v>DROGALIDER 25 (10246)</v>
      </c>
      <c r="G338" t="str">
        <f t="shared" si="142"/>
        <v>Serv.Prest. 27/10/2025 a 02/11/2025 - RPS: 1528 - NFSe: 3765</v>
      </c>
      <c r="H338" t="str">
        <f t="shared" si="143"/>
        <v>11/11/2025</v>
      </c>
      <c r="I338" t="str">
        <f t="shared" si="144"/>
        <v>05/11/2025</v>
      </c>
      <c r="J338" t="str">
        <f t="shared" si="137"/>
        <v>12/11/2025</v>
      </c>
      <c r="M338">
        <v>303</v>
      </c>
      <c r="N338" t="str">
        <f t="shared" si="138"/>
        <v>RECEITAS COM ENTREGAS</v>
      </c>
      <c r="P338">
        <v>59.01</v>
      </c>
      <c r="Q338" t="str">
        <f>"DROGALIDER 46 (10248)"</f>
        <v>DROGALIDER 46 (10248)</v>
      </c>
      <c r="R338" t="str">
        <f t="shared" si="139"/>
        <v>RECEITAS COM ENTREGAS (303)</v>
      </c>
      <c r="S338">
        <v>2989</v>
      </c>
      <c r="T338">
        <v>2460</v>
      </c>
      <c r="U338" t="s">
        <v>21</v>
      </c>
    </row>
    <row r="339" spans="1:21">
      <c r="A339" t="str">
        <f t="shared" si="132"/>
        <v>12/11/2025</v>
      </c>
      <c r="B339" t="str">
        <f t="shared" si="133"/>
        <v>ENTRADA</v>
      </c>
      <c r="C339" t="str">
        <f t="shared" si="134"/>
        <v>NFSE</v>
      </c>
      <c r="D339" t="str">
        <f t="shared" si="140"/>
        <v>3765</v>
      </c>
      <c r="E339" t="str">
        <f t="shared" si="131"/>
        <v>COM</v>
      </c>
      <c r="F339" t="str">
        <f t="shared" si="141"/>
        <v>DROGALIDER 25 (10246)</v>
      </c>
      <c r="G339" t="str">
        <f t="shared" si="142"/>
        <v>Serv.Prest. 27/10/2025 a 02/11/2025 - RPS: 1528 - NFSe: 3765</v>
      </c>
      <c r="H339" t="str">
        <f t="shared" si="143"/>
        <v>11/11/2025</v>
      </c>
      <c r="I339" t="str">
        <f t="shared" si="144"/>
        <v>05/11/2025</v>
      </c>
      <c r="J339" t="str">
        <f t="shared" si="137"/>
        <v>12/11/2025</v>
      </c>
      <c r="M339">
        <v>303</v>
      </c>
      <c r="N339" t="str">
        <f t="shared" si="138"/>
        <v>RECEITAS COM ENTREGAS</v>
      </c>
      <c r="P339">
        <v>60</v>
      </c>
      <c r="Q339" t="str">
        <f>"DROGALIDER 64 (10250)"</f>
        <v>DROGALIDER 64 (10250)</v>
      </c>
      <c r="R339" t="str">
        <f t="shared" si="139"/>
        <v>RECEITAS COM ENTREGAS (303)</v>
      </c>
      <c r="S339">
        <v>2989</v>
      </c>
      <c r="T339">
        <v>2460</v>
      </c>
      <c r="U339" t="s">
        <v>21</v>
      </c>
    </row>
    <row r="340" spans="1:21">
      <c r="A340" t="str">
        <f t="shared" si="132"/>
        <v>12/11/2025</v>
      </c>
      <c r="B340" t="str">
        <f t="shared" si="133"/>
        <v>ENTRADA</v>
      </c>
      <c r="C340" t="str">
        <f t="shared" si="134"/>
        <v>NFSE</v>
      </c>
      <c r="D340" t="str">
        <f t="shared" si="140"/>
        <v>3765</v>
      </c>
      <c r="E340" t="str">
        <f t="shared" si="131"/>
        <v>COM</v>
      </c>
      <c r="F340" t="str">
        <f t="shared" si="141"/>
        <v>DROGALIDER 25 (10246)</v>
      </c>
      <c r="G340" t="str">
        <f t="shared" si="142"/>
        <v>Serv.Prest. 27/10/2025 a 02/11/2025 - RPS: 1528 - NFSe: 3765</v>
      </c>
      <c r="H340" t="str">
        <f t="shared" si="143"/>
        <v>11/11/2025</v>
      </c>
      <c r="I340" t="str">
        <f t="shared" si="144"/>
        <v>05/11/2025</v>
      </c>
      <c r="J340" t="str">
        <f t="shared" si="137"/>
        <v>12/11/2025</v>
      </c>
      <c r="M340">
        <v>303</v>
      </c>
      <c r="N340" t="str">
        <f t="shared" si="138"/>
        <v>RECEITAS COM ENTREGAS</v>
      </c>
      <c r="P340">
        <v>60</v>
      </c>
      <c r="Q340" t="str">
        <f>"DROGALIDER 66 (10251)"</f>
        <v>DROGALIDER 66 (10251)</v>
      </c>
      <c r="R340" t="str">
        <f t="shared" si="139"/>
        <v>RECEITAS COM ENTREGAS (303)</v>
      </c>
      <c r="S340">
        <v>2989</v>
      </c>
      <c r="T340">
        <v>2460</v>
      </c>
      <c r="U340" t="s">
        <v>21</v>
      </c>
    </row>
    <row r="341" spans="1:21">
      <c r="A341" t="str">
        <f t="shared" si="132"/>
        <v>12/11/2025</v>
      </c>
      <c r="B341" t="str">
        <f t="shared" si="133"/>
        <v>ENTRADA</v>
      </c>
      <c r="C341" t="str">
        <f t="shared" si="134"/>
        <v>NFSE</v>
      </c>
      <c r="D341" t="str">
        <f t="shared" ref="D341:D346" si="145">"3766"</f>
        <v>3766</v>
      </c>
      <c r="E341" t="str">
        <f t="shared" si="131"/>
        <v>COM</v>
      </c>
      <c r="F341" t="str">
        <f t="shared" ref="F341:F346" si="146">"DROGALIDER 31 (10256)"</f>
        <v>DROGALIDER 31 (10256)</v>
      </c>
      <c r="G341" t="str">
        <f t="shared" ref="G341:G346" si="147">"Serv.Prest. 27/10/2025 a 02/11/2025 - RPS: 1529 - NFSe: 3766"</f>
        <v>Serv.Prest. 27/10/2025 a 02/11/2025 - RPS: 1529 - NFSe: 3766</v>
      </c>
      <c r="H341" t="str">
        <f t="shared" si="143"/>
        <v>11/11/2025</v>
      </c>
      <c r="I341" t="str">
        <f t="shared" si="144"/>
        <v>05/11/2025</v>
      </c>
      <c r="J341" t="str">
        <f t="shared" si="137"/>
        <v>12/11/2025</v>
      </c>
      <c r="K341">
        <v>341.4</v>
      </c>
      <c r="L341">
        <v>341.4</v>
      </c>
      <c r="M341">
        <v>303</v>
      </c>
      <c r="N341" t="str">
        <f t="shared" si="138"/>
        <v>RECEITAS COM ENTREGAS</v>
      </c>
      <c r="O341">
        <v>341.4</v>
      </c>
      <c r="R341" t="str">
        <f t="shared" si="139"/>
        <v>RECEITAS COM ENTREGAS (303)</v>
      </c>
      <c r="S341">
        <v>2990</v>
      </c>
      <c r="T341">
        <v>2461</v>
      </c>
      <c r="U341" t="s">
        <v>21</v>
      </c>
    </row>
    <row r="342" spans="1:21">
      <c r="A342" t="str">
        <f t="shared" si="132"/>
        <v>12/11/2025</v>
      </c>
      <c r="B342" t="str">
        <f t="shared" si="133"/>
        <v>ENTRADA</v>
      </c>
      <c r="C342" t="str">
        <f t="shared" si="134"/>
        <v>NFSE</v>
      </c>
      <c r="D342" t="str">
        <f t="shared" si="145"/>
        <v>3766</v>
      </c>
      <c r="E342" t="str">
        <f t="shared" si="131"/>
        <v>COM</v>
      </c>
      <c r="F342" t="str">
        <f t="shared" si="146"/>
        <v>DROGALIDER 31 (10256)</v>
      </c>
      <c r="G342" t="str">
        <f t="shared" si="147"/>
        <v>Serv.Prest. 27/10/2025 a 02/11/2025 - RPS: 1529 - NFSe: 3766</v>
      </c>
      <c r="H342" t="str">
        <f t="shared" si="143"/>
        <v>11/11/2025</v>
      </c>
      <c r="I342" t="str">
        <f t="shared" si="144"/>
        <v>05/11/2025</v>
      </c>
      <c r="J342" t="str">
        <f t="shared" si="137"/>
        <v>12/11/2025</v>
      </c>
      <c r="M342">
        <v>303</v>
      </c>
      <c r="N342" t="str">
        <f t="shared" si="138"/>
        <v>RECEITAS COM ENTREGAS</v>
      </c>
      <c r="P342">
        <v>64.19</v>
      </c>
      <c r="Q342" t="str">
        <f>"DROGALIDER 42 (10247)"</f>
        <v>DROGALIDER 42 (10247)</v>
      </c>
      <c r="R342" t="str">
        <f t="shared" si="139"/>
        <v>RECEITAS COM ENTREGAS (303)</v>
      </c>
      <c r="S342">
        <v>2990</v>
      </c>
      <c r="T342">
        <v>2461</v>
      </c>
      <c r="U342" t="s">
        <v>21</v>
      </c>
    </row>
    <row r="343" spans="1:21">
      <c r="A343" t="str">
        <f t="shared" si="132"/>
        <v>12/11/2025</v>
      </c>
      <c r="B343" t="str">
        <f t="shared" si="133"/>
        <v>ENTRADA</v>
      </c>
      <c r="C343" t="str">
        <f t="shared" si="134"/>
        <v>NFSE</v>
      </c>
      <c r="D343" t="str">
        <f t="shared" si="145"/>
        <v>3766</v>
      </c>
      <c r="E343" t="str">
        <f t="shared" si="131"/>
        <v>COM</v>
      </c>
      <c r="F343" t="str">
        <f t="shared" si="146"/>
        <v>DROGALIDER 31 (10256)</v>
      </c>
      <c r="G343" t="str">
        <f t="shared" si="147"/>
        <v>Serv.Prest. 27/10/2025 a 02/11/2025 - RPS: 1529 - NFSe: 3766</v>
      </c>
      <c r="H343" t="str">
        <f t="shared" si="143"/>
        <v>11/11/2025</v>
      </c>
      <c r="I343" t="str">
        <f t="shared" si="144"/>
        <v>05/11/2025</v>
      </c>
      <c r="J343" t="str">
        <f t="shared" si="137"/>
        <v>12/11/2025</v>
      </c>
      <c r="M343">
        <v>303</v>
      </c>
      <c r="N343" t="str">
        <f t="shared" si="138"/>
        <v>RECEITAS COM ENTREGAS</v>
      </c>
      <c r="P343">
        <v>64.180000000000007</v>
      </c>
      <c r="Q343" t="str">
        <f>"DROGALIDER 55 (10249)"</f>
        <v>DROGALIDER 55 (10249)</v>
      </c>
      <c r="R343" t="str">
        <f t="shared" si="139"/>
        <v>RECEITAS COM ENTREGAS (303)</v>
      </c>
      <c r="S343">
        <v>2990</v>
      </c>
      <c r="T343">
        <v>2461</v>
      </c>
      <c r="U343" t="s">
        <v>21</v>
      </c>
    </row>
    <row r="344" spans="1:21">
      <c r="A344" t="str">
        <f t="shared" si="132"/>
        <v>12/11/2025</v>
      </c>
      <c r="B344" t="str">
        <f t="shared" si="133"/>
        <v>ENTRADA</v>
      </c>
      <c r="C344" t="str">
        <f t="shared" si="134"/>
        <v>NFSE</v>
      </c>
      <c r="D344" t="str">
        <f t="shared" si="145"/>
        <v>3766</v>
      </c>
      <c r="E344" t="str">
        <f t="shared" si="131"/>
        <v>COM</v>
      </c>
      <c r="F344" t="str">
        <f t="shared" si="146"/>
        <v>DROGALIDER 31 (10256)</v>
      </c>
      <c r="G344" t="str">
        <f t="shared" si="147"/>
        <v>Serv.Prest. 27/10/2025 a 02/11/2025 - RPS: 1529 - NFSe: 3766</v>
      </c>
      <c r="H344" t="str">
        <f t="shared" si="143"/>
        <v>11/11/2025</v>
      </c>
      <c r="I344" t="str">
        <f t="shared" si="144"/>
        <v>05/11/2025</v>
      </c>
      <c r="J344" t="str">
        <f t="shared" si="137"/>
        <v>12/11/2025</v>
      </c>
      <c r="M344">
        <v>303</v>
      </c>
      <c r="N344" t="str">
        <f t="shared" si="138"/>
        <v>RECEITAS COM ENTREGAS</v>
      </c>
      <c r="P344">
        <v>64.180000000000007</v>
      </c>
      <c r="Q344" t="str">
        <f>"DROGALIDER 67 (10252)"</f>
        <v>DROGALIDER 67 (10252)</v>
      </c>
      <c r="R344" t="str">
        <f t="shared" si="139"/>
        <v>RECEITAS COM ENTREGAS (303)</v>
      </c>
      <c r="S344">
        <v>2990</v>
      </c>
      <c r="T344">
        <v>2461</v>
      </c>
      <c r="U344" t="s">
        <v>21</v>
      </c>
    </row>
    <row r="345" spans="1:21">
      <c r="A345" t="str">
        <f t="shared" si="132"/>
        <v>12/11/2025</v>
      </c>
      <c r="B345" t="str">
        <f t="shared" si="133"/>
        <v>ENTRADA</v>
      </c>
      <c r="C345" t="str">
        <f t="shared" si="134"/>
        <v>NFSE</v>
      </c>
      <c r="D345" t="str">
        <f t="shared" si="145"/>
        <v>3766</v>
      </c>
      <c r="E345" t="str">
        <f t="shared" si="131"/>
        <v>COM</v>
      </c>
      <c r="F345" t="str">
        <f t="shared" si="146"/>
        <v>DROGALIDER 31 (10256)</v>
      </c>
      <c r="G345" t="str">
        <f t="shared" si="147"/>
        <v>Serv.Prest. 27/10/2025 a 02/11/2025 - RPS: 1529 - NFSe: 3766</v>
      </c>
      <c r="H345" t="str">
        <f t="shared" si="143"/>
        <v>11/11/2025</v>
      </c>
      <c r="I345" t="str">
        <f t="shared" si="144"/>
        <v>05/11/2025</v>
      </c>
      <c r="J345" t="str">
        <f t="shared" si="137"/>
        <v>12/11/2025</v>
      </c>
      <c r="M345">
        <v>303</v>
      </c>
      <c r="N345" t="str">
        <f t="shared" si="138"/>
        <v>RECEITAS COM ENTREGAS</v>
      </c>
      <c r="P345">
        <v>64.180000000000007</v>
      </c>
      <c r="Q345" t="str">
        <f>"DROGALIDER 68 (10253)"</f>
        <v>DROGALIDER 68 (10253)</v>
      </c>
      <c r="R345" t="str">
        <f t="shared" si="139"/>
        <v>RECEITAS COM ENTREGAS (303)</v>
      </c>
      <c r="S345">
        <v>2990</v>
      </c>
      <c r="T345">
        <v>2461</v>
      </c>
      <c r="U345" t="s">
        <v>21</v>
      </c>
    </row>
    <row r="346" spans="1:21">
      <c r="A346" t="str">
        <f t="shared" si="132"/>
        <v>12/11/2025</v>
      </c>
      <c r="B346" t="str">
        <f t="shared" si="133"/>
        <v>ENTRADA</v>
      </c>
      <c r="C346" t="str">
        <f t="shared" si="134"/>
        <v>NFSE</v>
      </c>
      <c r="D346" t="str">
        <f t="shared" si="145"/>
        <v>3766</v>
      </c>
      <c r="E346" t="str">
        <f t="shared" si="131"/>
        <v>COM</v>
      </c>
      <c r="F346" t="str">
        <f t="shared" si="146"/>
        <v>DROGALIDER 31 (10256)</v>
      </c>
      <c r="G346" t="str">
        <f t="shared" si="147"/>
        <v>Serv.Prest. 27/10/2025 a 02/11/2025 - RPS: 1529 - NFSe: 3766</v>
      </c>
      <c r="H346" t="str">
        <f t="shared" si="143"/>
        <v>11/11/2025</v>
      </c>
      <c r="I346" t="str">
        <f t="shared" si="144"/>
        <v>05/11/2025</v>
      </c>
      <c r="J346" t="str">
        <f t="shared" si="137"/>
        <v>12/11/2025</v>
      </c>
      <c r="M346">
        <v>303</v>
      </c>
      <c r="N346" t="str">
        <f t="shared" si="138"/>
        <v>RECEITAS COM ENTREGAS</v>
      </c>
      <c r="P346">
        <v>84.67</v>
      </c>
      <c r="Q346" t="str">
        <f>"DROGALIDER 31 (10256)"</f>
        <v>DROGALIDER 31 (10256)</v>
      </c>
      <c r="R346" t="str">
        <f t="shared" si="139"/>
        <v>RECEITAS COM ENTREGAS (303)</v>
      </c>
      <c r="S346">
        <v>2990</v>
      </c>
      <c r="T346">
        <v>2461</v>
      </c>
      <c r="U346" t="s">
        <v>21</v>
      </c>
    </row>
    <row r="347" spans="1:21">
      <c r="A347" t="str">
        <f t="shared" si="132"/>
        <v>12/11/2025</v>
      </c>
      <c r="B347" t="str">
        <f t="shared" si="133"/>
        <v>ENTRADA</v>
      </c>
      <c r="C347" t="str">
        <f t="shared" si="134"/>
        <v>NFSE</v>
      </c>
      <c r="D347" t="str">
        <f t="shared" ref="D347:D378" si="148">"3755"</f>
        <v>3755</v>
      </c>
      <c r="E347" t="str">
        <f t="shared" si="131"/>
        <v>COM</v>
      </c>
      <c r="F347" t="str">
        <f t="shared" ref="F347:F378" si="149">"FARMÁCIA INDIANA LJ 1 (10126)"</f>
        <v>FARMÁCIA INDIANA LJ 1 (10126)</v>
      </c>
      <c r="G347" t="str">
        <f t="shared" ref="G347:G378" si="150">"Serv.Prest. 24/10/2025 a 02/11/2025 - RPS: 1518 - NFSe: 3755"</f>
        <v>Serv.Prest. 24/10/2025 a 02/11/2025 - RPS: 1518 - NFSe: 3755</v>
      </c>
      <c r="H347" t="str">
        <f t="shared" ref="H347:H378" si="151">("12/11/2025")</f>
        <v>12/11/2025</v>
      </c>
      <c r="I347" t="str">
        <f t="shared" ref="I347:I378" si="152">("04/11/2025")</f>
        <v>04/11/2025</v>
      </c>
      <c r="J347" t="str">
        <f t="shared" si="137"/>
        <v>12/11/2025</v>
      </c>
      <c r="K347">
        <v>16118.54</v>
      </c>
      <c r="L347">
        <v>16118.54</v>
      </c>
      <c r="M347">
        <v>303</v>
      </c>
      <c r="N347" t="str">
        <f t="shared" si="138"/>
        <v>RECEITAS COM ENTREGAS</v>
      </c>
      <c r="O347">
        <v>16118.54</v>
      </c>
      <c r="R347" t="str">
        <f t="shared" si="139"/>
        <v>RECEITAS COM ENTREGAS (303)</v>
      </c>
      <c r="S347">
        <v>2991</v>
      </c>
      <c r="T347">
        <v>2450</v>
      </c>
      <c r="U347" t="s">
        <v>21</v>
      </c>
    </row>
    <row r="348" spans="1:21">
      <c r="A348" t="str">
        <f t="shared" si="132"/>
        <v>12/11/2025</v>
      </c>
      <c r="B348" t="str">
        <f t="shared" si="133"/>
        <v>ENTRADA</v>
      </c>
      <c r="C348" t="str">
        <f t="shared" si="134"/>
        <v>NFSE</v>
      </c>
      <c r="D348" t="str">
        <f t="shared" si="148"/>
        <v>3755</v>
      </c>
      <c r="E348" t="str">
        <f t="shared" si="131"/>
        <v>COM</v>
      </c>
      <c r="F348" t="str">
        <f t="shared" si="149"/>
        <v>FARMÁCIA INDIANA LJ 1 (10126)</v>
      </c>
      <c r="G348" t="str">
        <f t="shared" si="150"/>
        <v>Serv.Prest. 24/10/2025 a 02/11/2025 - RPS: 1518 - NFSe: 3755</v>
      </c>
      <c r="H348" t="str">
        <f t="shared" si="151"/>
        <v>12/11/2025</v>
      </c>
      <c r="I348" t="str">
        <f t="shared" si="152"/>
        <v>04/11/2025</v>
      </c>
      <c r="J348" t="str">
        <f t="shared" si="137"/>
        <v>12/11/2025</v>
      </c>
      <c r="M348">
        <v>303</v>
      </c>
      <c r="N348" t="str">
        <f t="shared" si="138"/>
        <v>RECEITAS COM ENTREGAS</v>
      </c>
      <c r="P348">
        <v>2593.48</v>
      </c>
      <c r="Q348" t="str">
        <f>"FARMÁCIA INDIANA LJ 06 (10006)"</f>
        <v>FARMÁCIA INDIANA LJ 06 (10006)</v>
      </c>
      <c r="R348" t="str">
        <f t="shared" si="139"/>
        <v>RECEITAS COM ENTREGAS (303)</v>
      </c>
      <c r="S348">
        <v>2991</v>
      </c>
      <c r="T348">
        <v>2450</v>
      </c>
      <c r="U348" t="s">
        <v>21</v>
      </c>
    </row>
    <row r="349" spans="1:21">
      <c r="A349" t="str">
        <f t="shared" si="132"/>
        <v>12/11/2025</v>
      </c>
      <c r="B349" t="str">
        <f t="shared" si="133"/>
        <v>ENTRADA</v>
      </c>
      <c r="C349" t="str">
        <f t="shared" si="134"/>
        <v>NFSE</v>
      </c>
      <c r="D349" t="str">
        <f t="shared" si="148"/>
        <v>3755</v>
      </c>
      <c r="E349" t="str">
        <f t="shared" si="131"/>
        <v>COM</v>
      </c>
      <c r="F349" t="str">
        <f t="shared" si="149"/>
        <v>FARMÁCIA INDIANA LJ 1 (10126)</v>
      </c>
      <c r="G349" t="str">
        <f t="shared" si="150"/>
        <v>Serv.Prest. 24/10/2025 a 02/11/2025 - RPS: 1518 - NFSe: 3755</v>
      </c>
      <c r="H349" t="str">
        <f t="shared" si="151"/>
        <v>12/11/2025</v>
      </c>
      <c r="I349" t="str">
        <f t="shared" si="152"/>
        <v>04/11/2025</v>
      </c>
      <c r="J349" t="str">
        <f t="shared" si="137"/>
        <v>12/11/2025</v>
      </c>
      <c r="M349">
        <v>303</v>
      </c>
      <c r="N349" t="str">
        <f t="shared" si="138"/>
        <v>RECEITAS COM ENTREGAS</v>
      </c>
      <c r="P349">
        <v>1863.3</v>
      </c>
      <c r="Q349" t="str">
        <f>"FARMÁCIA INDIANA LJ 07 (10007)"</f>
        <v>FARMÁCIA INDIANA LJ 07 (10007)</v>
      </c>
      <c r="R349" t="str">
        <f t="shared" si="139"/>
        <v>RECEITAS COM ENTREGAS (303)</v>
      </c>
      <c r="S349">
        <v>2991</v>
      </c>
      <c r="T349">
        <v>2450</v>
      </c>
      <c r="U349" t="s">
        <v>21</v>
      </c>
    </row>
    <row r="350" spans="1:21">
      <c r="A350" t="str">
        <f t="shared" si="132"/>
        <v>12/11/2025</v>
      </c>
      <c r="B350" t="str">
        <f t="shared" si="133"/>
        <v>ENTRADA</v>
      </c>
      <c r="C350" t="str">
        <f t="shared" si="134"/>
        <v>NFSE</v>
      </c>
      <c r="D350" t="str">
        <f t="shared" si="148"/>
        <v>3755</v>
      </c>
      <c r="E350" t="str">
        <f t="shared" si="131"/>
        <v>COM</v>
      </c>
      <c r="F350" t="str">
        <f t="shared" si="149"/>
        <v>FARMÁCIA INDIANA LJ 1 (10126)</v>
      </c>
      <c r="G350" t="str">
        <f t="shared" si="150"/>
        <v>Serv.Prest. 24/10/2025 a 02/11/2025 - RPS: 1518 - NFSe: 3755</v>
      </c>
      <c r="H350" t="str">
        <f t="shared" si="151"/>
        <v>12/11/2025</v>
      </c>
      <c r="I350" t="str">
        <f t="shared" si="152"/>
        <v>04/11/2025</v>
      </c>
      <c r="J350" t="str">
        <f t="shared" si="137"/>
        <v>12/11/2025</v>
      </c>
      <c r="M350">
        <v>303</v>
      </c>
      <c r="N350" t="str">
        <f t="shared" si="138"/>
        <v>RECEITAS COM ENTREGAS</v>
      </c>
      <c r="P350">
        <v>1225.01</v>
      </c>
      <c r="Q350" t="str">
        <f>"FARMÁCIA INDIANA LJ 11 (10008)"</f>
        <v>FARMÁCIA INDIANA LJ 11 (10008)</v>
      </c>
      <c r="R350" t="str">
        <f t="shared" si="139"/>
        <v>RECEITAS COM ENTREGAS (303)</v>
      </c>
      <c r="S350">
        <v>2991</v>
      </c>
      <c r="T350">
        <v>2450</v>
      </c>
      <c r="U350" t="s">
        <v>21</v>
      </c>
    </row>
    <row r="351" spans="1:21">
      <c r="A351" t="str">
        <f t="shared" si="132"/>
        <v>12/11/2025</v>
      </c>
      <c r="B351" t="str">
        <f t="shared" si="133"/>
        <v>ENTRADA</v>
      </c>
      <c r="C351" t="str">
        <f t="shared" si="134"/>
        <v>NFSE</v>
      </c>
      <c r="D351" t="str">
        <f t="shared" si="148"/>
        <v>3755</v>
      </c>
      <c r="E351" t="str">
        <f t="shared" si="131"/>
        <v>COM</v>
      </c>
      <c r="F351" t="str">
        <f t="shared" si="149"/>
        <v>FARMÁCIA INDIANA LJ 1 (10126)</v>
      </c>
      <c r="G351" t="str">
        <f t="shared" si="150"/>
        <v>Serv.Prest. 24/10/2025 a 02/11/2025 - RPS: 1518 - NFSe: 3755</v>
      </c>
      <c r="H351" t="str">
        <f t="shared" si="151"/>
        <v>12/11/2025</v>
      </c>
      <c r="I351" t="str">
        <f t="shared" si="152"/>
        <v>04/11/2025</v>
      </c>
      <c r="J351" t="str">
        <f t="shared" si="137"/>
        <v>12/11/2025</v>
      </c>
      <c r="M351">
        <v>303</v>
      </c>
      <c r="N351" t="str">
        <f t="shared" si="138"/>
        <v>RECEITAS COM ENTREGAS</v>
      </c>
      <c r="P351">
        <v>636.67999999999995</v>
      </c>
      <c r="Q351" t="str">
        <f>"FARMÁCIA INDIANA LJ 14 (10009)"</f>
        <v>FARMÁCIA INDIANA LJ 14 (10009)</v>
      </c>
      <c r="R351" t="str">
        <f t="shared" si="139"/>
        <v>RECEITAS COM ENTREGAS (303)</v>
      </c>
      <c r="S351">
        <v>2991</v>
      </c>
      <c r="T351">
        <v>2450</v>
      </c>
      <c r="U351" t="s">
        <v>21</v>
      </c>
    </row>
    <row r="352" spans="1:21">
      <c r="A352" t="str">
        <f t="shared" ref="A352:A383" si="153">("12/11/2025")</f>
        <v>12/11/2025</v>
      </c>
      <c r="B352" t="str">
        <f t="shared" ref="B352:B383" si="154">"ENTRADA"</f>
        <v>ENTRADA</v>
      </c>
      <c r="C352" t="str">
        <f t="shared" ref="C352:C383" si="155">"NFSE"</f>
        <v>NFSE</v>
      </c>
      <c r="D352" t="str">
        <f t="shared" si="148"/>
        <v>3755</v>
      </c>
      <c r="E352" t="str">
        <f t="shared" si="131"/>
        <v>COM</v>
      </c>
      <c r="F352" t="str">
        <f t="shared" si="149"/>
        <v>FARMÁCIA INDIANA LJ 1 (10126)</v>
      </c>
      <c r="G352" t="str">
        <f t="shared" si="150"/>
        <v>Serv.Prest. 24/10/2025 a 02/11/2025 - RPS: 1518 - NFSe: 3755</v>
      </c>
      <c r="H352" t="str">
        <f t="shared" si="151"/>
        <v>12/11/2025</v>
      </c>
      <c r="I352" t="str">
        <f t="shared" si="152"/>
        <v>04/11/2025</v>
      </c>
      <c r="J352" t="str">
        <f t="shared" ref="J352:J383" si="156">("12/11/2025")</f>
        <v>12/11/2025</v>
      </c>
      <c r="M352">
        <v>303</v>
      </c>
      <c r="N352" t="str">
        <f t="shared" ref="N352:N383" si="157">"RECEITAS COM ENTREGAS"</f>
        <v>RECEITAS COM ENTREGAS</v>
      </c>
      <c r="P352">
        <v>346.55</v>
      </c>
      <c r="Q352" t="str">
        <f>"FARMÁCIA INDIANA LJ 18 (10011)"</f>
        <v>FARMÁCIA INDIANA LJ 18 (10011)</v>
      </c>
      <c r="R352" t="str">
        <f t="shared" ref="R352:R383" si="158">"RECEITAS COM ENTREGAS (303)"</f>
        <v>RECEITAS COM ENTREGAS (303)</v>
      </c>
      <c r="S352">
        <v>2991</v>
      </c>
      <c r="T352">
        <v>2450</v>
      </c>
      <c r="U352" t="s">
        <v>21</v>
      </c>
    </row>
    <row r="353" spans="1:21">
      <c r="A353" t="str">
        <f t="shared" si="153"/>
        <v>12/11/2025</v>
      </c>
      <c r="B353" t="str">
        <f t="shared" si="154"/>
        <v>ENTRADA</v>
      </c>
      <c r="C353" t="str">
        <f t="shared" si="155"/>
        <v>NFSE</v>
      </c>
      <c r="D353" t="str">
        <f t="shared" si="148"/>
        <v>3755</v>
      </c>
      <c r="E353" t="str">
        <f t="shared" si="131"/>
        <v>COM</v>
      </c>
      <c r="F353" t="str">
        <f t="shared" si="149"/>
        <v>FARMÁCIA INDIANA LJ 1 (10126)</v>
      </c>
      <c r="G353" t="str">
        <f t="shared" si="150"/>
        <v>Serv.Prest. 24/10/2025 a 02/11/2025 - RPS: 1518 - NFSe: 3755</v>
      </c>
      <c r="H353" t="str">
        <f t="shared" si="151"/>
        <v>12/11/2025</v>
      </c>
      <c r="I353" t="str">
        <f t="shared" si="152"/>
        <v>04/11/2025</v>
      </c>
      <c r="J353" t="str">
        <f t="shared" si="156"/>
        <v>12/11/2025</v>
      </c>
      <c r="M353">
        <v>303</v>
      </c>
      <c r="N353" t="str">
        <f t="shared" si="157"/>
        <v>RECEITAS COM ENTREGAS</v>
      </c>
      <c r="P353">
        <v>491.62</v>
      </c>
      <c r="Q353" t="str">
        <f>"FARMÁCIA INDIANA LJ 19 (10012)"</f>
        <v>FARMÁCIA INDIANA LJ 19 (10012)</v>
      </c>
      <c r="R353" t="str">
        <f t="shared" si="158"/>
        <v>RECEITAS COM ENTREGAS (303)</v>
      </c>
      <c r="S353">
        <v>2991</v>
      </c>
      <c r="T353">
        <v>2450</v>
      </c>
      <c r="U353" t="s">
        <v>21</v>
      </c>
    </row>
    <row r="354" spans="1:21">
      <c r="A354" t="str">
        <f t="shared" si="153"/>
        <v>12/11/2025</v>
      </c>
      <c r="B354" t="str">
        <f t="shared" si="154"/>
        <v>ENTRADA</v>
      </c>
      <c r="C354" t="str">
        <f t="shared" si="155"/>
        <v>NFSE</v>
      </c>
      <c r="D354" t="str">
        <f t="shared" si="148"/>
        <v>3755</v>
      </c>
      <c r="E354" t="str">
        <f t="shared" si="131"/>
        <v>COM</v>
      </c>
      <c r="F354" t="str">
        <f t="shared" si="149"/>
        <v>FARMÁCIA INDIANA LJ 1 (10126)</v>
      </c>
      <c r="G354" t="str">
        <f t="shared" si="150"/>
        <v>Serv.Prest. 24/10/2025 a 02/11/2025 - RPS: 1518 - NFSe: 3755</v>
      </c>
      <c r="H354" t="str">
        <f t="shared" si="151"/>
        <v>12/11/2025</v>
      </c>
      <c r="I354" t="str">
        <f t="shared" si="152"/>
        <v>04/11/2025</v>
      </c>
      <c r="J354" t="str">
        <f t="shared" si="156"/>
        <v>12/11/2025</v>
      </c>
      <c r="M354">
        <v>303</v>
      </c>
      <c r="N354" t="str">
        <f t="shared" si="157"/>
        <v>RECEITAS COM ENTREGAS</v>
      </c>
      <c r="P354">
        <v>531.91</v>
      </c>
      <c r="Q354" t="str">
        <f>"FARMÁCIA INDIANA LJ 40 (10016)"</f>
        <v>FARMÁCIA INDIANA LJ 40 (10016)</v>
      </c>
      <c r="R354" t="str">
        <f t="shared" si="158"/>
        <v>RECEITAS COM ENTREGAS (303)</v>
      </c>
      <c r="S354">
        <v>2991</v>
      </c>
      <c r="T354">
        <v>2450</v>
      </c>
      <c r="U354" t="s">
        <v>21</v>
      </c>
    </row>
    <row r="355" spans="1:21">
      <c r="A355" t="str">
        <f t="shared" si="153"/>
        <v>12/11/2025</v>
      </c>
      <c r="B355" t="str">
        <f t="shared" si="154"/>
        <v>ENTRADA</v>
      </c>
      <c r="C355" t="str">
        <f t="shared" si="155"/>
        <v>NFSE</v>
      </c>
      <c r="D355" t="str">
        <f t="shared" si="148"/>
        <v>3755</v>
      </c>
      <c r="E355" t="str">
        <f t="shared" si="131"/>
        <v>COM</v>
      </c>
      <c r="F355" t="str">
        <f t="shared" si="149"/>
        <v>FARMÁCIA INDIANA LJ 1 (10126)</v>
      </c>
      <c r="G355" t="str">
        <f t="shared" si="150"/>
        <v>Serv.Prest. 24/10/2025 a 02/11/2025 - RPS: 1518 - NFSe: 3755</v>
      </c>
      <c r="H355" t="str">
        <f t="shared" si="151"/>
        <v>12/11/2025</v>
      </c>
      <c r="I355" t="str">
        <f t="shared" si="152"/>
        <v>04/11/2025</v>
      </c>
      <c r="J355" t="str">
        <f t="shared" si="156"/>
        <v>12/11/2025</v>
      </c>
      <c r="M355">
        <v>303</v>
      </c>
      <c r="N355" t="str">
        <f t="shared" si="157"/>
        <v>RECEITAS COM ENTREGAS</v>
      </c>
      <c r="P355">
        <v>378.79</v>
      </c>
      <c r="Q355" t="str">
        <f>"FARMÁCIA INDIANA LJ 59 (10026)"</f>
        <v>FARMÁCIA INDIANA LJ 59 (10026)</v>
      </c>
      <c r="R355" t="str">
        <f t="shared" si="158"/>
        <v>RECEITAS COM ENTREGAS (303)</v>
      </c>
      <c r="S355">
        <v>2991</v>
      </c>
      <c r="T355">
        <v>2450</v>
      </c>
      <c r="U355" t="s">
        <v>21</v>
      </c>
    </row>
    <row r="356" spans="1:21">
      <c r="A356" t="str">
        <f t="shared" si="153"/>
        <v>12/11/2025</v>
      </c>
      <c r="B356" t="str">
        <f t="shared" si="154"/>
        <v>ENTRADA</v>
      </c>
      <c r="C356" t="str">
        <f t="shared" si="155"/>
        <v>NFSE</v>
      </c>
      <c r="D356" t="str">
        <f t="shared" si="148"/>
        <v>3755</v>
      </c>
      <c r="E356" t="str">
        <f t="shared" si="131"/>
        <v>COM</v>
      </c>
      <c r="F356" t="str">
        <f t="shared" si="149"/>
        <v>FARMÁCIA INDIANA LJ 1 (10126)</v>
      </c>
      <c r="G356" t="str">
        <f t="shared" si="150"/>
        <v>Serv.Prest. 24/10/2025 a 02/11/2025 - RPS: 1518 - NFSe: 3755</v>
      </c>
      <c r="H356" t="str">
        <f t="shared" si="151"/>
        <v>12/11/2025</v>
      </c>
      <c r="I356" t="str">
        <f t="shared" si="152"/>
        <v>04/11/2025</v>
      </c>
      <c r="J356" t="str">
        <f t="shared" si="156"/>
        <v>12/11/2025</v>
      </c>
      <c r="M356">
        <v>303</v>
      </c>
      <c r="N356" t="str">
        <f t="shared" si="157"/>
        <v>RECEITAS COM ENTREGAS</v>
      </c>
      <c r="P356">
        <v>676.98</v>
      </c>
      <c r="Q356" t="str">
        <f>"FARMÁCIA INDIANA LJ 61 (10027)"</f>
        <v>FARMÁCIA INDIANA LJ 61 (10027)</v>
      </c>
      <c r="R356" t="str">
        <f t="shared" si="158"/>
        <v>RECEITAS COM ENTREGAS (303)</v>
      </c>
      <c r="S356">
        <v>2991</v>
      </c>
      <c r="T356">
        <v>2450</v>
      </c>
      <c r="U356" t="s">
        <v>21</v>
      </c>
    </row>
    <row r="357" spans="1:21">
      <c r="A357" t="str">
        <f t="shared" si="153"/>
        <v>12/11/2025</v>
      </c>
      <c r="B357" t="str">
        <f t="shared" si="154"/>
        <v>ENTRADA</v>
      </c>
      <c r="C357" t="str">
        <f t="shared" si="155"/>
        <v>NFSE</v>
      </c>
      <c r="D357" t="str">
        <f t="shared" si="148"/>
        <v>3755</v>
      </c>
      <c r="E357" t="str">
        <f t="shared" si="131"/>
        <v>COM</v>
      </c>
      <c r="F357" t="str">
        <f t="shared" si="149"/>
        <v>FARMÁCIA INDIANA LJ 1 (10126)</v>
      </c>
      <c r="G357" t="str">
        <f t="shared" si="150"/>
        <v>Serv.Prest. 24/10/2025 a 02/11/2025 - RPS: 1518 - NFSe: 3755</v>
      </c>
      <c r="H357" t="str">
        <f t="shared" si="151"/>
        <v>12/11/2025</v>
      </c>
      <c r="I357" t="str">
        <f t="shared" si="152"/>
        <v>04/11/2025</v>
      </c>
      <c r="J357" t="str">
        <f t="shared" si="156"/>
        <v>12/11/2025</v>
      </c>
      <c r="M357">
        <v>303</v>
      </c>
      <c r="N357" t="str">
        <f t="shared" si="157"/>
        <v>RECEITAS COM ENTREGAS</v>
      </c>
      <c r="P357">
        <v>190.2</v>
      </c>
      <c r="Q357" t="str">
        <f>"FARMÁCIA INDIANA LJ 62 (10028)"</f>
        <v>FARMÁCIA INDIANA LJ 62 (10028)</v>
      </c>
      <c r="R357" t="str">
        <f t="shared" si="158"/>
        <v>RECEITAS COM ENTREGAS (303)</v>
      </c>
      <c r="S357">
        <v>2991</v>
      </c>
      <c r="T357">
        <v>2450</v>
      </c>
      <c r="U357" t="s">
        <v>21</v>
      </c>
    </row>
    <row r="358" spans="1:21">
      <c r="A358" t="str">
        <f t="shared" si="153"/>
        <v>12/11/2025</v>
      </c>
      <c r="B358" t="str">
        <f t="shared" si="154"/>
        <v>ENTRADA</v>
      </c>
      <c r="C358" t="str">
        <f t="shared" si="155"/>
        <v>NFSE</v>
      </c>
      <c r="D358" t="str">
        <f t="shared" si="148"/>
        <v>3755</v>
      </c>
      <c r="E358" t="str">
        <f t="shared" si="131"/>
        <v>COM</v>
      </c>
      <c r="F358" t="str">
        <f t="shared" si="149"/>
        <v>FARMÁCIA INDIANA LJ 1 (10126)</v>
      </c>
      <c r="G358" t="str">
        <f t="shared" si="150"/>
        <v>Serv.Prest. 24/10/2025 a 02/11/2025 - RPS: 1518 - NFSe: 3755</v>
      </c>
      <c r="H358" t="str">
        <f t="shared" si="151"/>
        <v>12/11/2025</v>
      </c>
      <c r="I358" t="str">
        <f t="shared" si="152"/>
        <v>04/11/2025</v>
      </c>
      <c r="J358" t="str">
        <f t="shared" si="156"/>
        <v>12/11/2025</v>
      </c>
      <c r="M358">
        <v>303</v>
      </c>
      <c r="N358" t="str">
        <f t="shared" si="157"/>
        <v>RECEITAS COM ENTREGAS</v>
      </c>
      <c r="P358">
        <v>70.92</v>
      </c>
      <c r="Q358" t="str">
        <f>"FARMÁCIA INDIANA LJ 64 (10029)"</f>
        <v>FARMÁCIA INDIANA LJ 64 (10029)</v>
      </c>
      <c r="R358" t="str">
        <f t="shared" si="158"/>
        <v>RECEITAS COM ENTREGAS (303)</v>
      </c>
      <c r="S358">
        <v>2991</v>
      </c>
      <c r="T358">
        <v>2450</v>
      </c>
      <c r="U358" t="s">
        <v>21</v>
      </c>
    </row>
    <row r="359" spans="1:21">
      <c r="A359" t="str">
        <f t="shared" si="153"/>
        <v>12/11/2025</v>
      </c>
      <c r="B359" t="str">
        <f t="shared" si="154"/>
        <v>ENTRADA</v>
      </c>
      <c r="C359" t="str">
        <f t="shared" si="155"/>
        <v>NFSE</v>
      </c>
      <c r="D359" t="str">
        <f t="shared" si="148"/>
        <v>3755</v>
      </c>
      <c r="E359" t="str">
        <f t="shared" si="131"/>
        <v>COM</v>
      </c>
      <c r="F359" t="str">
        <f t="shared" si="149"/>
        <v>FARMÁCIA INDIANA LJ 1 (10126)</v>
      </c>
      <c r="G359" t="str">
        <f t="shared" si="150"/>
        <v>Serv.Prest. 24/10/2025 a 02/11/2025 - RPS: 1518 - NFSe: 3755</v>
      </c>
      <c r="H359" t="str">
        <f t="shared" si="151"/>
        <v>12/11/2025</v>
      </c>
      <c r="I359" t="str">
        <f t="shared" si="152"/>
        <v>04/11/2025</v>
      </c>
      <c r="J359" t="str">
        <f t="shared" si="156"/>
        <v>12/11/2025</v>
      </c>
      <c r="M359">
        <v>303</v>
      </c>
      <c r="N359" t="str">
        <f t="shared" si="157"/>
        <v>RECEITAS COM ENTREGAS</v>
      </c>
      <c r="P359">
        <v>67.7</v>
      </c>
      <c r="Q359" t="str">
        <f>"FARMÁCIA INDIANA LJ 97 (10040)"</f>
        <v>FARMÁCIA INDIANA LJ 97 (10040)</v>
      </c>
      <c r="R359" t="str">
        <f t="shared" si="158"/>
        <v>RECEITAS COM ENTREGAS (303)</v>
      </c>
      <c r="S359">
        <v>2991</v>
      </c>
      <c r="T359">
        <v>2450</v>
      </c>
      <c r="U359" t="s">
        <v>21</v>
      </c>
    </row>
    <row r="360" spans="1:21">
      <c r="A360" t="str">
        <f t="shared" si="153"/>
        <v>12/11/2025</v>
      </c>
      <c r="B360" t="str">
        <f t="shared" si="154"/>
        <v>ENTRADA</v>
      </c>
      <c r="C360" t="str">
        <f t="shared" si="155"/>
        <v>NFSE</v>
      </c>
      <c r="D360" t="str">
        <f t="shared" si="148"/>
        <v>3755</v>
      </c>
      <c r="E360" t="str">
        <f t="shared" si="131"/>
        <v>COM</v>
      </c>
      <c r="F360" t="str">
        <f t="shared" si="149"/>
        <v>FARMÁCIA INDIANA LJ 1 (10126)</v>
      </c>
      <c r="G360" t="str">
        <f t="shared" si="150"/>
        <v>Serv.Prest. 24/10/2025 a 02/11/2025 - RPS: 1518 - NFSe: 3755</v>
      </c>
      <c r="H360" t="str">
        <f t="shared" si="151"/>
        <v>12/11/2025</v>
      </c>
      <c r="I360" t="str">
        <f t="shared" si="152"/>
        <v>04/11/2025</v>
      </c>
      <c r="J360" t="str">
        <f t="shared" si="156"/>
        <v>12/11/2025</v>
      </c>
      <c r="M360">
        <v>303</v>
      </c>
      <c r="N360" t="str">
        <f t="shared" si="157"/>
        <v>RECEITAS COM ENTREGAS</v>
      </c>
      <c r="P360">
        <v>199.87</v>
      </c>
      <c r="Q360" t="str">
        <f>"FARMÁCIA INDIANA LJ 100 (10042)"</f>
        <v>FARMÁCIA INDIANA LJ 100 (10042)</v>
      </c>
      <c r="R360" t="str">
        <f t="shared" si="158"/>
        <v>RECEITAS COM ENTREGAS (303)</v>
      </c>
      <c r="S360">
        <v>2991</v>
      </c>
      <c r="T360">
        <v>2450</v>
      </c>
      <c r="U360" t="s">
        <v>21</v>
      </c>
    </row>
    <row r="361" spans="1:21">
      <c r="A361" t="str">
        <f t="shared" si="153"/>
        <v>12/11/2025</v>
      </c>
      <c r="B361" t="str">
        <f t="shared" si="154"/>
        <v>ENTRADA</v>
      </c>
      <c r="C361" t="str">
        <f t="shared" si="155"/>
        <v>NFSE</v>
      </c>
      <c r="D361" t="str">
        <f t="shared" si="148"/>
        <v>3755</v>
      </c>
      <c r="E361" t="str">
        <f t="shared" si="131"/>
        <v>COM</v>
      </c>
      <c r="F361" t="str">
        <f t="shared" si="149"/>
        <v>FARMÁCIA INDIANA LJ 1 (10126)</v>
      </c>
      <c r="G361" t="str">
        <f t="shared" si="150"/>
        <v>Serv.Prest. 24/10/2025 a 02/11/2025 - RPS: 1518 - NFSe: 3755</v>
      </c>
      <c r="H361" t="str">
        <f t="shared" si="151"/>
        <v>12/11/2025</v>
      </c>
      <c r="I361" t="str">
        <f t="shared" si="152"/>
        <v>04/11/2025</v>
      </c>
      <c r="J361" t="str">
        <f t="shared" si="156"/>
        <v>12/11/2025</v>
      </c>
      <c r="M361">
        <v>303</v>
      </c>
      <c r="N361" t="str">
        <f t="shared" si="157"/>
        <v>RECEITAS COM ENTREGAS</v>
      </c>
      <c r="P361">
        <v>726.95</v>
      </c>
      <c r="Q361" t="str">
        <f>"FARMÁCIA INDIANA LJ 101 (10043)"</f>
        <v>FARMÁCIA INDIANA LJ 101 (10043)</v>
      </c>
      <c r="R361" t="str">
        <f t="shared" si="158"/>
        <v>RECEITAS COM ENTREGAS (303)</v>
      </c>
      <c r="S361">
        <v>2991</v>
      </c>
      <c r="T361">
        <v>2450</v>
      </c>
      <c r="U361" t="s">
        <v>21</v>
      </c>
    </row>
    <row r="362" spans="1:21">
      <c r="A362" t="str">
        <f t="shared" si="153"/>
        <v>12/11/2025</v>
      </c>
      <c r="B362" t="str">
        <f t="shared" si="154"/>
        <v>ENTRADA</v>
      </c>
      <c r="C362" t="str">
        <f t="shared" si="155"/>
        <v>NFSE</v>
      </c>
      <c r="D362" t="str">
        <f t="shared" si="148"/>
        <v>3755</v>
      </c>
      <c r="E362" t="str">
        <f t="shared" si="131"/>
        <v>COM</v>
      </c>
      <c r="F362" t="str">
        <f t="shared" si="149"/>
        <v>FARMÁCIA INDIANA LJ 1 (10126)</v>
      </c>
      <c r="G362" t="str">
        <f t="shared" si="150"/>
        <v>Serv.Prest. 24/10/2025 a 02/11/2025 - RPS: 1518 - NFSe: 3755</v>
      </c>
      <c r="H362" t="str">
        <f t="shared" si="151"/>
        <v>12/11/2025</v>
      </c>
      <c r="I362" t="str">
        <f t="shared" si="152"/>
        <v>04/11/2025</v>
      </c>
      <c r="J362" t="str">
        <f t="shared" si="156"/>
        <v>12/11/2025</v>
      </c>
      <c r="M362">
        <v>303</v>
      </c>
      <c r="N362" t="str">
        <f t="shared" si="157"/>
        <v>RECEITAS COM ENTREGAS</v>
      </c>
      <c r="P362">
        <v>119.28</v>
      </c>
      <c r="Q362" t="str">
        <f>"FARMÁCIA INDIANA LJ 103 (10044)"</f>
        <v>FARMÁCIA INDIANA LJ 103 (10044)</v>
      </c>
      <c r="R362" t="str">
        <f t="shared" si="158"/>
        <v>RECEITAS COM ENTREGAS (303)</v>
      </c>
      <c r="S362">
        <v>2991</v>
      </c>
      <c r="T362">
        <v>2450</v>
      </c>
      <c r="U362" t="s">
        <v>21</v>
      </c>
    </row>
    <row r="363" spans="1:21">
      <c r="A363" t="str">
        <f t="shared" si="153"/>
        <v>12/11/2025</v>
      </c>
      <c r="B363" t="str">
        <f t="shared" si="154"/>
        <v>ENTRADA</v>
      </c>
      <c r="C363" t="str">
        <f t="shared" si="155"/>
        <v>NFSE</v>
      </c>
      <c r="D363" t="str">
        <f t="shared" si="148"/>
        <v>3755</v>
      </c>
      <c r="E363" t="str">
        <f t="shared" si="131"/>
        <v>COM</v>
      </c>
      <c r="F363" t="str">
        <f t="shared" si="149"/>
        <v>FARMÁCIA INDIANA LJ 1 (10126)</v>
      </c>
      <c r="G363" t="str">
        <f t="shared" si="150"/>
        <v>Serv.Prest. 24/10/2025 a 02/11/2025 - RPS: 1518 - NFSe: 3755</v>
      </c>
      <c r="H363" t="str">
        <f t="shared" si="151"/>
        <v>12/11/2025</v>
      </c>
      <c r="I363" t="str">
        <f t="shared" si="152"/>
        <v>04/11/2025</v>
      </c>
      <c r="J363" t="str">
        <f t="shared" si="156"/>
        <v>12/11/2025</v>
      </c>
      <c r="M363">
        <v>303</v>
      </c>
      <c r="N363" t="str">
        <f t="shared" si="157"/>
        <v>RECEITAS COM ENTREGAS</v>
      </c>
      <c r="P363">
        <v>327.20999999999998</v>
      </c>
      <c r="Q363" t="str">
        <f>"FARMÁCIA INDIANA LJ 109 (10047)"</f>
        <v>FARMÁCIA INDIANA LJ 109 (10047)</v>
      </c>
      <c r="R363" t="str">
        <f t="shared" si="158"/>
        <v>RECEITAS COM ENTREGAS (303)</v>
      </c>
      <c r="S363">
        <v>2991</v>
      </c>
      <c r="T363">
        <v>2450</v>
      </c>
      <c r="U363" t="s">
        <v>21</v>
      </c>
    </row>
    <row r="364" spans="1:21">
      <c r="A364" t="str">
        <f t="shared" si="153"/>
        <v>12/11/2025</v>
      </c>
      <c r="B364" t="str">
        <f t="shared" si="154"/>
        <v>ENTRADA</v>
      </c>
      <c r="C364" t="str">
        <f t="shared" si="155"/>
        <v>NFSE</v>
      </c>
      <c r="D364" t="str">
        <f t="shared" si="148"/>
        <v>3755</v>
      </c>
      <c r="E364" t="str">
        <f t="shared" si="131"/>
        <v>COM</v>
      </c>
      <c r="F364" t="str">
        <f t="shared" si="149"/>
        <v>FARMÁCIA INDIANA LJ 1 (10126)</v>
      </c>
      <c r="G364" t="str">
        <f t="shared" si="150"/>
        <v>Serv.Prest. 24/10/2025 a 02/11/2025 - RPS: 1518 - NFSe: 3755</v>
      </c>
      <c r="H364" t="str">
        <f t="shared" si="151"/>
        <v>12/11/2025</v>
      </c>
      <c r="I364" t="str">
        <f t="shared" si="152"/>
        <v>04/11/2025</v>
      </c>
      <c r="J364" t="str">
        <f t="shared" si="156"/>
        <v>12/11/2025</v>
      </c>
      <c r="M364">
        <v>303</v>
      </c>
      <c r="N364" t="str">
        <f t="shared" si="157"/>
        <v>RECEITAS COM ENTREGAS</v>
      </c>
      <c r="P364">
        <v>420.69</v>
      </c>
      <c r="Q364" t="str">
        <f>"FARMÁCIA INDIANA LJ 110 (10048)"</f>
        <v>FARMÁCIA INDIANA LJ 110 (10048)</v>
      </c>
      <c r="R364" t="str">
        <f t="shared" si="158"/>
        <v>RECEITAS COM ENTREGAS (303)</v>
      </c>
      <c r="S364">
        <v>2991</v>
      </c>
      <c r="T364">
        <v>2450</v>
      </c>
      <c r="U364" t="s">
        <v>21</v>
      </c>
    </row>
    <row r="365" spans="1:21">
      <c r="A365" t="str">
        <f t="shared" si="153"/>
        <v>12/11/2025</v>
      </c>
      <c r="B365" t="str">
        <f t="shared" si="154"/>
        <v>ENTRADA</v>
      </c>
      <c r="C365" t="str">
        <f t="shared" si="155"/>
        <v>NFSE</v>
      </c>
      <c r="D365" t="str">
        <f t="shared" si="148"/>
        <v>3755</v>
      </c>
      <c r="E365" t="str">
        <f t="shared" si="131"/>
        <v>COM</v>
      </c>
      <c r="F365" t="str">
        <f t="shared" si="149"/>
        <v>FARMÁCIA INDIANA LJ 1 (10126)</v>
      </c>
      <c r="G365" t="str">
        <f t="shared" si="150"/>
        <v>Serv.Prest. 24/10/2025 a 02/11/2025 - RPS: 1518 - NFSe: 3755</v>
      </c>
      <c r="H365" t="str">
        <f t="shared" si="151"/>
        <v>12/11/2025</v>
      </c>
      <c r="I365" t="str">
        <f t="shared" si="152"/>
        <v>04/11/2025</v>
      </c>
      <c r="J365" t="str">
        <f t="shared" si="156"/>
        <v>12/11/2025</v>
      </c>
      <c r="M365">
        <v>303</v>
      </c>
      <c r="N365" t="str">
        <f t="shared" si="157"/>
        <v>RECEITAS COM ENTREGAS</v>
      </c>
      <c r="P365">
        <v>66.09</v>
      </c>
      <c r="Q365" t="str">
        <f>"FARMÁCIA INDIANA LJ 111 (10049)"</f>
        <v>FARMÁCIA INDIANA LJ 111 (10049)</v>
      </c>
      <c r="R365" t="str">
        <f t="shared" si="158"/>
        <v>RECEITAS COM ENTREGAS (303)</v>
      </c>
      <c r="S365">
        <v>2991</v>
      </c>
      <c r="T365">
        <v>2450</v>
      </c>
      <c r="U365" t="s">
        <v>21</v>
      </c>
    </row>
    <row r="366" spans="1:21">
      <c r="A366" t="str">
        <f t="shared" si="153"/>
        <v>12/11/2025</v>
      </c>
      <c r="B366" t="str">
        <f t="shared" si="154"/>
        <v>ENTRADA</v>
      </c>
      <c r="C366" t="str">
        <f t="shared" si="155"/>
        <v>NFSE</v>
      </c>
      <c r="D366" t="str">
        <f t="shared" si="148"/>
        <v>3755</v>
      </c>
      <c r="E366" t="str">
        <f t="shared" si="131"/>
        <v>COM</v>
      </c>
      <c r="F366" t="str">
        <f t="shared" si="149"/>
        <v>FARMÁCIA INDIANA LJ 1 (10126)</v>
      </c>
      <c r="G366" t="str">
        <f t="shared" si="150"/>
        <v>Serv.Prest. 24/10/2025 a 02/11/2025 - RPS: 1518 - NFSe: 3755</v>
      </c>
      <c r="H366" t="str">
        <f t="shared" si="151"/>
        <v>12/11/2025</v>
      </c>
      <c r="I366" t="str">
        <f t="shared" si="152"/>
        <v>04/11/2025</v>
      </c>
      <c r="J366" t="str">
        <f t="shared" si="156"/>
        <v>12/11/2025</v>
      </c>
      <c r="M366">
        <v>303</v>
      </c>
      <c r="N366" t="str">
        <f t="shared" si="157"/>
        <v>RECEITAS COM ENTREGAS</v>
      </c>
      <c r="P366">
        <v>99.93</v>
      </c>
      <c r="Q366" t="str">
        <f>"FARMÁCIA INDIANA LJ 112 (10050)"</f>
        <v>FARMÁCIA INDIANA LJ 112 (10050)</v>
      </c>
      <c r="R366" t="str">
        <f t="shared" si="158"/>
        <v>RECEITAS COM ENTREGAS (303)</v>
      </c>
      <c r="S366">
        <v>2991</v>
      </c>
      <c r="T366">
        <v>2450</v>
      </c>
      <c r="U366" t="s">
        <v>21</v>
      </c>
    </row>
    <row r="367" spans="1:21">
      <c r="A367" t="str">
        <f t="shared" si="153"/>
        <v>12/11/2025</v>
      </c>
      <c r="B367" t="str">
        <f t="shared" si="154"/>
        <v>ENTRADA</v>
      </c>
      <c r="C367" t="str">
        <f t="shared" si="155"/>
        <v>NFSE</v>
      </c>
      <c r="D367" t="str">
        <f t="shared" si="148"/>
        <v>3755</v>
      </c>
      <c r="E367" t="str">
        <f t="shared" si="131"/>
        <v>COM</v>
      </c>
      <c r="F367" t="str">
        <f t="shared" si="149"/>
        <v>FARMÁCIA INDIANA LJ 1 (10126)</v>
      </c>
      <c r="G367" t="str">
        <f t="shared" si="150"/>
        <v>Serv.Prest. 24/10/2025 a 02/11/2025 - RPS: 1518 - NFSe: 3755</v>
      </c>
      <c r="H367" t="str">
        <f t="shared" si="151"/>
        <v>12/11/2025</v>
      </c>
      <c r="I367" t="str">
        <f t="shared" si="152"/>
        <v>04/11/2025</v>
      </c>
      <c r="J367" t="str">
        <f t="shared" si="156"/>
        <v>12/11/2025</v>
      </c>
      <c r="M367">
        <v>303</v>
      </c>
      <c r="N367" t="str">
        <f t="shared" si="157"/>
        <v>RECEITAS COM ENTREGAS</v>
      </c>
      <c r="P367">
        <v>99.93</v>
      </c>
      <c r="Q367" t="str">
        <f>"FARMÁCIA INDIANA LJ 116 (10051)"</f>
        <v>FARMÁCIA INDIANA LJ 116 (10051)</v>
      </c>
      <c r="R367" t="str">
        <f t="shared" si="158"/>
        <v>RECEITAS COM ENTREGAS (303)</v>
      </c>
      <c r="S367">
        <v>2991</v>
      </c>
      <c r="T367">
        <v>2450</v>
      </c>
      <c r="U367" t="s">
        <v>21</v>
      </c>
    </row>
    <row r="368" spans="1:21">
      <c r="A368" t="str">
        <f t="shared" si="153"/>
        <v>12/11/2025</v>
      </c>
      <c r="B368" t="str">
        <f t="shared" si="154"/>
        <v>ENTRADA</v>
      </c>
      <c r="C368" t="str">
        <f t="shared" si="155"/>
        <v>NFSE</v>
      </c>
      <c r="D368" t="str">
        <f t="shared" si="148"/>
        <v>3755</v>
      </c>
      <c r="E368" t="str">
        <f t="shared" si="131"/>
        <v>COM</v>
      </c>
      <c r="F368" t="str">
        <f t="shared" si="149"/>
        <v>FARMÁCIA INDIANA LJ 1 (10126)</v>
      </c>
      <c r="G368" t="str">
        <f t="shared" si="150"/>
        <v>Serv.Prest. 24/10/2025 a 02/11/2025 - RPS: 1518 - NFSe: 3755</v>
      </c>
      <c r="H368" t="str">
        <f t="shared" si="151"/>
        <v>12/11/2025</v>
      </c>
      <c r="I368" t="str">
        <f t="shared" si="152"/>
        <v>04/11/2025</v>
      </c>
      <c r="J368" t="str">
        <f t="shared" si="156"/>
        <v>12/11/2025</v>
      </c>
      <c r="M368">
        <v>303</v>
      </c>
      <c r="N368" t="str">
        <f t="shared" si="157"/>
        <v>RECEITAS COM ENTREGAS</v>
      </c>
      <c r="P368">
        <v>109.61</v>
      </c>
      <c r="Q368" t="str">
        <f>"FARMÁCIA INDIANA LJ 118 (10052)"</f>
        <v>FARMÁCIA INDIANA LJ 118 (10052)</v>
      </c>
      <c r="R368" t="str">
        <f t="shared" si="158"/>
        <v>RECEITAS COM ENTREGAS (303)</v>
      </c>
      <c r="S368">
        <v>2991</v>
      </c>
      <c r="T368">
        <v>2450</v>
      </c>
      <c r="U368" t="s">
        <v>21</v>
      </c>
    </row>
    <row r="369" spans="1:21">
      <c r="A369" t="str">
        <f t="shared" si="153"/>
        <v>12/11/2025</v>
      </c>
      <c r="B369" t="str">
        <f t="shared" si="154"/>
        <v>ENTRADA</v>
      </c>
      <c r="C369" t="str">
        <f t="shared" si="155"/>
        <v>NFSE</v>
      </c>
      <c r="D369" t="str">
        <f t="shared" si="148"/>
        <v>3755</v>
      </c>
      <c r="E369" t="str">
        <f t="shared" si="131"/>
        <v>COM</v>
      </c>
      <c r="F369" t="str">
        <f t="shared" si="149"/>
        <v>FARMÁCIA INDIANA LJ 1 (10126)</v>
      </c>
      <c r="G369" t="str">
        <f t="shared" si="150"/>
        <v>Serv.Prest. 24/10/2025 a 02/11/2025 - RPS: 1518 - NFSe: 3755</v>
      </c>
      <c r="H369" t="str">
        <f t="shared" si="151"/>
        <v>12/11/2025</v>
      </c>
      <c r="I369" t="str">
        <f t="shared" si="152"/>
        <v>04/11/2025</v>
      </c>
      <c r="J369" t="str">
        <f t="shared" si="156"/>
        <v>12/11/2025</v>
      </c>
      <c r="M369">
        <v>303</v>
      </c>
      <c r="N369" t="str">
        <f t="shared" si="157"/>
        <v>RECEITAS COM ENTREGAS</v>
      </c>
      <c r="P369">
        <v>99.93</v>
      </c>
      <c r="Q369" t="str">
        <f>"FARMÁCIA INDIANA LJ 121 (10054)"</f>
        <v>FARMÁCIA INDIANA LJ 121 (10054)</v>
      </c>
      <c r="R369" t="str">
        <f t="shared" si="158"/>
        <v>RECEITAS COM ENTREGAS (303)</v>
      </c>
      <c r="S369">
        <v>2991</v>
      </c>
      <c r="T369">
        <v>2450</v>
      </c>
      <c r="U369" t="s">
        <v>21</v>
      </c>
    </row>
    <row r="370" spans="1:21">
      <c r="A370" t="str">
        <f t="shared" si="153"/>
        <v>12/11/2025</v>
      </c>
      <c r="B370" t="str">
        <f t="shared" si="154"/>
        <v>ENTRADA</v>
      </c>
      <c r="C370" t="str">
        <f t="shared" si="155"/>
        <v>NFSE</v>
      </c>
      <c r="D370" t="str">
        <f t="shared" si="148"/>
        <v>3755</v>
      </c>
      <c r="E370" t="str">
        <f t="shared" si="131"/>
        <v>COM</v>
      </c>
      <c r="F370" t="str">
        <f t="shared" si="149"/>
        <v>FARMÁCIA INDIANA LJ 1 (10126)</v>
      </c>
      <c r="G370" t="str">
        <f t="shared" si="150"/>
        <v>Serv.Prest. 24/10/2025 a 02/11/2025 - RPS: 1518 - NFSe: 3755</v>
      </c>
      <c r="H370" t="str">
        <f t="shared" si="151"/>
        <v>12/11/2025</v>
      </c>
      <c r="I370" t="str">
        <f t="shared" si="152"/>
        <v>04/11/2025</v>
      </c>
      <c r="J370" t="str">
        <f t="shared" si="156"/>
        <v>12/11/2025</v>
      </c>
      <c r="M370">
        <v>303</v>
      </c>
      <c r="N370" t="str">
        <f t="shared" si="157"/>
        <v>RECEITAS COM ENTREGAS</v>
      </c>
      <c r="P370">
        <v>119.28</v>
      </c>
      <c r="Q370" t="str">
        <f>"FARMÁCIA INDIANA LJ 128 (10057)"</f>
        <v>FARMÁCIA INDIANA LJ 128 (10057)</v>
      </c>
      <c r="R370" t="str">
        <f t="shared" si="158"/>
        <v>RECEITAS COM ENTREGAS (303)</v>
      </c>
      <c r="S370">
        <v>2991</v>
      </c>
      <c r="T370">
        <v>2450</v>
      </c>
      <c r="U370" t="s">
        <v>21</v>
      </c>
    </row>
    <row r="371" spans="1:21">
      <c r="A371" t="str">
        <f t="shared" si="153"/>
        <v>12/11/2025</v>
      </c>
      <c r="B371" t="str">
        <f t="shared" si="154"/>
        <v>ENTRADA</v>
      </c>
      <c r="C371" t="str">
        <f t="shared" si="155"/>
        <v>NFSE</v>
      </c>
      <c r="D371" t="str">
        <f t="shared" si="148"/>
        <v>3755</v>
      </c>
      <c r="E371" t="str">
        <f t="shared" si="131"/>
        <v>COM</v>
      </c>
      <c r="F371" t="str">
        <f t="shared" si="149"/>
        <v>FARMÁCIA INDIANA LJ 1 (10126)</v>
      </c>
      <c r="G371" t="str">
        <f t="shared" si="150"/>
        <v>Serv.Prest. 24/10/2025 a 02/11/2025 - RPS: 1518 - NFSe: 3755</v>
      </c>
      <c r="H371" t="str">
        <f t="shared" si="151"/>
        <v>12/11/2025</v>
      </c>
      <c r="I371" t="str">
        <f t="shared" si="152"/>
        <v>04/11/2025</v>
      </c>
      <c r="J371" t="str">
        <f t="shared" si="156"/>
        <v>12/11/2025</v>
      </c>
      <c r="M371">
        <v>303</v>
      </c>
      <c r="N371" t="str">
        <f t="shared" si="157"/>
        <v>RECEITAS COM ENTREGAS</v>
      </c>
      <c r="P371">
        <v>41.91</v>
      </c>
      <c r="Q371" t="str">
        <f>"FARMÁCIA INDIANA LJ 140 (10064)"</f>
        <v>FARMÁCIA INDIANA LJ 140 (10064)</v>
      </c>
      <c r="R371" t="str">
        <f t="shared" si="158"/>
        <v>RECEITAS COM ENTREGAS (303)</v>
      </c>
      <c r="S371">
        <v>2991</v>
      </c>
      <c r="T371">
        <v>2450</v>
      </c>
      <c r="U371" t="s">
        <v>21</v>
      </c>
    </row>
    <row r="372" spans="1:21">
      <c r="A372" t="str">
        <f t="shared" si="153"/>
        <v>12/11/2025</v>
      </c>
      <c r="B372" t="str">
        <f t="shared" si="154"/>
        <v>ENTRADA</v>
      </c>
      <c r="C372" t="str">
        <f t="shared" si="155"/>
        <v>NFSE</v>
      </c>
      <c r="D372" t="str">
        <f t="shared" si="148"/>
        <v>3755</v>
      </c>
      <c r="E372" t="str">
        <f t="shared" si="131"/>
        <v>COM</v>
      </c>
      <c r="F372" t="str">
        <f t="shared" si="149"/>
        <v>FARMÁCIA INDIANA LJ 1 (10126)</v>
      </c>
      <c r="G372" t="str">
        <f t="shared" si="150"/>
        <v>Serv.Prest. 24/10/2025 a 02/11/2025 - RPS: 1518 - NFSe: 3755</v>
      </c>
      <c r="H372" t="str">
        <f t="shared" si="151"/>
        <v>12/11/2025</v>
      </c>
      <c r="I372" t="str">
        <f t="shared" si="152"/>
        <v>04/11/2025</v>
      </c>
      <c r="J372" t="str">
        <f t="shared" si="156"/>
        <v>12/11/2025</v>
      </c>
      <c r="M372">
        <v>303</v>
      </c>
      <c r="N372" t="str">
        <f t="shared" si="157"/>
        <v>RECEITAS COM ENTREGAS</v>
      </c>
      <c r="P372">
        <v>12.89</v>
      </c>
      <c r="Q372" t="str">
        <f>"FARMÁCIA INDIANA LJ 141 (10065)"</f>
        <v>FARMÁCIA INDIANA LJ 141 (10065)</v>
      </c>
      <c r="R372" t="str">
        <f t="shared" si="158"/>
        <v>RECEITAS COM ENTREGAS (303)</v>
      </c>
      <c r="S372">
        <v>2991</v>
      </c>
      <c r="T372">
        <v>2450</v>
      </c>
      <c r="U372" t="s">
        <v>21</v>
      </c>
    </row>
    <row r="373" spans="1:21">
      <c r="A373" t="str">
        <f t="shared" si="153"/>
        <v>12/11/2025</v>
      </c>
      <c r="B373" t="str">
        <f t="shared" si="154"/>
        <v>ENTRADA</v>
      </c>
      <c r="C373" t="str">
        <f t="shared" si="155"/>
        <v>NFSE</v>
      </c>
      <c r="D373" t="str">
        <f t="shared" si="148"/>
        <v>3755</v>
      </c>
      <c r="E373" t="str">
        <f t="shared" si="131"/>
        <v>COM</v>
      </c>
      <c r="F373" t="str">
        <f t="shared" si="149"/>
        <v>FARMÁCIA INDIANA LJ 1 (10126)</v>
      </c>
      <c r="G373" t="str">
        <f t="shared" si="150"/>
        <v>Serv.Prest. 24/10/2025 a 02/11/2025 - RPS: 1518 - NFSe: 3755</v>
      </c>
      <c r="H373" t="str">
        <f t="shared" si="151"/>
        <v>12/11/2025</v>
      </c>
      <c r="I373" t="str">
        <f t="shared" si="152"/>
        <v>04/11/2025</v>
      </c>
      <c r="J373" t="str">
        <f t="shared" si="156"/>
        <v>12/11/2025</v>
      </c>
      <c r="M373">
        <v>303</v>
      </c>
      <c r="N373" t="str">
        <f t="shared" si="157"/>
        <v>RECEITAS COM ENTREGAS</v>
      </c>
      <c r="P373">
        <v>1044.48</v>
      </c>
      <c r="Q373" t="str">
        <f>"FARMÁCIA INDIANA LJ 142 (10066)"</f>
        <v>FARMÁCIA INDIANA LJ 142 (10066)</v>
      </c>
      <c r="R373" t="str">
        <f t="shared" si="158"/>
        <v>RECEITAS COM ENTREGAS (303)</v>
      </c>
      <c r="S373">
        <v>2991</v>
      </c>
      <c r="T373">
        <v>2450</v>
      </c>
      <c r="U373" t="s">
        <v>21</v>
      </c>
    </row>
    <row r="374" spans="1:21">
      <c r="A374" t="str">
        <f t="shared" si="153"/>
        <v>12/11/2025</v>
      </c>
      <c r="B374" t="str">
        <f t="shared" si="154"/>
        <v>ENTRADA</v>
      </c>
      <c r="C374" t="str">
        <f t="shared" si="155"/>
        <v>NFSE</v>
      </c>
      <c r="D374" t="str">
        <f t="shared" si="148"/>
        <v>3755</v>
      </c>
      <c r="E374" t="str">
        <f t="shared" si="131"/>
        <v>COM</v>
      </c>
      <c r="F374" t="str">
        <f t="shared" si="149"/>
        <v>FARMÁCIA INDIANA LJ 1 (10126)</v>
      </c>
      <c r="G374" t="str">
        <f t="shared" si="150"/>
        <v>Serv.Prest. 24/10/2025 a 02/11/2025 - RPS: 1518 - NFSe: 3755</v>
      </c>
      <c r="H374" t="str">
        <f t="shared" si="151"/>
        <v>12/11/2025</v>
      </c>
      <c r="I374" t="str">
        <f t="shared" si="152"/>
        <v>04/11/2025</v>
      </c>
      <c r="J374" t="str">
        <f t="shared" si="156"/>
        <v>12/11/2025</v>
      </c>
      <c r="M374">
        <v>303</v>
      </c>
      <c r="N374" t="str">
        <f t="shared" si="157"/>
        <v>RECEITAS COM ENTREGAS</v>
      </c>
      <c r="P374">
        <v>67.7</v>
      </c>
      <c r="Q374" t="str">
        <f>"FARMÁCIA INDIANA LJ 143 (10067)"</f>
        <v>FARMÁCIA INDIANA LJ 143 (10067)</v>
      </c>
      <c r="R374" t="str">
        <f t="shared" si="158"/>
        <v>RECEITAS COM ENTREGAS (303)</v>
      </c>
      <c r="S374">
        <v>2991</v>
      </c>
      <c r="T374">
        <v>2450</v>
      </c>
      <c r="U374" t="s">
        <v>21</v>
      </c>
    </row>
    <row r="375" spans="1:21">
      <c r="A375" t="str">
        <f t="shared" si="153"/>
        <v>12/11/2025</v>
      </c>
      <c r="B375" t="str">
        <f t="shared" si="154"/>
        <v>ENTRADA</v>
      </c>
      <c r="C375" t="str">
        <f t="shared" si="155"/>
        <v>NFSE</v>
      </c>
      <c r="D375" t="str">
        <f t="shared" si="148"/>
        <v>3755</v>
      </c>
      <c r="E375" t="str">
        <f t="shared" si="131"/>
        <v>COM</v>
      </c>
      <c r="F375" t="str">
        <f t="shared" si="149"/>
        <v>FARMÁCIA INDIANA LJ 1 (10126)</v>
      </c>
      <c r="G375" t="str">
        <f t="shared" si="150"/>
        <v>Serv.Prest. 24/10/2025 a 02/11/2025 - RPS: 1518 - NFSe: 3755</v>
      </c>
      <c r="H375" t="str">
        <f t="shared" si="151"/>
        <v>12/11/2025</v>
      </c>
      <c r="I375" t="str">
        <f t="shared" si="152"/>
        <v>04/11/2025</v>
      </c>
      <c r="J375" t="str">
        <f t="shared" si="156"/>
        <v>12/11/2025</v>
      </c>
      <c r="M375">
        <v>303</v>
      </c>
      <c r="N375" t="str">
        <f t="shared" si="157"/>
        <v>RECEITAS COM ENTREGAS</v>
      </c>
      <c r="P375">
        <v>549.64</v>
      </c>
      <c r="Q375" t="str">
        <f>"FARMÁCIA INDIANA LJ 152 (10069)"</f>
        <v>FARMÁCIA INDIANA LJ 152 (10069)</v>
      </c>
      <c r="R375" t="str">
        <f t="shared" si="158"/>
        <v>RECEITAS COM ENTREGAS (303)</v>
      </c>
      <c r="S375">
        <v>2991</v>
      </c>
      <c r="T375">
        <v>2450</v>
      </c>
      <c r="U375" t="s">
        <v>21</v>
      </c>
    </row>
    <row r="376" spans="1:21">
      <c r="A376" t="str">
        <f t="shared" si="153"/>
        <v>12/11/2025</v>
      </c>
      <c r="B376" t="str">
        <f t="shared" si="154"/>
        <v>ENTRADA</v>
      </c>
      <c r="C376" t="str">
        <f t="shared" si="155"/>
        <v>NFSE</v>
      </c>
      <c r="D376" t="str">
        <f t="shared" si="148"/>
        <v>3755</v>
      </c>
      <c r="E376" t="str">
        <f t="shared" si="131"/>
        <v>COM</v>
      </c>
      <c r="F376" t="str">
        <f t="shared" si="149"/>
        <v>FARMÁCIA INDIANA LJ 1 (10126)</v>
      </c>
      <c r="G376" t="str">
        <f t="shared" si="150"/>
        <v>Serv.Prest. 24/10/2025 a 02/11/2025 - RPS: 1518 - NFSe: 3755</v>
      </c>
      <c r="H376" t="str">
        <f t="shared" si="151"/>
        <v>12/11/2025</v>
      </c>
      <c r="I376" t="str">
        <f t="shared" si="152"/>
        <v>04/11/2025</v>
      </c>
      <c r="J376" t="str">
        <f t="shared" si="156"/>
        <v>12/11/2025</v>
      </c>
      <c r="M376">
        <v>303</v>
      </c>
      <c r="N376" t="str">
        <f t="shared" si="157"/>
        <v>RECEITAS COM ENTREGAS</v>
      </c>
      <c r="P376">
        <v>25.79</v>
      </c>
      <c r="Q376" t="str">
        <f>"FARMÁCIA INDIANA LJ 154 (10070)"</f>
        <v>FARMÁCIA INDIANA LJ 154 (10070)</v>
      </c>
      <c r="R376" t="str">
        <f t="shared" si="158"/>
        <v>RECEITAS COM ENTREGAS (303)</v>
      </c>
      <c r="S376">
        <v>2991</v>
      </c>
      <c r="T376">
        <v>2450</v>
      </c>
      <c r="U376" t="s">
        <v>21</v>
      </c>
    </row>
    <row r="377" spans="1:21">
      <c r="A377" t="str">
        <f t="shared" si="153"/>
        <v>12/11/2025</v>
      </c>
      <c r="B377" t="str">
        <f t="shared" si="154"/>
        <v>ENTRADA</v>
      </c>
      <c r="C377" t="str">
        <f t="shared" si="155"/>
        <v>NFSE</v>
      </c>
      <c r="D377" t="str">
        <f t="shared" si="148"/>
        <v>3755</v>
      </c>
      <c r="E377" t="str">
        <f t="shared" si="131"/>
        <v>COM</v>
      </c>
      <c r="F377" t="str">
        <f t="shared" si="149"/>
        <v>FARMÁCIA INDIANA LJ 1 (10126)</v>
      </c>
      <c r="G377" t="str">
        <f t="shared" si="150"/>
        <v>Serv.Prest. 24/10/2025 a 02/11/2025 - RPS: 1518 - NFSe: 3755</v>
      </c>
      <c r="H377" t="str">
        <f t="shared" si="151"/>
        <v>12/11/2025</v>
      </c>
      <c r="I377" t="str">
        <f t="shared" si="152"/>
        <v>04/11/2025</v>
      </c>
      <c r="J377" t="str">
        <f t="shared" si="156"/>
        <v>12/11/2025</v>
      </c>
      <c r="M377">
        <v>303</v>
      </c>
      <c r="N377" t="str">
        <f t="shared" si="157"/>
        <v>RECEITAS COM ENTREGAS</v>
      </c>
      <c r="P377">
        <v>214.38</v>
      </c>
      <c r="Q377" t="str">
        <f>"FARMÁCIA INDIANA LJ 171 (10074)"</f>
        <v>FARMÁCIA INDIANA LJ 171 (10074)</v>
      </c>
      <c r="R377" t="str">
        <f t="shared" si="158"/>
        <v>RECEITAS COM ENTREGAS (303)</v>
      </c>
      <c r="S377">
        <v>2991</v>
      </c>
      <c r="T377">
        <v>2450</v>
      </c>
      <c r="U377" t="s">
        <v>21</v>
      </c>
    </row>
    <row r="378" spans="1:21">
      <c r="A378" t="str">
        <f t="shared" si="153"/>
        <v>12/11/2025</v>
      </c>
      <c r="B378" t="str">
        <f t="shared" si="154"/>
        <v>ENTRADA</v>
      </c>
      <c r="C378" t="str">
        <f t="shared" si="155"/>
        <v>NFSE</v>
      </c>
      <c r="D378" t="str">
        <f t="shared" si="148"/>
        <v>3755</v>
      </c>
      <c r="E378" t="str">
        <f t="shared" si="131"/>
        <v>COM</v>
      </c>
      <c r="F378" t="str">
        <f t="shared" si="149"/>
        <v>FARMÁCIA INDIANA LJ 1 (10126)</v>
      </c>
      <c r="G378" t="str">
        <f t="shared" si="150"/>
        <v>Serv.Prest. 24/10/2025 a 02/11/2025 - RPS: 1518 - NFSe: 3755</v>
      </c>
      <c r="H378" t="str">
        <f t="shared" si="151"/>
        <v>12/11/2025</v>
      </c>
      <c r="I378" t="str">
        <f t="shared" si="152"/>
        <v>04/11/2025</v>
      </c>
      <c r="J378" t="str">
        <f t="shared" si="156"/>
        <v>12/11/2025</v>
      </c>
      <c r="M378">
        <v>303</v>
      </c>
      <c r="N378" t="str">
        <f t="shared" si="157"/>
        <v>RECEITAS COM ENTREGAS</v>
      </c>
      <c r="P378">
        <v>82.2</v>
      </c>
      <c r="Q378" t="str">
        <f>"FARMÁCIA INDIANA LJ 175 (10076)"</f>
        <v>FARMÁCIA INDIANA LJ 175 (10076)</v>
      </c>
      <c r="R378" t="str">
        <f t="shared" si="158"/>
        <v>RECEITAS COM ENTREGAS (303)</v>
      </c>
      <c r="S378">
        <v>2991</v>
      </c>
      <c r="T378">
        <v>2450</v>
      </c>
      <c r="U378" t="s">
        <v>21</v>
      </c>
    </row>
    <row r="379" spans="1:21">
      <c r="A379" t="str">
        <f t="shared" si="153"/>
        <v>12/11/2025</v>
      </c>
      <c r="B379" t="str">
        <f t="shared" si="154"/>
        <v>ENTRADA</v>
      </c>
      <c r="C379" t="str">
        <f t="shared" si="155"/>
        <v>NFSE</v>
      </c>
      <c r="D379" t="str">
        <f t="shared" ref="D379:D395" si="159">"3755"</f>
        <v>3755</v>
      </c>
      <c r="E379" t="str">
        <f t="shared" si="131"/>
        <v>COM</v>
      </c>
      <c r="F379" t="str">
        <f t="shared" ref="F379:F395" si="160">"FARMÁCIA INDIANA LJ 1 (10126)"</f>
        <v>FARMÁCIA INDIANA LJ 1 (10126)</v>
      </c>
      <c r="G379" t="str">
        <f t="shared" ref="G379:G395" si="161">"Serv.Prest. 24/10/2025 a 02/11/2025 - RPS: 1518 - NFSe: 3755"</f>
        <v>Serv.Prest. 24/10/2025 a 02/11/2025 - RPS: 1518 - NFSe: 3755</v>
      </c>
      <c r="H379" t="str">
        <f t="shared" ref="H379:H410" si="162">("12/11/2025")</f>
        <v>12/11/2025</v>
      </c>
      <c r="I379" t="str">
        <f t="shared" ref="I379:I410" si="163">("04/11/2025")</f>
        <v>04/11/2025</v>
      </c>
      <c r="J379" t="str">
        <f t="shared" si="156"/>
        <v>12/11/2025</v>
      </c>
      <c r="M379">
        <v>303</v>
      </c>
      <c r="N379" t="str">
        <f t="shared" si="157"/>
        <v>RECEITAS COM ENTREGAS</v>
      </c>
      <c r="P379">
        <v>130.56</v>
      </c>
      <c r="Q379" t="str">
        <f>"FARMÁCIA INDIANA LJ 178 (10077)"</f>
        <v>FARMÁCIA INDIANA LJ 178 (10077)</v>
      </c>
      <c r="R379" t="str">
        <f t="shared" si="158"/>
        <v>RECEITAS COM ENTREGAS (303)</v>
      </c>
      <c r="S379">
        <v>2991</v>
      </c>
      <c r="T379">
        <v>2450</v>
      </c>
      <c r="U379" t="s">
        <v>21</v>
      </c>
    </row>
    <row r="380" spans="1:21">
      <c r="A380" t="str">
        <f t="shared" si="153"/>
        <v>12/11/2025</v>
      </c>
      <c r="B380" t="str">
        <f t="shared" si="154"/>
        <v>ENTRADA</v>
      </c>
      <c r="C380" t="str">
        <f t="shared" si="155"/>
        <v>NFSE</v>
      </c>
      <c r="D380" t="str">
        <f t="shared" si="159"/>
        <v>3755</v>
      </c>
      <c r="E380" t="str">
        <f t="shared" si="131"/>
        <v>COM</v>
      </c>
      <c r="F380" t="str">
        <f t="shared" si="160"/>
        <v>FARMÁCIA INDIANA LJ 1 (10126)</v>
      </c>
      <c r="G380" t="str">
        <f t="shared" si="161"/>
        <v>Serv.Prest. 24/10/2025 a 02/11/2025 - RPS: 1518 - NFSe: 3755</v>
      </c>
      <c r="H380" t="str">
        <f t="shared" si="162"/>
        <v>12/11/2025</v>
      </c>
      <c r="I380" t="str">
        <f t="shared" si="163"/>
        <v>04/11/2025</v>
      </c>
      <c r="J380" t="str">
        <f t="shared" si="156"/>
        <v>12/11/2025</v>
      </c>
      <c r="M380">
        <v>303</v>
      </c>
      <c r="N380" t="str">
        <f t="shared" si="157"/>
        <v>RECEITAS COM ENTREGAS</v>
      </c>
      <c r="P380">
        <v>49.97</v>
      </c>
      <c r="Q380" t="str">
        <f>"FARMÁCIA INDIANA LJ 182 (10079)"</f>
        <v>FARMÁCIA INDIANA LJ 182 (10079)</v>
      </c>
      <c r="R380" t="str">
        <f t="shared" si="158"/>
        <v>RECEITAS COM ENTREGAS (303)</v>
      </c>
      <c r="S380">
        <v>2991</v>
      </c>
      <c r="T380">
        <v>2450</v>
      </c>
      <c r="U380" t="s">
        <v>21</v>
      </c>
    </row>
    <row r="381" spans="1:21">
      <c r="A381" t="str">
        <f t="shared" si="153"/>
        <v>12/11/2025</v>
      </c>
      <c r="B381" t="str">
        <f t="shared" si="154"/>
        <v>ENTRADA</v>
      </c>
      <c r="C381" t="str">
        <f t="shared" si="155"/>
        <v>NFSE</v>
      </c>
      <c r="D381" t="str">
        <f t="shared" si="159"/>
        <v>3755</v>
      </c>
      <c r="E381" t="str">
        <f t="shared" si="131"/>
        <v>COM</v>
      </c>
      <c r="F381" t="str">
        <f t="shared" si="160"/>
        <v>FARMÁCIA INDIANA LJ 1 (10126)</v>
      </c>
      <c r="G381" t="str">
        <f t="shared" si="161"/>
        <v>Serv.Prest. 24/10/2025 a 02/11/2025 - RPS: 1518 - NFSe: 3755</v>
      </c>
      <c r="H381" t="str">
        <f t="shared" si="162"/>
        <v>12/11/2025</v>
      </c>
      <c r="I381" t="str">
        <f t="shared" si="163"/>
        <v>04/11/2025</v>
      </c>
      <c r="J381" t="str">
        <f t="shared" si="156"/>
        <v>12/11/2025</v>
      </c>
      <c r="M381">
        <v>303</v>
      </c>
      <c r="N381" t="str">
        <f t="shared" si="157"/>
        <v>RECEITAS COM ENTREGAS</v>
      </c>
      <c r="P381">
        <v>40.299999999999997</v>
      </c>
      <c r="Q381" t="str">
        <f>"FARMÁCIA INDIANA LJ 184 (10080)"</f>
        <v>FARMÁCIA INDIANA LJ 184 (10080)</v>
      </c>
      <c r="R381" t="str">
        <f t="shared" si="158"/>
        <v>RECEITAS COM ENTREGAS (303)</v>
      </c>
      <c r="S381">
        <v>2991</v>
      </c>
      <c r="T381">
        <v>2450</v>
      </c>
      <c r="U381" t="s">
        <v>21</v>
      </c>
    </row>
    <row r="382" spans="1:21">
      <c r="A382" t="str">
        <f t="shared" si="153"/>
        <v>12/11/2025</v>
      </c>
      <c r="B382" t="str">
        <f t="shared" si="154"/>
        <v>ENTRADA</v>
      </c>
      <c r="C382" t="str">
        <f t="shared" si="155"/>
        <v>NFSE</v>
      </c>
      <c r="D382" t="str">
        <f t="shared" si="159"/>
        <v>3755</v>
      </c>
      <c r="E382" t="str">
        <f t="shared" ref="E382:E445" si="164">"COM"</f>
        <v>COM</v>
      </c>
      <c r="F382" t="str">
        <f t="shared" si="160"/>
        <v>FARMÁCIA INDIANA LJ 1 (10126)</v>
      </c>
      <c r="G382" t="str">
        <f t="shared" si="161"/>
        <v>Serv.Prest. 24/10/2025 a 02/11/2025 - RPS: 1518 - NFSe: 3755</v>
      </c>
      <c r="H382" t="str">
        <f t="shared" si="162"/>
        <v>12/11/2025</v>
      </c>
      <c r="I382" t="str">
        <f t="shared" si="163"/>
        <v>04/11/2025</v>
      </c>
      <c r="J382" t="str">
        <f t="shared" si="156"/>
        <v>12/11/2025</v>
      </c>
      <c r="M382">
        <v>303</v>
      </c>
      <c r="N382" t="str">
        <f t="shared" si="157"/>
        <v>RECEITAS COM ENTREGAS</v>
      </c>
      <c r="P382">
        <v>49.97</v>
      </c>
      <c r="Q382" t="str">
        <f>"FARMÁCIA INDIANA LJ 186 (10081)"</f>
        <v>FARMÁCIA INDIANA LJ 186 (10081)</v>
      </c>
      <c r="R382" t="str">
        <f t="shared" si="158"/>
        <v>RECEITAS COM ENTREGAS (303)</v>
      </c>
      <c r="S382">
        <v>2991</v>
      </c>
      <c r="T382">
        <v>2450</v>
      </c>
      <c r="U382" t="s">
        <v>21</v>
      </c>
    </row>
    <row r="383" spans="1:21">
      <c r="A383" t="str">
        <f t="shared" si="153"/>
        <v>12/11/2025</v>
      </c>
      <c r="B383" t="str">
        <f t="shared" si="154"/>
        <v>ENTRADA</v>
      </c>
      <c r="C383" t="str">
        <f t="shared" si="155"/>
        <v>NFSE</v>
      </c>
      <c r="D383" t="str">
        <f t="shared" si="159"/>
        <v>3755</v>
      </c>
      <c r="E383" t="str">
        <f t="shared" si="164"/>
        <v>COM</v>
      </c>
      <c r="F383" t="str">
        <f t="shared" si="160"/>
        <v>FARMÁCIA INDIANA LJ 1 (10126)</v>
      </c>
      <c r="G383" t="str">
        <f t="shared" si="161"/>
        <v>Serv.Prest. 24/10/2025 a 02/11/2025 - RPS: 1518 - NFSe: 3755</v>
      </c>
      <c r="H383" t="str">
        <f t="shared" si="162"/>
        <v>12/11/2025</v>
      </c>
      <c r="I383" t="str">
        <f t="shared" si="163"/>
        <v>04/11/2025</v>
      </c>
      <c r="J383" t="str">
        <f t="shared" si="156"/>
        <v>12/11/2025</v>
      </c>
      <c r="M383">
        <v>303</v>
      </c>
      <c r="N383" t="str">
        <f t="shared" si="157"/>
        <v>RECEITAS COM ENTREGAS</v>
      </c>
      <c r="P383">
        <v>96.71</v>
      </c>
      <c r="Q383" t="str">
        <f>"FARMÁCIA INDIANA LJ 192 (10082)"</f>
        <v>FARMÁCIA INDIANA LJ 192 (10082)</v>
      </c>
      <c r="R383" t="str">
        <f t="shared" si="158"/>
        <v>RECEITAS COM ENTREGAS (303)</v>
      </c>
      <c r="S383">
        <v>2991</v>
      </c>
      <c r="T383">
        <v>2450</v>
      </c>
      <c r="U383" t="s">
        <v>21</v>
      </c>
    </row>
    <row r="384" spans="1:21">
      <c r="A384" t="str">
        <f t="shared" ref="A384:A415" si="165">("12/11/2025")</f>
        <v>12/11/2025</v>
      </c>
      <c r="B384" t="str">
        <f t="shared" ref="B384:B419" si="166">"ENTRADA"</f>
        <v>ENTRADA</v>
      </c>
      <c r="C384" t="str">
        <f t="shared" ref="C384:C419" si="167">"NFSE"</f>
        <v>NFSE</v>
      </c>
      <c r="D384" t="str">
        <f t="shared" si="159"/>
        <v>3755</v>
      </c>
      <c r="E384" t="str">
        <f t="shared" si="164"/>
        <v>COM</v>
      </c>
      <c r="F384" t="str">
        <f t="shared" si="160"/>
        <v>FARMÁCIA INDIANA LJ 1 (10126)</v>
      </c>
      <c r="G384" t="str">
        <f t="shared" si="161"/>
        <v>Serv.Prest. 24/10/2025 a 02/11/2025 - RPS: 1518 - NFSe: 3755</v>
      </c>
      <c r="H384" t="str">
        <f t="shared" si="162"/>
        <v>12/11/2025</v>
      </c>
      <c r="I384" t="str">
        <f t="shared" si="163"/>
        <v>04/11/2025</v>
      </c>
      <c r="J384" t="str">
        <f t="shared" ref="J384:J415" si="168">("12/11/2025")</f>
        <v>12/11/2025</v>
      </c>
      <c r="M384">
        <v>303</v>
      </c>
      <c r="N384" t="str">
        <f t="shared" ref="N384:N419" si="169">"RECEITAS COM ENTREGAS"</f>
        <v>RECEITAS COM ENTREGAS</v>
      </c>
      <c r="P384">
        <v>40.299999999999997</v>
      </c>
      <c r="Q384" t="str">
        <f>"FARMÁCIA INDIANA LJ 195 (10083)"</f>
        <v>FARMÁCIA INDIANA LJ 195 (10083)</v>
      </c>
      <c r="R384" t="str">
        <f t="shared" ref="R384:R419" si="170">"RECEITAS COM ENTREGAS (303)"</f>
        <v>RECEITAS COM ENTREGAS (303)</v>
      </c>
      <c r="S384">
        <v>2991</v>
      </c>
      <c r="T384">
        <v>2450</v>
      </c>
      <c r="U384" t="s">
        <v>21</v>
      </c>
    </row>
    <row r="385" spans="1:21">
      <c r="A385" t="str">
        <f t="shared" si="165"/>
        <v>12/11/2025</v>
      </c>
      <c r="B385" t="str">
        <f t="shared" si="166"/>
        <v>ENTRADA</v>
      </c>
      <c r="C385" t="str">
        <f t="shared" si="167"/>
        <v>NFSE</v>
      </c>
      <c r="D385" t="str">
        <f t="shared" si="159"/>
        <v>3755</v>
      </c>
      <c r="E385" t="str">
        <f t="shared" si="164"/>
        <v>COM</v>
      </c>
      <c r="F385" t="str">
        <f t="shared" si="160"/>
        <v>FARMÁCIA INDIANA LJ 1 (10126)</v>
      </c>
      <c r="G385" t="str">
        <f t="shared" si="161"/>
        <v>Serv.Prest. 24/10/2025 a 02/11/2025 - RPS: 1518 - NFSe: 3755</v>
      </c>
      <c r="H385" t="str">
        <f t="shared" si="162"/>
        <v>12/11/2025</v>
      </c>
      <c r="I385" t="str">
        <f t="shared" si="163"/>
        <v>04/11/2025</v>
      </c>
      <c r="J385" t="str">
        <f t="shared" si="168"/>
        <v>12/11/2025</v>
      </c>
      <c r="M385">
        <v>303</v>
      </c>
      <c r="N385" t="str">
        <f t="shared" si="169"/>
        <v>RECEITAS COM ENTREGAS</v>
      </c>
      <c r="P385">
        <v>99.93</v>
      </c>
      <c r="Q385" t="str">
        <f>"FARMÁCIA INDIANA LJ 202 (10085)"</f>
        <v>FARMÁCIA INDIANA LJ 202 (10085)</v>
      </c>
      <c r="R385" t="str">
        <f t="shared" si="170"/>
        <v>RECEITAS COM ENTREGAS (303)</v>
      </c>
      <c r="S385">
        <v>2991</v>
      </c>
      <c r="T385">
        <v>2450</v>
      </c>
      <c r="U385" t="s">
        <v>21</v>
      </c>
    </row>
    <row r="386" spans="1:21">
      <c r="A386" t="str">
        <f t="shared" si="165"/>
        <v>12/11/2025</v>
      </c>
      <c r="B386" t="str">
        <f t="shared" si="166"/>
        <v>ENTRADA</v>
      </c>
      <c r="C386" t="str">
        <f t="shared" si="167"/>
        <v>NFSE</v>
      </c>
      <c r="D386" t="str">
        <f t="shared" si="159"/>
        <v>3755</v>
      </c>
      <c r="E386" t="str">
        <f t="shared" si="164"/>
        <v>COM</v>
      </c>
      <c r="F386" t="str">
        <f t="shared" si="160"/>
        <v>FARMÁCIA INDIANA LJ 1 (10126)</v>
      </c>
      <c r="G386" t="str">
        <f t="shared" si="161"/>
        <v>Serv.Prest. 24/10/2025 a 02/11/2025 - RPS: 1518 - NFSe: 3755</v>
      </c>
      <c r="H386" t="str">
        <f t="shared" si="162"/>
        <v>12/11/2025</v>
      </c>
      <c r="I386" t="str">
        <f t="shared" si="163"/>
        <v>04/11/2025</v>
      </c>
      <c r="J386" t="str">
        <f t="shared" si="168"/>
        <v>12/11/2025</v>
      </c>
      <c r="M386">
        <v>303</v>
      </c>
      <c r="N386" t="str">
        <f t="shared" si="169"/>
        <v>RECEITAS COM ENTREGAS</v>
      </c>
      <c r="P386">
        <v>80.59</v>
      </c>
      <c r="Q386" t="str">
        <f>"FARMÁCIA INDIANA LJ 204 (10087)"</f>
        <v>FARMÁCIA INDIANA LJ 204 (10087)</v>
      </c>
      <c r="R386" t="str">
        <f t="shared" si="170"/>
        <v>RECEITAS COM ENTREGAS (303)</v>
      </c>
      <c r="S386">
        <v>2991</v>
      </c>
      <c r="T386">
        <v>2450</v>
      </c>
      <c r="U386" t="s">
        <v>21</v>
      </c>
    </row>
    <row r="387" spans="1:21">
      <c r="A387" t="str">
        <f t="shared" si="165"/>
        <v>12/11/2025</v>
      </c>
      <c r="B387" t="str">
        <f t="shared" si="166"/>
        <v>ENTRADA</v>
      </c>
      <c r="C387" t="str">
        <f t="shared" si="167"/>
        <v>NFSE</v>
      </c>
      <c r="D387" t="str">
        <f t="shared" si="159"/>
        <v>3755</v>
      </c>
      <c r="E387" t="str">
        <f t="shared" si="164"/>
        <v>COM</v>
      </c>
      <c r="F387" t="str">
        <f t="shared" si="160"/>
        <v>FARMÁCIA INDIANA LJ 1 (10126)</v>
      </c>
      <c r="G387" t="str">
        <f t="shared" si="161"/>
        <v>Serv.Prest. 24/10/2025 a 02/11/2025 - RPS: 1518 - NFSe: 3755</v>
      </c>
      <c r="H387" t="str">
        <f t="shared" si="162"/>
        <v>12/11/2025</v>
      </c>
      <c r="I387" t="str">
        <f t="shared" si="163"/>
        <v>04/11/2025</v>
      </c>
      <c r="J387" t="str">
        <f t="shared" si="168"/>
        <v>12/11/2025</v>
      </c>
      <c r="M387">
        <v>303</v>
      </c>
      <c r="N387" t="str">
        <f t="shared" si="169"/>
        <v>RECEITAS COM ENTREGAS</v>
      </c>
      <c r="P387">
        <v>146.68</v>
      </c>
      <c r="Q387" t="str">
        <f>"FARMÁCIA INDIANA LJ 207 (10088)"</f>
        <v>FARMÁCIA INDIANA LJ 207 (10088)</v>
      </c>
      <c r="R387" t="str">
        <f t="shared" si="170"/>
        <v>RECEITAS COM ENTREGAS (303)</v>
      </c>
      <c r="S387">
        <v>2991</v>
      </c>
      <c r="T387">
        <v>2450</v>
      </c>
      <c r="U387" t="s">
        <v>21</v>
      </c>
    </row>
    <row r="388" spans="1:21">
      <c r="A388" t="str">
        <f t="shared" si="165"/>
        <v>12/11/2025</v>
      </c>
      <c r="B388" t="str">
        <f t="shared" si="166"/>
        <v>ENTRADA</v>
      </c>
      <c r="C388" t="str">
        <f t="shared" si="167"/>
        <v>NFSE</v>
      </c>
      <c r="D388" t="str">
        <f t="shared" si="159"/>
        <v>3755</v>
      </c>
      <c r="E388" t="str">
        <f t="shared" si="164"/>
        <v>COM</v>
      </c>
      <c r="F388" t="str">
        <f t="shared" si="160"/>
        <v>FARMÁCIA INDIANA LJ 1 (10126)</v>
      </c>
      <c r="G388" t="str">
        <f t="shared" si="161"/>
        <v>Serv.Prest. 24/10/2025 a 02/11/2025 - RPS: 1518 - NFSe: 3755</v>
      </c>
      <c r="H388" t="str">
        <f t="shared" si="162"/>
        <v>12/11/2025</v>
      </c>
      <c r="I388" t="str">
        <f t="shared" si="163"/>
        <v>04/11/2025</v>
      </c>
      <c r="J388" t="str">
        <f t="shared" si="168"/>
        <v>12/11/2025</v>
      </c>
      <c r="M388">
        <v>303</v>
      </c>
      <c r="N388" t="str">
        <f t="shared" si="169"/>
        <v>RECEITAS COM ENTREGAS</v>
      </c>
      <c r="P388">
        <v>125.72</v>
      </c>
      <c r="Q388" t="str">
        <f>"FARMÁCIA INDIANA LJ 209 (10089)"</f>
        <v>FARMÁCIA INDIANA LJ 209 (10089)</v>
      </c>
      <c r="R388" t="str">
        <f t="shared" si="170"/>
        <v>RECEITAS COM ENTREGAS (303)</v>
      </c>
      <c r="S388">
        <v>2991</v>
      </c>
      <c r="T388">
        <v>2450</v>
      </c>
      <c r="U388" t="s">
        <v>21</v>
      </c>
    </row>
    <row r="389" spans="1:21">
      <c r="A389" t="str">
        <f t="shared" si="165"/>
        <v>12/11/2025</v>
      </c>
      <c r="B389" t="str">
        <f t="shared" si="166"/>
        <v>ENTRADA</v>
      </c>
      <c r="C389" t="str">
        <f t="shared" si="167"/>
        <v>NFSE</v>
      </c>
      <c r="D389" t="str">
        <f t="shared" si="159"/>
        <v>3755</v>
      </c>
      <c r="E389" t="str">
        <f t="shared" si="164"/>
        <v>COM</v>
      </c>
      <c r="F389" t="str">
        <f t="shared" si="160"/>
        <v>FARMÁCIA INDIANA LJ 1 (10126)</v>
      </c>
      <c r="G389" t="str">
        <f t="shared" si="161"/>
        <v>Serv.Prest. 24/10/2025 a 02/11/2025 - RPS: 1518 - NFSe: 3755</v>
      </c>
      <c r="H389" t="str">
        <f t="shared" si="162"/>
        <v>12/11/2025</v>
      </c>
      <c r="I389" t="str">
        <f t="shared" si="163"/>
        <v>04/11/2025</v>
      </c>
      <c r="J389" t="str">
        <f t="shared" si="168"/>
        <v>12/11/2025</v>
      </c>
      <c r="M389">
        <v>303</v>
      </c>
      <c r="N389" t="str">
        <f t="shared" si="169"/>
        <v>RECEITAS COM ENTREGAS</v>
      </c>
      <c r="P389">
        <v>256.27999999999997</v>
      </c>
      <c r="Q389" t="str">
        <f>"FARMÁCIA INDIANA LJ 219 (10091)"</f>
        <v>FARMÁCIA INDIANA LJ 219 (10091)</v>
      </c>
      <c r="R389" t="str">
        <f t="shared" si="170"/>
        <v>RECEITAS COM ENTREGAS (303)</v>
      </c>
      <c r="S389">
        <v>2991</v>
      </c>
      <c r="T389">
        <v>2450</v>
      </c>
      <c r="U389" t="s">
        <v>21</v>
      </c>
    </row>
    <row r="390" spans="1:21">
      <c r="A390" t="str">
        <f t="shared" si="165"/>
        <v>12/11/2025</v>
      </c>
      <c r="B390" t="str">
        <f t="shared" si="166"/>
        <v>ENTRADA</v>
      </c>
      <c r="C390" t="str">
        <f t="shared" si="167"/>
        <v>NFSE</v>
      </c>
      <c r="D390" t="str">
        <f t="shared" si="159"/>
        <v>3755</v>
      </c>
      <c r="E390" t="str">
        <f t="shared" si="164"/>
        <v>COM</v>
      </c>
      <c r="F390" t="str">
        <f t="shared" si="160"/>
        <v>FARMÁCIA INDIANA LJ 1 (10126)</v>
      </c>
      <c r="G390" t="str">
        <f t="shared" si="161"/>
        <v>Serv.Prest. 24/10/2025 a 02/11/2025 - RPS: 1518 - NFSe: 3755</v>
      </c>
      <c r="H390" t="str">
        <f t="shared" si="162"/>
        <v>12/11/2025</v>
      </c>
      <c r="I390" t="str">
        <f t="shared" si="163"/>
        <v>04/11/2025</v>
      </c>
      <c r="J390" t="str">
        <f t="shared" si="168"/>
        <v>12/11/2025</v>
      </c>
      <c r="M390">
        <v>303</v>
      </c>
      <c r="N390" t="str">
        <f t="shared" si="169"/>
        <v>RECEITAS COM ENTREGAS</v>
      </c>
      <c r="P390">
        <v>391.68</v>
      </c>
      <c r="Q390" t="str">
        <f>"FARMÁCIA INDIANA LJ 220 (10092)"</f>
        <v>FARMÁCIA INDIANA LJ 220 (10092)</v>
      </c>
      <c r="R390" t="str">
        <f t="shared" si="170"/>
        <v>RECEITAS COM ENTREGAS (303)</v>
      </c>
      <c r="S390">
        <v>2991</v>
      </c>
      <c r="T390">
        <v>2450</v>
      </c>
      <c r="U390" t="s">
        <v>21</v>
      </c>
    </row>
    <row r="391" spans="1:21">
      <c r="A391" t="str">
        <f t="shared" si="165"/>
        <v>12/11/2025</v>
      </c>
      <c r="B391" t="str">
        <f t="shared" si="166"/>
        <v>ENTRADA</v>
      </c>
      <c r="C391" t="str">
        <f t="shared" si="167"/>
        <v>NFSE</v>
      </c>
      <c r="D391" t="str">
        <f t="shared" si="159"/>
        <v>3755</v>
      </c>
      <c r="E391" t="str">
        <f t="shared" si="164"/>
        <v>COM</v>
      </c>
      <c r="F391" t="str">
        <f t="shared" si="160"/>
        <v>FARMÁCIA INDIANA LJ 1 (10126)</v>
      </c>
      <c r="G391" t="str">
        <f t="shared" si="161"/>
        <v>Serv.Prest. 24/10/2025 a 02/11/2025 - RPS: 1518 - NFSe: 3755</v>
      </c>
      <c r="H391" t="str">
        <f t="shared" si="162"/>
        <v>12/11/2025</v>
      </c>
      <c r="I391" t="str">
        <f t="shared" si="163"/>
        <v>04/11/2025</v>
      </c>
      <c r="J391" t="str">
        <f t="shared" si="168"/>
        <v>12/11/2025</v>
      </c>
      <c r="M391">
        <v>303</v>
      </c>
      <c r="N391" t="str">
        <f t="shared" si="169"/>
        <v>RECEITAS COM ENTREGAS</v>
      </c>
      <c r="P391">
        <v>114.44</v>
      </c>
      <c r="Q391" t="str">
        <f>"FARMÁCIA INDIANA LJ 185 (10141)"</f>
        <v>FARMÁCIA INDIANA LJ 185 (10141)</v>
      </c>
      <c r="R391" t="str">
        <f t="shared" si="170"/>
        <v>RECEITAS COM ENTREGAS (303)</v>
      </c>
      <c r="S391">
        <v>2991</v>
      </c>
      <c r="T391">
        <v>2450</v>
      </c>
      <c r="U391" t="s">
        <v>21</v>
      </c>
    </row>
    <row r="392" spans="1:21">
      <c r="A392" t="str">
        <f t="shared" si="165"/>
        <v>12/11/2025</v>
      </c>
      <c r="B392" t="str">
        <f t="shared" si="166"/>
        <v>ENTRADA</v>
      </c>
      <c r="C392" t="str">
        <f t="shared" si="167"/>
        <v>NFSE</v>
      </c>
      <c r="D392" t="str">
        <f t="shared" si="159"/>
        <v>3755</v>
      </c>
      <c r="E392" t="str">
        <f t="shared" si="164"/>
        <v>COM</v>
      </c>
      <c r="F392" t="str">
        <f t="shared" si="160"/>
        <v>FARMÁCIA INDIANA LJ 1 (10126)</v>
      </c>
      <c r="G392" t="str">
        <f t="shared" si="161"/>
        <v>Serv.Prest. 24/10/2025 a 02/11/2025 - RPS: 1518 - NFSe: 3755</v>
      </c>
      <c r="H392" t="str">
        <f t="shared" si="162"/>
        <v>12/11/2025</v>
      </c>
      <c r="I392" t="str">
        <f t="shared" si="163"/>
        <v>04/11/2025</v>
      </c>
      <c r="J392" t="str">
        <f t="shared" si="168"/>
        <v>12/11/2025</v>
      </c>
      <c r="M392">
        <v>303</v>
      </c>
      <c r="N392" t="str">
        <f t="shared" si="169"/>
        <v>RECEITAS COM ENTREGAS</v>
      </c>
      <c r="P392">
        <v>106.38</v>
      </c>
      <c r="Q392" t="str">
        <f>"FARMÁCIA INDIANA LJ 205 (10150)"</f>
        <v>FARMÁCIA INDIANA LJ 205 (10150)</v>
      </c>
      <c r="R392" t="str">
        <f t="shared" si="170"/>
        <v>RECEITAS COM ENTREGAS (303)</v>
      </c>
      <c r="S392">
        <v>2991</v>
      </c>
      <c r="T392">
        <v>2450</v>
      </c>
      <c r="U392" t="s">
        <v>21</v>
      </c>
    </row>
    <row r="393" spans="1:21">
      <c r="A393" t="str">
        <f t="shared" si="165"/>
        <v>12/11/2025</v>
      </c>
      <c r="B393" t="str">
        <f t="shared" si="166"/>
        <v>ENTRADA</v>
      </c>
      <c r="C393" t="str">
        <f t="shared" si="167"/>
        <v>NFSE</v>
      </c>
      <c r="D393" t="str">
        <f t="shared" si="159"/>
        <v>3755</v>
      </c>
      <c r="E393" t="str">
        <f t="shared" si="164"/>
        <v>COM</v>
      </c>
      <c r="F393" t="str">
        <f t="shared" si="160"/>
        <v>FARMÁCIA INDIANA LJ 1 (10126)</v>
      </c>
      <c r="G393" t="str">
        <f t="shared" si="161"/>
        <v>Serv.Prest. 24/10/2025 a 02/11/2025 - RPS: 1518 - NFSe: 3755</v>
      </c>
      <c r="H393" t="str">
        <f t="shared" si="162"/>
        <v>12/11/2025</v>
      </c>
      <c r="I393" t="str">
        <f t="shared" si="163"/>
        <v>04/11/2025</v>
      </c>
      <c r="J393" t="str">
        <f t="shared" si="168"/>
        <v>12/11/2025</v>
      </c>
      <c r="M393">
        <v>303</v>
      </c>
      <c r="N393" t="str">
        <f t="shared" si="169"/>
        <v>RECEITAS COM ENTREGAS</v>
      </c>
      <c r="P393">
        <v>760.8</v>
      </c>
      <c r="Q393" t="str">
        <f>"FARMÁCIA INDIANA LJ 172 (10161)"</f>
        <v>FARMÁCIA INDIANA LJ 172 (10161)</v>
      </c>
      <c r="R393" t="str">
        <f t="shared" si="170"/>
        <v>RECEITAS COM ENTREGAS (303)</v>
      </c>
      <c r="S393">
        <v>2991</v>
      </c>
      <c r="T393">
        <v>2450</v>
      </c>
      <c r="U393" t="s">
        <v>21</v>
      </c>
    </row>
    <row r="394" spans="1:21">
      <c r="A394" t="str">
        <f t="shared" si="165"/>
        <v>12/11/2025</v>
      </c>
      <c r="B394" t="str">
        <f t="shared" si="166"/>
        <v>ENTRADA</v>
      </c>
      <c r="C394" t="str">
        <f t="shared" si="167"/>
        <v>NFSE</v>
      </c>
      <c r="D394" t="str">
        <f t="shared" si="159"/>
        <v>3755</v>
      </c>
      <c r="E394" t="str">
        <f t="shared" si="164"/>
        <v>COM</v>
      </c>
      <c r="F394" t="str">
        <f t="shared" si="160"/>
        <v>FARMÁCIA INDIANA LJ 1 (10126)</v>
      </c>
      <c r="G394" t="str">
        <f t="shared" si="161"/>
        <v>Serv.Prest. 24/10/2025 a 02/11/2025 - RPS: 1518 - NFSe: 3755</v>
      </c>
      <c r="H394" t="str">
        <f t="shared" si="162"/>
        <v>12/11/2025</v>
      </c>
      <c r="I394" t="str">
        <f t="shared" si="163"/>
        <v>04/11/2025</v>
      </c>
      <c r="J394" t="str">
        <f t="shared" si="168"/>
        <v>12/11/2025</v>
      </c>
      <c r="M394">
        <v>303</v>
      </c>
      <c r="N394" t="str">
        <f t="shared" si="169"/>
        <v>RECEITAS COM ENTREGAS</v>
      </c>
      <c r="P394">
        <v>80.59</v>
      </c>
      <c r="Q394" t="str">
        <f>"FARMÁCIA INDIANA LJ 266 (10186)"</f>
        <v>FARMÁCIA INDIANA LJ 266 (10186)</v>
      </c>
      <c r="R394" t="str">
        <f t="shared" si="170"/>
        <v>RECEITAS COM ENTREGAS (303)</v>
      </c>
      <c r="S394">
        <v>2991</v>
      </c>
      <c r="T394">
        <v>2450</v>
      </c>
      <c r="U394" t="s">
        <v>21</v>
      </c>
    </row>
    <row r="395" spans="1:21">
      <c r="A395" t="str">
        <f t="shared" si="165"/>
        <v>12/11/2025</v>
      </c>
      <c r="B395" t="str">
        <f t="shared" si="166"/>
        <v>ENTRADA</v>
      </c>
      <c r="C395" t="str">
        <f t="shared" si="167"/>
        <v>NFSE</v>
      </c>
      <c r="D395" t="str">
        <f t="shared" si="159"/>
        <v>3755</v>
      </c>
      <c r="E395" t="str">
        <f t="shared" si="164"/>
        <v>COM</v>
      </c>
      <c r="F395" t="str">
        <f t="shared" si="160"/>
        <v>FARMÁCIA INDIANA LJ 1 (10126)</v>
      </c>
      <c r="G395" t="str">
        <f t="shared" si="161"/>
        <v>Serv.Prest. 24/10/2025 a 02/11/2025 - RPS: 1518 - NFSe: 3755</v>
      </c>
      <c r="H395" t="str">
        <f t="shared" si="162"/>
        <v>12/11/2025</v>
      </c>
      <c r="I395" t="str">
        <f t="shared" si="163"/>
        <v>04/11/2025</v>
      </c>
      <c r="J395" t="str">
        <f t="shared" si="168"/>
        <v>12/11/2025</v>
      </c>
      <c r="M395">
        <v>303</v>
      </c>
      <c r="N395" t="str">
        <f t="shared" si="169"/>
        <v>RECEITAS COM ENTREGAS</v>
      </c>
      <c r="P395">
        <v>46.74</v>
      </c>
      <c r="Q395" t="str">
        <f>"FARMÁCIA INDIANA LJ 257 (10267)"</f>
        <v>FARMÁCIA INDIANA LJ 257 (10267)</v>
      </c>
      <c r="R395" t="str">
        <f t="shared" si="170"/>
        <v>RECEITAS COM ENTREGAS (303)</v>
      </c>
      <c r="S395">
        <v>2991</v>
      </c>
      <c r="T395">
        <v>2450</v>
      </c>
      <c r="U395" t="s">
        <v>21</v>
      </c>
    </row>
    <row r="396" spans="1:21">
      <c r="A396" t="str">
        <f t="shared" si="165"/>
        <v>12/11/2025</v>
      </c>
      <c r="B396" t="str">
        <f t="shared" si="166"/>
        <v>ENTRADA</v>
      </c>
      <c r="C396" t="str">
        <f t="shared" si="167"/>
        <v>NFSE</v>
      </c>
      <c r="D396" t="str">
        <f t="shared" ref="D396:D408" si="171">"3754"</f>
        <v>3754</v>
      </c>
      <c r="E396" t="str">
        <f t="shared" si="164"/>
        <v>COM</v>
      </c>
      <c r="F396" t="str">
        <f t="shared" ref="F396:F408" si="172">"FARMÁCIA INDIANA LJ 30 (10127)"</f>
        <v>FARMÁCIA INDIANA LJ 30 (10127)</v>
      </c>
      <c r="G396" t="str">
        <f t="shared" ref="G396:G408" si="173">"Serv.Prest. 24/10/2025 a 02/11/2025 - RPS: 1517 - NFSe: 3754"</f>
        <v>Serv.Prest. 24/10/2025 a 02/11/2025 - RPS: 1517 - NFSe: 3754</v>
      </c>
      <c r="H396" t="str">
        <f t="shared" si="162"/>
        <v>12/11/2025</v>
      </c>
      <c r="I396" t="str">
        <f t="shared" si="163"/>
        <v>04/11/2025</v>
      </c>
      <c r="J396" t="str">
        <f t="shared" si="168"/>
        <v>12/11/2025</v>
      </c>
      <c r="K396">
        <v>3371.83</v>
      </c>
      <c r="L396">
        <v>3371.83</v>
      </c>
      <c r="M396">
        <v>303</v>
      </c>
      <c r="N396" t="str">
        <f t="shared" si="169"/>
        <v>RECEITAS COM ENTREGAS</v>
      </c>
      <c r="O396">
        <v>3371.83</v>
      </c>
      <c r="R396" t="str">
        <f t="shared" si="170"/>
        <v>RECEITAS COM ENTREGAS (303)</v>
      </c>
      <c r="S396">
        <v>2992</v>
      </c>
      <c r="T396">
        <v>2449</v>
      </c>
      <c r="U396" t="s">
        <v>21</v>
      </c>
    </row>
    <row r="397" spans="1:21">
      <c r="A397" t="str">
        <f t="shared" si="165"/>
        <v>12/11/2025</v>
      </c>
      <c r="B397" t="str">
        <f t="shared" si="166"/>
        <v>ENTRADA</v>
      </c>
      <c r="C397" t="str">
        <f t="shared" si="167"/>
        <v>NFSE</v>
      </c>
      <c r="D397" t="str">
        <f t="shared" si="171"/>
        <v>3754</v>
      </c>
      <c r="E397" t="str">
        <f t="shared" si="164"/>
        <v>COM</v>
      </c>
      <c r="F397" t="str">
        <f t="shared" si="172"/>
        <v>FARMÁCIA INDIANA LJ 30 (10127)</v>
      </c>
      <c r="G397" t="str">
        <f t="shared" si="173"/>
        <v>Serv.Prest. 24/10/2025 a 02/11/2025 - RPS: 1517 - NFSe: 3754</v>
      </c>
      <c r="H397" t="str">
        <f t="shared" si="162"/>
        <v>12/11/2025</v>
      </c>
      <c r="I397" t="str">
        <f t="shared" si="163"/>
        <v>04/11/2025</v>
      </c>
      <c r="J397" t="str">
        <f t="shared" si="168"/>
        <v>12/11/2025</v>
      </c>
      <c r="M397">
        <v>303</v>
      </c>
      <c r="N397" t="str">
        <f t="shared" si="169"/>
        <v>RECEITAS COM ENTREGAS</v>
      </c>
      <c r="P397">
        <v>414.75</v>
      </c>
      <c r="Q397" t="str">
        <f>"FARMÁCIA INDIANA LJ 34 (10014)"</f>
        <v>FARMÁCIA INDIANA LJ 34 (10014)</v>
      </c>
      <c r="R397" t="str">
        <f t="shared" si="170"/>
        <v>RECEITAS COM ENTREGAS (303)</v>
      </c>
      <c r="S397">
        <v>2992</v>
      </c>
      <c r="T397">
        <v>2449</v>
      </c>
      <c r="U397" t="s">
        <v>21</v>
      </c>
    </row>
    <row r="398" spans="1:21">
      <c r="A398" t="str">
        <f t="shared" si="165"/>
        <v>12/11/2025</v>
      </c>
      <c r="B398" t="str">
        <f t="shared" si="166"/>
        <v>ENTRADA</v>
      </c>
      <c r="C398" t="str">
        <f t="shared" si="167"/>
        <v>NFSE</v>
      </c>
      <c r="D398" t="str">
        <f t="shared" si="171"/>
        <v>3754</v>
      </c>
      <c r="E398" t="str">
        <f t="shared" si="164"/>
        <v>COM</v>
      </c>
      <c r="F398" t="str">
        <f t="shared" si="172"/>
        <v>FARMÁCIA INDIANA LJ 30 (10127)</v>
      </c>
      <c r="G398" t="str">
        <f t="shared" si="173"/>
        <v>Serv.Prest. 24/10/2025 a 02/11/2025 - RPS: 1517 - NFSe: 3754</v>
      </c>
      <c r="H398" t="str">
        <f t="shared" si="162"/>
        <v>12/11/2025</v>
      </c>
      <c r="I398" t="str">
        <f t="shared" si="163"/>
        <v>04/11/2025</v>
      </c>
      <c r="J398" t="str">
        <f t="shared" si="168"/>
        <v>12/11/2025</v>
      </c>
      <c r="M398">
        <v>303</v>
      </c>
      <c r="N398" t="str">
        <f t="shared" si="169"/>
        <v>RECEITAS COM ENTREGAS</v>
      </c>
      <c r="P398">
        <v>167.92</v>
      </c>
      <c r="Q398" t="str">
        <f>"FARMÁCIA INDIANA LJ 35 (10015)"</f>
        <v>FARMÁCIA INDIANA LJ 35 (10015)</v>
      </c>
      <c r="R398" t="str">
        <f t="shared" si="170"/>
        <v>RECEITAS COM ENTREGAS (303)</v>
      </c>
      <c r="S398">
        <v>2992</v>
      </c>
      <c r="T398">
        <v>2449</v>
      </c>
      <c r="U398" t="s">
        <v>21</v>
      </c>
    </row>
    <row r="399" spans="1:21">
      <c r="A399" t="str">
        <f t="shared" si="165"/>
        <v>12/11/2025</v>
      </c>
      <c r="B399" t="str">
        <f t="shared" si="166"/>
        <v>ENTRADA</v>
      </c>
      <c r="C399" t="str">
        <f t="shared" si="167"/>
        <v>NFSE</v>
      </c>
      <c r="D399" t="str">
        <f t="shared" si="171"/>
        <v>3754</v>
      </c>
      <c r="E399" t="str">
        <f t="shared" si="164"/>
        <v>COM</v>
      </c>
      <c r="F399" t="str">
        <f t="shared" si="172"/>
        <v>FARMÁCIA INDIANA LJ 30 (10127)</v>
      </c>
      <c r="G399" t="str">
        <f t="shared" si="173"/>
        <v>Serv.Prest. 24/10/2025 a 02/11/2025 - RPS: 1517 - NFSe: 3754</v>
      </c>
      <c r="H399" t="str">
        <f t="shared" si="162"/>
        <v>12/11/2025</v>
      </c>
      <c r="I399" t="str">
        <f t="shared" si="163"/>
        <v>04/11/2025</v>
      </c>
      <c r="J399" t="str">
        <f t="shared" si="168"/>
        <v>12/11/2025</v>
      </c>
      <c r="M399">
        <v>303</v>
      </c>
      <c r="N399" t="str">
        <f t="shared" si="169"/>
        <v>RECEITAS COM ENTREGAS</v>
      </c>
      <c r="P399">
        <v>370.56</v>
      </c>
      <c r="Q399" t="str">
        <f>"FARMÁCIA INDIANA LJ 48 (10018)"</f>
        <v>FARMÁCIA INDIANA LJ 48 (10018)</v>
      </c>
      <c r="R399" t="str">
        <f t="shared" si="170"/>
        <v>RECEITAS COM ENTREGAS (303)</v>
      </c>
      <c r="S399">
        <v>2992</v>
      </c>
      <c r="T399">
        <v>2449</v>
      </c>
      <c r="U399" t="s">
        <v>21</v>
      </c>
    </row>
    <row r="400" spans="1:21">
      <c r="A400" t="str">
        <f t="shared" si="165"/>
        <v>12/11/2025</v>
      </c>
      <c r="B400" t="str">
        <f t="shared" si="166"/>
        <v>ENTRADA</v>
      </c>
      <c r="C400" t="str">
        <f t="shared" si="167"/>
        <v>NFSE</v>
      </c>
      <c r="D400" t="str">
        <f t="shared" si="171"/>
        <v>3754</v>
      </c>
      <c r="E400" t="str">
        <f t="shared" si="164"/>
        <v>COM</v>
      </c>
      <c r="F400" t="str">
        <f t="shared" si="172"/>
        <v>FARMÁCIA INDIANA LJ 30 (10127)</v>
      </c>
      <c r="G400" t="str">
        <f t="shared" si="173"/>
        <v>Serv.Prest. 24/10/2025 a 02/11/2025 - RPS: 1517 - NFSe: 3754</v>
      </c>
      <c r="H400" t="str">
        <f t="shared" si="162"/>
        <v>12/11/2025</v>
      </c>
      <c r="I400" t="str">
        <f t="shared" si="163"/>
        <v>04/11/2025</v>
      </c>
      <c r="J400" t="str">
        <f t="shared" si="168"/>
        <v>12/11/2025</v>
      </c>
      <c r="M400">
        <v>303</v>
      </c>
      <c r="N400" t="str">
        <f t="shared" si="169"/>
        <v>RECEITAS COM ENTREGAS</v>
      </c>
      <c r="P400">
        <v>348.65</v>
      </c>
      <c r="Q400" t="str">
        <f>"FARMÁCIA INDIANA LJ 65 (10030)"</f>
        <v>FARMÁCIA INDIANA LJ 65 (10030)</v>
      </c>
      <c r="R400" t="str">
        <f t="shared" si="170"/>
        <v>RECEITAS COM ENTREGAS (303)</v>
      </c>
      <c r="S400">
        <v>2992</v>
      </c>
      <c r="T400">
        <v>2449</v>
      </c>
      <c r="U400" t="s">
        <v>21</v>
      </c>
    </row>
    <row r="401" spans="1:21">
      <c r="A401" t="str">
        <f t="shared" si="165"/>
        <v>12/11/2025</v>
      </c>
      <c r="B401" t="str">
        <f t="shared" si="166"/>
        <v>ENTRADA</v>
      </c>
      <c r="C401" t="str">
        <f t="shared" si="167"/>
        <v>NFSE</v>
      </c>
      <c r="D401" t="str">
        <f t="shared" si="171"/>
        <v>3754</v>
      </c>
      <c r="E401" t="str">
        <f t="shared" si="164"/>
        <v>COM</v>
      </c>
      <c r="F401" t="str">
        <f t="shared" si="172"/>
        <v>FARMÁCIA INDIANA LJ 30 (10127)</v>
      </c>
      <c r="G401" t="str">
        <f t="shared" si="173"/>
        <v>Serv.Prest. 24/10/2025 a 02/11/2025 - RPS: 1517 - NFSe: 3754</v>
      </c>
      <c r="H401" t="str">
        <f t="shared" si="162"/>
        <v>12/11/2025</v>
      </c>
      <c r="I401" t="str">
        <f t="shared" si="163"/>
        <v>04/11/2025</v>
      </c>
      <c r="J401" t="str">
        <f t="shared" si="168"/>
        <v>12/11/2025</v>
      </c>
      <c r="M401">
        <v>303</v>
      </c>
      <c r="N401" t="str">
        <f t="shared" si="169"/>
        <v>RECEITAS COM ENTREGAS</v>
      </c>
      <c r="P401">
        <v>85.64</v>
      </c>
      <c r="Q401" t="str">
        <f>"FARMÁCIA INDIANA LJ 77 (10034)"</f>
        <v>FARMÁCIA INDIANA LJ 77 (10034)</v>
      </c>
      <c r="R401" t="str">
        <f t="shared" si="170"/>
        <v>RECEITAS COM ENTREGAS (303)</v>
      </c>
      <c r="S401">
        <v>2992</v>
      </c>
      <c r="T401">
        <v>2449</v>
      </c>
      <c r="U401" t="s">
        <v>21</v>
      </c>
    </row>
    <row r="402" spans="1:21">
      <c r="A402" t="str">
        <f t="shared" si="165"/>
        <v>12/11/2025</v>
      </c>
      <c r="B402" t="str">
        <f t="shared" si="166"/>
        <v>ENTRADA</v>
      </c>
      <c r="C402" t="str">
        <f t="shared" si="167"/>
        <v>NFSE</v>
      </c>
      <c r="D402" t="str">
        <f t="shared" si="171"/>
        <v>3754</v>
      </c>
      <c r="E402" t="str">
        <f t="shared" si="164"/>
        <v>COM</v>
      </c>
      <c r="F402" t="str">
        <f t="shared" si="172"/>
        <v>FARMÁCIA INDIANA LJ 30 (10127)</v>
      </c>
      <c r="G402" t="str">
        <f t="shared" si="173"/>
        <v>Serv.Prest. 24/10/2025 a 02/11/2025 - RPS: 1517 - NFSe: 3754</v>
      </c>
      <c r="H402" t="str">
        <f t="shared" si="162"/>
        <v>12/11/2025</v>
      </c>
      <c r="I402" t="str">
        <f t="shared" si="163"/>
        <v>04/11/2025</v>
      </c>
      <c r="J402" t="str">
        <f t="shared" si="168"/>
        <v>12/11/2025</v>
      </c>
      <c r="M402">
        <v>303</v>
      </c>
      <c r="N402" t="str">
        <f t="shared" si="169"/>
        <v>RECEITAS COM ENTREGAS</v>
      </c>
      <c r="P402">
        <v>812.95</v>
      </c>
      <c r="Q402" t="str">
        <f>"FARMÁCIA INDIANA LJ 91 (10037)"</f>
        <v>FARMÁCIA INDIANA LJ 91 (10037)</v>
      </c>
      <c r="R402" t="str">
        <f t="shared" si="170"/>
        <v>RECEITAS COM ENTREGAS (303)</v>
      </c>
      <c r="S402">
        <v>2992</v>
      </c>
      <c r="T402">
        <v>2449</v>
      </c>
      <c r="U402" t="s">
        <v>21</v>
      </c>
    </row>
    <row r="403" spans="1:21">
      <c r="A403" t="str">
        <f t="shared" si="165"/>
        <v>12/11/2025</v>
      </c>
      <c r="B403" t="str">
        <f t="shared" si="166"/>
        <v>ENTRADA</v>
      </c>
      <c r="C403" t="str">
        <f t="shared" si="167"/>
        <v>NFSE</v>
      </c>
      <c r="D403" t="str">
        <f t="shared" si="171"/>
        <v>3754</v>
      </c>
      <c r="E403" t="str">
        <f t="shared" si="164"/>
        <v>COM</v>
      </c>
      <c r="F403" t="str">
        <f t="shared" si="172"/>
        <v>FARMÁCIA INDIANA LJ 30 (10127)</v>
      </c>
      <c r="G403" t="str">
        <f t="shared" si="173"/>
        <v>Serv.Prest. 24/10/2025 a 02/11/2025 - RPS: 1517 - NFSe: 3754</v>
      </c>
      <c r="H403" t="str">
        <f t="shared" si="162"/>
        <v>12/11/2025</v>
      </c>
      <c r="I403" t="str">
        <f t="shared" si="163"/>
        <v>04/11/2025</v>
      </c>
      <c r="J403" t="str">
        <f t="shared" si="168"/>
        <v>12/11/2025</v>
      </c>
      <c r="M403">
        <v>303</v>
      </c>
      <c r="N403" t="str">
        <f t="shared" si="169"/>
        <v>RECEITAS COM ENTREGAS</v>
      </c>
      <c r="P403">
        <v>273.45999999999998</v>
      </c>
      <c r="Q403" t="str">
        <f>"FARMÁCIA INDIANA LJ 95 (10039)"</f>
        <v>FARMÁCIA INDIANA LJ 95 (10039)</v>
      </c>
      <c r="R403" t="str">
        <f t="shared" si="170"/>
        <v>RECEITAS COM ENTREGAS (303)</v>
      </c>
      <c r="S403">
        <v>2992</v>
      </c>
      <c r="T403">
        <v>2449</v>
      </c>
      <c r="U403" t="s">
        <v>21</v>
      </c>
    </row>
    <row r="404" spans="1:21">
      <c r="A404" t="str">
        <f t="shared" si="165"/>
        <v>12/11/2025</v>
      </c>
      <c r="B404" t="str">
        <f t="shared" si="166"/>
        <v>ENTRADA</v>
      </c>
      <c r="C404" t="str">
        <f t="shared" si="167"/>
        <v>NFSE</v>
      </c>
      <c r="D404" t="str">
        <f t="shared" si="171"/>
        <v>3754</v>
      </c>
      <c r="E404" t="str">
        <f t="shared" si="164"/>
        <v>COM</v>
      </c>
      <c r="F404" t="str">
        <f t="shared" si="172"/>
        <v>FARMÁCIA INDIANA LJ 30 (10127)</v>
      </c>
      <c r="G404" t="str">
        <f t="shared" si="173"/>
        <v>Serv.Prest. 24/10/2025 a 02/11/2025 - RPS: 1517 - NFSe: 3754</v>
      </c>
      <c r="H404" t="str">
        <f t="shared" si="162"/>
        <v>12/11/2025</v>
      </c>
      <c r="I404" t="str">
        <f t="shared" si="163"/>
        <v>04/11/2025</v>
      </c>
      <c r="J404" t="str">
        <f t="shared" si="168"/>
        <v>12/11/2025</v>
      </c>
      <c r="M404">
        <v>303</v>
      </c>
      <c r="N404" t="str">
        <f t="shared" si="169"/>
        <v>RECEITAS COM ENTREGAS</v>
      </c>
      <c r="P404">
        <v>280.87</v>
      </c>
      <c r="Q404" t="str">
        <f>"FARMÁCIA INDIANA LJ 145 (10068)"</f>
        <v>FARMÁCIA INDIANA LJ 145 (10068)</v>
      </c>
      <c r="R404" t="str">
        <f t="shared" si="170"/>
        <v>RECEITAS COM ENTREGAS (303)</v>
      </c>
      <c r="S404">
        <v>2992</v>
      </c>
      <c r="T404">
        <v>2449</v>
      </c>
      <c r="U404" t="s">
        <v>21</v>
      </c>
    </row>
    <row r="405" spans="1:21">
      <c r="A405" t="str">
        <f t="shared" si="165"/>
        <v>12/11/2025</v>
      </c>
      <c r="B405" t="str">
        <f t="shared" si="166"/>
        <v>ENTRADA</v>
      </c>
      <c r="C405" t="str">
        <f t="shared" si="167"/>
        <v>NFSE</v>
      </c>
      <c r="D405" t="str">
        <f t="shared" si="171"/>
        <v>3754</v>
      </c>
      <c r="E405" t="str">
        <f t="shared" si="164"/>
        <v>COM</v>
      </c>
      <c r="F405" t="str">
        <f t="shared" si="172"/>
        <v>FARMÁCIA INDIANA LJ 30 (10127)</v>
      </c>
      <c r="G405" t="str">
        <f t="shared" si="173"/>
        <v>Serv.Prest. 24/10/2025 a 02/11/2025 - RPS: 1517 - NFSe: 3754</v>
      </c>
      <c r="H405" t="str">
        <f t="shared" si="162"/>
        <v>12/11/2025</v>
      </c>
      <c r="I405" t="str">
        <f t="shared" si="163"/>
        <v>04/11/2025</v>
      </c>
      <c r="J405" t="str">
        <f t="shared" si="168"/>
        <v>12/11/2025</v>
      </c>
      <c r="M405">
        <v>303</v>
      </c>
      <c r="N405" t="str">
        <f t="shared" si="169"/>
        <v>RECEITAS COM ENTREGAS</v>
      </c>
      <c r="P405">
        <v>161.16999999999999</v>
      </c>
      <c r="Q405" t="str">
        <f>"FARMÁCIA INDIANA LJ 169 (10073)"</f>
        <v>FARMÁCIA INDIANA LJ 169 (10073)</v>
      </c>
      <c r="R405" t="str">
        <f t="shared" si="170"/>
        <v>RECEITAS COM ENTREGAS (303)</v>
      </c>
      <c r="S405">
        <v>2992</v>
      </c>
      <c r="T405">
        <v>2449</v>
      </c>
      <c r="U405" t="s">
        <v>21</v>
      </c>
    </row>
    <row r="406" spans="1:21">
      <c r="A406" t="str">
        <f t="shared" si="165"/>
        <v>12/11/2025</v>
      </c>
      <c r="B406" t="str">
        <f t="shared" si="166"/>
        <v>ENTRADA</v>
      </c>
      <c r="C406" t="str">
        <f t="shared" si="167"/>
        <v>NFSE</v>
      </c>
      <c r="D406" t="str">
        <f t="shared" si="171"/>
        <v>3754</v>
      </c>
      <c r="E406" t="str">
        <f t="shared" si="164"/>
        <v>COM</v>
      </c>
      <c r="F406" t="str">
        <f t="shared" si="172"/>
        <v>FARMÁCIA INDIANA LJ 30 (10127)</v>
      </c>
      <c r="G406" t="str">
        <f t="shared" si="173"/>
        <v>Serv.Prest. 24/10/2025 a 02/11/2025 - RPS: 1517 - NFSe: 3754</v>
      </c>
      <c r="H406" t="str">
        <f t="shared" si="162"/>
        <v>12/11/2025</v>
      </c>
      <c r="I406" t="str">
        <f t="shared" si="163"/>
        <v>04/11/2025</v>
      </c>
      <c r="J406" t="str">
        <f t="shared" si="168"/>
        <v>12/11/2025</v>
      </c>
      <c r="M406">
        <v>303</v>
      </c>
      <c r="N406" t="str">
        <f t="shared" si="169"/>
        <v>RECEITAS COM ENTREGAS</v>
      </c>
      <c r="P406">
        <v>174.32</v>
      </c>
      <c r="Q406" t="str">
        <f>"FARMÁCIA INDIANA LJ 173 (10075)"</f>
        <v>FARMÁCIA INDIANA LJ 173 (10075)</v>
      </c>
      <c r="R406" t="str">
        <f t="shared" si="170"/>
        <v>RECEITAS COM ENTREGAS (303)</v>
      </c>
      <c r="S406">
        <v>2992</v>
      </c>
      <c r="T406">
        <v>2449</v>
      </c>
      <c r="U406" t="s">
        <v>21</v>
      </c>
    </row>
    <row r="407" spans="1:21">
      <c r="A407" t="str">
        <f t="shared" si="165"/>
        <v>12/11/2025</v>
      </c>
      <c r="B407" t="str">
        <f t="shared" si="166"/>
        <v>ENTRADA</v>
      </c>
      <c r="C407" t="str">
        <f t="shared" si="167"/>
        <v>NFSE</v>
      </c>
      <c r="D407" t="str">
        <f t="shared" si="171"/>
        <v>3754</v>
      </c>
      <c r="E407" t="str">
        <f t="shared" si="164"/>
        <v>COM</v>
      </c>
      <c r="F407" t="str">
        <f t="shared" si="172"/>
        <v>FARMÁCIA INDIANA LJ 30 (10127)</v>
      </c>
      <c r="G407" t="str">
        <f t="shared" si="173"/>
        <v>Serv.Prest. 24/10/2025 a 02/11/2025 - RPS: 1517 - NFSe: 3754</v>
      </c>
      <c r="H407" t="str">
        <f t="shared" si="162"/>
        <v>12/11/2025</v>
      </c>
      <c r="I407" t="str">
        <f t="shared" si="163"/>
        <v>04/11/2025</v>
      </c>
      <c r="J407" t="str">
        <f t="shared" si="168"/>
        <v>12/11/2025</v>
      </c>
      <c r="M407">
        <v>303</v>
      </c>
      <c r="N407" t="str">
        <f t="shared" si="169"/>
        <v>RECEITAS COM ENTREGAS</v>
      </c>
      <c r="P407">
        <v>157.46</v>
      </c>
      <c r="Q407" t="str">
        <f>"FARMÁCIA INDIANA LJ 200 (10155)"</f>
        <v>FARMÁCIA INDIANA LJ 200 (10155)</v>
      </c>
      <c r="R407" t="str">
        <f t="shared" si="170"/>
        <v>RECEITAS COM ENTREGAS (303)</v>
      </c>
      <c r="S407">
        <v>2992</v>
      </c>
      <c r="T407">
        <v>2449</v>
      </c>
      <c r="U407" t="s">
        <v>21</v>
      </c>
    </row>
    <row r="408" spans="1:21">
      <c r="A408" t="str">
        <f t="shared" si="165"/>
        <v>12/11/2025</v>
      </c>
      <c r="B408" t="str">
        <f t="shared" si="166"/>
        <v>ENTRADA</v>
      </c>
      <c r="C408" t="str">
        <f t="shared" si="167"/>
        <v>NFSE</v>
      </c>
      <c r="D408" t="str">
        <f t="shared" si="171"/>
        <v>3754</v>
      </c>
      <c r="E408" t="str">
        <f t="shared" si="164"/>
        <v>COM</v>
      </c>
      <c r="F408" t="str">
        <f t="shared" si="172"/>
        <v>FARMÁCIA INDIANA LJ 30 (10127)</v>
      </c>
      <c r="G408" t="str">
        <f t="shared" si="173"/>
        <v>Serv.Prest. 24/10/2025 a 02/11/2025 - RPS: 1517 - NFSe: 3754</v>
      </c>
      <c r="H408" t="str">
        <f t="shared" si="162"/>
        <v>12/11/2025</v>
      </c>
      <c r="I408" t="str">
        <f t="shared" si="163"/>
        <v>04/11/2025</v>
      </c>
      <c r="J408" t="str">
        <f t="shared" si="168"/>
        <v>12/11/2025</v>
      </c>
      <c r="M408">
        <v>303</v>
      </c>
      <c r="N408" t="str">
        <f t="shared" si="169"/>
        <v>RECEITAS COM ENTREGAS</v>
      </c>
      <c r="P408">
        <v>124.08</v>
      </c>
      <c r="Q408" t="str">
        <f>"FARMÁCIA INDIANA LJ 33 (10187)"</f>
        <v>FARMÁCIA INDIANA LJ 33 (10187)</v>
      </c>
      <c r="R408" t="str">
        <f t="shared" si="170"/>
        <v>RECEITAS COM ENTREGAS (303)</v>
      </c>
      <c r="S408">
        <v>2992</v>
      </c>
      <c r="T408">
        <v>2449</v>
      </c>
      <c r="U408" t="s">
        <v>21</v>
      </c>
    </row>
    <row r="409" spans="1:21">
      <c r="A409" t="str">
        <f t="shared" si="165"/>
        <v>12/11/2025</v>
      </c>
      <c r="B409" t="str">
        <f t="shared" si="166"/>
        <v>ENTRADA</v>
      </c>
      <c r="C409" t="str">
        <f t="shared" si="167"/>
        <v>NFSE</v>
      </c>
      <c r="D409" t="str">
        <f t="shared" ref="D409:D419" si="174">"3756"</f>
        <v>3756</v>
      </c>
      <c r="E409" t="str">
        <f t="shared" si="164"/>
        <v>COM</v>
      </c>
      <c r="F409" t="str">
        <f t="shared" ref="F409:F419" si="175">"FARMÁCIA INDIANA LJ 85 (10128)"</f>
        <v>FARMÁCIA INDIANA LJ 85 (10128)</v>
      </c>
      <c r="G409" t="str">
        <f t="shared" ref="G409:G419" si="176">"Serv.Prest. 24/10/2025 a 02/11/2025 - RPS: 1519 - NFSe: 3756"</f>
        <v>Serv.Prest. 24/10/2025 a 02/11/2025 - RPS: 1519 - NFSe: 3756</v>
      </c>
      <c r="H409" t="str">
        <f t="shared" si="162"/>
        <v>12/11/2025</v>
      </c>
      <c r="I409" t="str">
        <f t="shared" si="163"/>
        <v>04/11/2025</v>
      </c>
      <c r="J409" t="str">
        <f t="shared" si="168"/>
        <v>12/11/2025</v>
      </c>
      <c r="K409">
        <v>1092.17</v>
      </c>
      <c r="L409">
        <v>1092.17</v>
      </c>
      <c r="M409">
        <v>303</v>
      </c>
      <c r="N409" t="str">
        <f t="shared" si="169"/>
        <v>RECEITAS COM ENTREGAS</v>
      </c>
      <c r="O409">
        <v>1092.17</v>
      </c>
      <c r="R409" t="str">
        <f t="shared" si="170"/>
        <v>RECEITAS COM ENTREGAS (303)</v>
      </c>
      <c r="S409">
        <v>2993</v>
      </c>
      <c r="T409">
        <v>2451</v>
      </c>
      <c r="U409" t="s">
        <v>21</v>
      </c>
    </row>
    <row r="410" spans="1:21">
      <c r="A410" t="str">
        <f t="shared" si="165"/>
        <v>12/11/2025</v>
      </c>
      <c r="B410" t="str">
        <f t="shared" si="166"/>
        <v>ENTRADA</v>
      </c>
      <c r="C410" t="str">
        <f t="shared" si="167"/>
        <v>NFSE</v>
      </c>
      <c r="D410" t="str">
        <f t="shared" si="174"/>
        <v>3756</v>
      </c>
      <c r="E410" t="str">
        <f t="shared" si="164"/>
        <v>COM</v>
      </c>
      <c r="F410" t="str">
        <f t="shared" si="175"/>
        <v>FARMÁCIA INDIANA LJ 85 (10128)</v>
      </c>
      <c r="G410" t="str">
        <f t="shared" si="176"/>
        <v>Serv.Prest. 24/10/2025 a 02/11/2025 - RPS: 1519 - NFSe: 3756</v>
      </c>
      <c r="H410" t="str">
        <f t="shared" si="162"/>
        <v>12/11/2025</v>
      </c>
      <c r="I410" t="str">
        <f t="shared" si="163"/>
        <v>04/11/2025</v>
      </c>
      <c r="J410" t="str">
        <f t="shared" si="168"/>
        <v>12/11/2025</v>
      </c>
      <c r="M410">
        <v>303</v>
      </c>
      <c r="N410" t="str">
        <f t="shared" si="169"/>
        <v>RECEITAS COM ENTREGAS</v>
      </c>
      <c r="P410">
        <v>108.01</v>
      </c>
      <c r="Q410" t="str">
        <f>"FARMÁCIA INDIANA LJ 119 (10053)"</f>
        <v>FARMÁCIA INDIANA LJ 119 (10053)</v>
      </c>
      <c r="R410" t="str">
        <f t="shared" si="170"/>
        <v>RECEITAS COM ENTREGAS (303)</v>
      </c>
      <c r="S410">
        <v>2993</v>
      </c>
      <c r="T410">
        <v>2451</v>
      </c>
      <c r="U410" t="s">
        <v>21</v>
      </c>
    </row>
    <row r="411" spans="1:21">
      <c r="A411" t="str">
        <f t="shared" si="165"/>
        <v>12/11/2025</v>
      </c>
      <c r="B411" t="str">
        <f t="shared" si="166"/>
        <v>ENTRADA</v>
      </c>
      <c r="C411" t="str">
        <f t="shared" si="167"/>
        <v>NFSE</v>
      </c>
      <c r="D411" t="str">
        <f t="shared" si="174"/>
        <v>3756</v>
      </c>
      <c r="E411" t="str">
        <f t="shared" si="164"/>
        <v>COM</v>
      </c>
      <c r="F411" t="str">
        <f t="shared" si="175"/>
        <v>FARMÁCIA INDIANA LJ 85 (10128)</v>
      </c>
      <c r="G411" t="str">
        <f t="shared" si="176"/>
        <v>Serv.Prest. 24/10/2025 a 02/11/2025 - RPS: 1519 - NFSe: 3756</v>
      </c>
      <c r="H411" t="str">
        <f t="shared" ref="H411:H442" si="177">("12/11/2025")</f>
        <v>12/11/2025</v>
      </c>
      <c r="I411" t="str">
        <f t="shared" ref="I411:I419" si="178">("04/11/2025")</f>
        <v>04/11/2025</v>
      </c>
      <c r="J411" t="str">
        <f t="shared" si="168"/>
        <v>12/11/2025</v>
      </c>
      <c r="M411">
        <v>303</v>
      </c>
      <c r="N411" t="str">
        <f t="shared" si="169"/>
        <v>RECEITAS COM ENTREGAS</v>
      </c>
      <c r="P411">
        <v>129.63999999999999</v>
      </c>
      <c r="Q411" t="str">
        <f>"FARMÁCIA INDIANA LJ 163 (10072)"</f>
        <v>FARMÁCIA INDIANA LJ 163 (10072)</v>
      </c>
      <c r="R411" t="str">
        <f t="shared" si="170"/>
        <v>RECEITAS COM ENTREGAS (303)</v>
      </c>
      <c r="S411">
        <v>2993</v>
      </c>
      <c r="T411">
        <v>2451</v>
      </c>
      <c r="U411" t="s">
        <v>21</v>
      </c>
    </row>
    <row r="412" spans="1:21">
      <c r="A412" t="str">
        <f t="shared" si="165"/>
        <v>12/11/2025</v>
      </c>
      <c r="B412" t="str">
        <f t="shared" si="166"/>
        <v>ENTRADA</v>
      </c>
      <c r="C412" t="str">
        <f t="shared" si="167"/>
        <v>NFSE</v>
      </c>
      <c r="D412" t="str">
        <f t="shared" si="174"/>
        <v>3756</v>
      </c>
      <c r="E412" t="str">
        <f t="shared" si="164"/>
        <v>COM</v>
      </c>
      <c r="F412" t="str">
        <f t="shared" si="175"/>
        <v>FARMÁCIA INDIANA LJ 85 (10128)</v>
      </c>
      <c r="G412" t="str">
        <f t="shared" si="176"/>
        <v>Serv.Prest. 24/10/2025 a 02/11/2025 - RPS: 1519 - NFSe: 3756</v>
      </c>
      <c r="H412" t="str">
        <f t="shared" si="177"/>
        <v>12/11/2025</v>
      </c>
      <c r="I412" t="str">
        <f t="shared" si="178"/>
        <v>04/11/2025</v>
      </c>
      <c r="J412" t="str">
        <f t="shared" si="168"/>
        <v>12/11/2025</v>
      </c>
      <c r="M412">
        <v>303</v>
      </c>
      <c r="N412" t="str">
        <f t="shared" si="169"/>
        <v>RECEITAS COM ENTREGAS</v>
      </c>
      <c r="P412">
        <v>229.79</v>
      </c>
      <c r="Q412" t="str">
        <f>"FARMÁCIA INDIANA LJ 181 (10078)"</f>
        <v>FARMÁCIA INDIANA LJ 181 (10078)</v>
      </c>
      <c r="R412" t="str">
        <f t="shared" si="170"/>
        <v>RECEITAS COM ENTREGAS (303)</v>
      </c>
      <c r="S412">
        <v>2993</v>
      </c>
      <c r="T412">
        <v>2451</v>
      </c>
      <c r="U412" t="s">
        <v>21</v>
      </c>
    </row>
    <row r="413" spans="1:21">
      <c r="A413" t="str">
        <f t="shared" si="165"/>
        <v>12/11/2025</v>
      </c>
      <c r="B413" t="str">
        <f t="shared" si="166"/>
        <v>ENTRADA</v>
      </c>
      <c r="C413" t="str">
        <f t="shared" si="167"/>
        <v>NFSE</v>
      </c>
      <c r="D413" t="str">
        <f t="shared" si="174"/>
        <v>3756</v>
      </c>
      <c r="E413" t="str">
        <f t="shared" si="164"/>
        <v>COM</v>
      </c>
      <c r="F413" t="str">
        <f t="shared" si="175"/>
        <v>FARMÁCIA INDIANA LJ 85 (10128)</v>
      </c>
      <c r="G413" t="str">
        <f t="shared" si="176"/>
        <v>Serv.Prest. 24/10/2025 a 02/11/2025 - RPS: 1519 - NFSe: 3756</v>
      </c>
      <c r="H413" t="str">
        <f t="shared" si="177"/>
        <v>12/11/2025</v>
      </c>
      <c r="I413" t="str">
        <f t="shared" si="178"/>
        <v>04/11/2025</v>
      </c>
      <c r="J413" t="str">
        <f t="shared" si="168"/>
        <v>12/11/2025</v>
      </c>
      <c r="M413">
        <v>303</v>
      </c>
      <c r="N413" t="str">
        <f t="shared" si="169"/>
        <v>RECEITAS COM ENTREGAS</v>
      </c>
      <c r="P413">
        <v>107.8</v>
      </c>
      <c r="Q413" t="str">
        <f>"FARMÁCIA INDIANA LJ 221 (10093)"</f>
        <v>FARMÁCIA INDIANA LJ 221 (10093)</v>
      </c>
      <c r="R413" t="str">
        <f t="shared" si="170"/>
        <v>RECEITAS COM ENTREGAS (303)</v>
      </c>
      <c r="S413">
        <v>2993</v>
      </c>
      <c r="T413">
        <v>2451</v>
      </c>
      <c r="U413" t="s">
        <v>21</v>
      </c>
    </row>
    <row r="414" spans="1:21">
      <c r="A414" t="str">
        <f t="shared" si="165"/>
        <v>12/11/2025</v>
      </c>
      <c r="B414" t="str">
        <f t="shared" si="166"/>
        <v>ENTRADA</v>
      </c>
      <c r="C414" t="str">
        <f t="shared" si="167"/>
        <v>NFSE</v>
      </c>
      <c r="D414" t="str">
        <f t="shared" si="174"/>
        <v>3756</v>
      </c>
      <c r="E414" t="str">
        <f t="shared" si="164"/>
        <v>COM</v>
      </c>
      <c r="F414" t="str">
        <f t="shared" si="175"/>
        <v>FARMÁCIA INDIANA LJ 85 (10128)</v>
      </c>
      <c r="G414" t="str">
        <f t="shared" si="176"/>
        <v>Serv.Prest. 24/10/2025 a 02/11/2025 - RPS: 1519 - NFSe: 3756</v>
      </c>
      <c r="H414" t="str">
        <f t="shared" si="177"/>
        <v>12/11/2025</v>
      </c>
      <c r="I414" t="str">
        <f t="shared" si="178"/>
        <v>04/11/2025</v>
      </c>
      <c r="J414" t="str">
        <f t="shared" si="168"/>
        <v>12/11/2025</v>
      </c>
      <c r="M414">
        <v>303</v>
      </c>
      <c r="N414" t="str">
        <f t="shared" si="169"/>
        <v>RECEITAS COM ENTREGAS</v>
      </c>
      <c r="P414">
        <v>134.22999999999999</v>
      </c>
      <c r="Q414" t="str">
        <f>"FARMÁCIA INDIANA LJ 243 (10142)"</f>
        <v>FARMÁCIA INDIANA LJ 243 (10142)</v>
      </c>
      <c r="R414" t="str">
        <f t="shared" si="170"/>
        <v>RECEITAS COM ENTREGAS (303)</v>
      </c>
      <c r="S414">
        <v>2993</v>
      </c>
      <c r="T414">
        <v>2451</v>
      </c>
      <c r="U414" t="s">
        <v>21</v>
      </c>
    </row>
    <row r="415" spans="1:21">
      <c r="A415" t="str">
        <f t="shared" si="165"/>
        <v>12/11/2025</v>
      </c>
      <c r="B415" t="str">
        <f t="shared" si="166"/>
        <v>ENTRADA</v>
      </c>
      <c r="C415" t="str">
        <f t="shared" si="167"/>
        <v>NFSE</v>
      </c>
      <c r="D415" t="str">
        <f t="shared" si="174"/>
        <v>3756</v>
      </c>
      <c r="E415" t="str">
        <f t="shared" si="164"/>
        <v>COM</v>
      </c>
      <c r="F415" t="str">
        <f t="shared" si="175"/>
        <v>FARMÁCIA INDIANA LJ 85 (10128)</v>
      </c>
      <c r="G415" t="str">
        <f t="shared" si="176"/>
        <v>Serv.Prest. 24/10/2025 a 02/11/2025 - RPS: 1519 - NFSe: 3756</v>
      </c>
      <c r="H415" t="str">
        <f t="shared" si="177"/>
        <v>12/11/2025</v>
      </c>
      <c r="I415" t="str">
        <f t="shared" si="178"/>
        <v>04/11/2025</v>
      </c>
      <c r="J415" t="str">
        <f t="shared" si="168"/>
        <v>12/11/2025</v>
      </c>
      <c r="M415">
        <v>303</v>
      </c>
      <c r="N415" t="str">
        <f t="shared" si="169"/>
        <v>RECEITAS COM ENTREGAS</v>
      </c>
      <c r="P415">
        <v>57.45</v>
      </c>
      <c r="Q415" t="str">
        <f>"FARMÁCIA INDIANA LJ 211 (10168)"</f>
        <v>FARMÁCIA INDIANA LJ 211 (10168)</v>
      </c>
      <c r="R415" t="str">
        <f t="shared" si="170"/>
        <v>RECEITAS COM ENTREGAS (303)</v>
      </c>
      <c r="S415">
        <v>2993</v>
      </c>
      <c r="T415">
        <v>2451</v>
      </c>
      <c r="U415" t="s">
        <v>21</v>
      </c>
    </row>
    <row r="416" spans="1:21">
      <c r="A416" t="str">
        <f t="shared" ref="A416:A442" si="179">("12/11/2025")</f>
        <v>12/11/2025</v>
      </c>
      <c r="B416" t="str">
        <f t="shared" si="166"/>
        <v>ENTRADA</v>
      </c>
      <c r="C416" t="str">
        <f t="shared" si="167"/>
        <v>NFSE</v>
      </c>
      <c r="D416" t="str">
        <f t="shared" si="174"/>
        <v>3756</v>
      </c>
      <c r="E416" t="str">
        <f t="shared" si="164"/>
        <v>COM</v>
      </c>
      <c r="F416" t="str">
        <f t="shared" si="175"/>
        <v>FARMÁCIA INDIANA LJ 85 (10128)</v>
      </c>
      <c r="G416" t="str">
        <f t="shared" si="176"/>
        <v>Serv.Prest. 24/10/2025 a 02/11/2025 - RPS: 1519 - NFSe: 3756</v>
      </c>
      <c r="H416" t="str">
        <f t="shared" si="177"/>
        <v>12/11/2025</v>
      </c>
      <c r="I416" t="str">
        <f t="shared" si="178"/>
        <v>04/11/2025</v>
      </c>
      <c r="J416" t="str">
        <f t="shared" ref="J416:J442" si="180">("12/11/2025")</f>
        <v>12/11/2025</v>
      </c>
      <c r="M416">
        <v>303</v>
      </c>
      <c r="N416" t="str">
        <f t="shared" si="169"/>
        <v>RECEITAS COM ENTREGAS</v>
      </c>
      <c r="P416">
        <v>57.45</v>
      </c>
      <c r="Q416" t="str">
        <f>"FARMÁCIA INDIANA LJ 236 (10169)"</f>
        <v>FARMÁCIA INDIANA LJ 236 (10169)</v>
      </c>
      <c r="R416" t="str">
        <f t="shared" si="170"/>
        <v>RECEITAS COM ENTREGAS (303)</v>
      </c>
      <c r="S416">
        <v>2993</v>
      </c>
      <c r="T416">
        <v>2451</v>
      </c>
      <c r="U416" t="s">
        <v>21</v>
      </c>
    </row>
    <row r="417" spans="1:21">
      <c r="A417" t="str">
        <f t="shared" si="179"/>
        <v>12/11/2025</v>
      </c>
      <c r="B417" t="str">
        <f t="shared" si="166"/>
        <v>ENTRADA</v>
      </c>
      <c r="C417" t="str">
        <f t="shared" si="167"/>
        <v>NFSE</v>
      </c>
      <c r="D417" t="str">
        <f t="shared" si="174"/>
        <v>3756</v>
      </c>
      <c r="E417" t="str">
        <f t="shared" si="164"/>
        <v>COM</v>
      </c>
      <c r="F417" t="str">
        <f t="shared" si="175"/>
        <v>FARMÁCIA INDIANA LJ 85 (10128)</v>
      </c>
      <c r="G417" t="str">
        <f t="shared" si="176"/>
        <v>Serv.Prest. 24/10/2025 a 02/11/2025 - RPS: 1519 - NFSe: 3756</v>
      </c>
      <c r="H417" t="str">
        <f t="shared" si="177"/>
        <v>12/11/2025</v>
      </c>
      <c r="I417" t="str">
        <f t="shared" si="178"/>
        <v>04/11/2025</v>
      </c>
      <c r="J417" t="str">
        <f t="shared" si="180"/>
        <v>12/11/2025</v>
      </c>
      <c r="M417">
        <v>303</v>
      </c>
      <c r="N417" t="str">
        <f t="shared" si="169"/>
        <v>RECEITAS COM ENTREGAS</v>
      </c>
      <c r="P417">
        <v>114.79</v>
      </c>
      <c r="Q417" t="str">
        <f>"FARMÁCIA INDIANA LJ 188 (10176)"</f>
        <v>FARMÁCIA INDIANA LJ 188 (10176)</v>
      </c>
      <c r="R417" t="str">
        <f t="shared" si="170"/>
        <v>RECEITAS COM ENTREGAS (303)</v>
      </c>
      <c r="S417">
        <v>2993</v>
      </c>
      <c r="T417">
        <v>2451</v>
      </c>
      <c r="U417" t="s">
        <v>21</v>
      </c>
    </row>
    <row r="418" spans="1:21">
      <c r="A418" t="str">
        <f t="shared" si="179"/>
        <v>12/11/2025</v>
      </c>
      <c r="B418" t="str">
        <f t="shared" si="166"/>
        <v>ENTRADA</v>
      </c>
      <c r="C418" t="str">
        <f t="shared" si="167"/>
        <v>NFSE</v>
      </c>
      <c r="D418" t="str">
        <f t="shared" si="174"/>
        <v>3756</v>
      </c>
      <c r="E418" t="str">
        <f t="shared" si="164"/>
        <v>COM</v>
      </c>
      <c r="F418" t="str">
        <f t="shared" si="175"/>
        <v>FARMÁCIA INDIANA LJ 85 (10128)</v>
      </c>
      <c r="G418" t="str">
        <f t="shared" si="176"/>
        <v>Serv.Prest. 24/10/2025 a 02/11/2025 - RPS: 1519 - NFSe: 3756</v>
      </c>
      <c r="H418" t="str">
        <f t="shared" si="177"/>
        <v>12/11/2025</v>
      </c>
      <c r="I418" t="str">
        <f t="shared" si="178"/>
        <v>04/11/2025</v>
      </c>
      <c r="J418" t="str">
        <f t="shared" si="180"/>
        <v>12/11/2025</v>
      </c>
      <c r="M418">
        <v>303</v>
      </c>
      <c r="N418" t="str">
        <f t="shared" si="169"/>
        <v>RECEITAS COM ENTREGAS</v>
      </c>
      <c r="P418">
        <v>134.99</v>
      </c>
      <c r="Q418" t="str">
        <f>"FARMÁCIA INDIANA LJ 273 (10188)"</f>
        <v>FARMÁCIA INDIANA LJ 273 (10188)</v>
      </c>
      <c r="R418" t="str">
        <f t="shared" si="170"/>
        <v>RECEITAS COM ENTREGAS (303)</v>
      </c>
      <c r="S418">
        <v>2993</v>
      </c>
      <c r="T418">
        <v>2451</v>
      </c>
      <c r="U418" t="s">
        <v>21</v>
      </c>
    </row>
    <row r="419" spans="1:21">
      <c r="A419" t="str">
        <f t="shared" si="179"/>
        <v>12/11/2025</v>
      </c>
      <c r="B419" t="str">
        <f t="shared" si="166"/>
        <v>ENTRADA</v>
      </c>
      <c r="C419" t="str">
        <f t="shared" si="167"/>
        <v>NFSE</v>
      </c>
      <c r="D419" t="str">
        <f t="shared" si="174"/>
        <v>3756</v>
      </c>
      <c r="E419" t="str">
        <f t="shared" si="164"/>
        <v>COM</v>
      </c>
      <c r="F419" t="str">
        <f t="shared" si="175"/>
        <v>FARMÁCIA INDIANA LJ 85 (10128)</v>
      </c>
      <c r="G419" t="str">
        <f t="shared" si="176"/>
        <v>Serv.Prest. 24/10/2025 a 02/11/2025 - RPS: 1519 - NFSe: 3756</v>
      </c>
      <c r="H419" t="str">
        <f t="shared" si="177"/>
        <v>12/11/2025</v>
      </c>
      <c r="I419" t="str">
        <f t="shared" si="178"/>
        <v>04/11/2025</v>
      </c>
      <c r="J419" t="str">
        <f t="shared" si="180"/>
        <v>12/11/2025</v>
      </c>
      <c r="M419">
        <v>303</v>
      </c>
      <c r="N419" t="str">
        <f t="shared" si="169"/>
        <v>RECEITAS COM ENTREGAS</v>
      </c>
      <c r="P419">
        <v>18.02</v>
      </c>
      <c r="Q419" t="str">
        <f>"FARMÁCIA INDIANA LJ 235 (10190)"</f>
        <v>FARMÁCIA INDIANA LJ 235 (10190)</v>
      </c>
      <c r="R419" t="str">
        <f t="shared" si="170"/>
        <v>RECEITAS COM ENTREGAS (303)</v>
      </c>
      <c r="S419">
        <v>2993</v>
      </c>
      <c r="T419">
        <v>2451</v>
      </c>
      <c r="U419" t="s">
        <v>21</v>
      </c>
    </row>
    <row r="420" spans="1:21">
      <c r="A420" t="str">
        <f t="shared" si="179"/>
        <v>12/11/2025</v>
      </c>
      <c r="B420" t="str">
        <f t="shared" ref="B420:B439" si="181">"SAÍDA"</f>
        <v>SAÍDA</v>
      </c>
      <c r="C420" t="str">
        <f t="shared" ref="C420:C439" si="182">"BOLETO"</f>
        <v>BOLETO</v>
      </c>
      <c r="D420" t="str">
        <f t="shared" ref="D420:D439" si="183">"01112025"</f>
        <v>01112025</v>
      </c>
      <c r="E420" t="str">
        <f t="shared" si="164"/>
        <v>COM</v>
      </c>
      <c r="F420" t="str">
        <f t="shared" ref="F420:F439" si="184">"CORA SOCIEDADE DE CREDITO, FINANCIAMENTO E INVESTIMENTO (20035)"</f>
        <v>CORA SOCIEDADE DE CREDITO, FINANCIAMENTO E INVESTIMENTO (20035)</v>
      </c>
      <c r="G420" t="str">
        <f t="shared" ref="G420:G439" si="185">"TAXA BOLETO CORA "</f>
        <v xml:space="preserve">TAXA BOLETO CORA </v>
      </c>
      <c r="H420" t="str">
        <f t="shared" si="177"/>
        <v>12/11/2025</v>
      </c>
      <c r="I420" t="str">
        <f t="shared" ref="I420:I442" si="186">("12/11/2025")</f>
        <v>12/11/2025</v>
      </c>
      <c r="J420" t="str">
        <f t="shared" si="180"/>
        <v>12/11/2025</v>
      </c>
      <c r="K420">
        <v>1.7</v>
      </c>
      <c r="L420">
        <v>1.7</v>
      </c>
      <c r="M420">
        <v>401</v>
      </c>
      <c r="N420" t="str">
        <f t="shared" ref="N420:N439" si="187">"IOF/JUROS/DESP.FINANCEIRA"</f>
        <v>IOF/JUROS/DESP.FINANCEIRA</v>
      </c>
      <c r="O420">
        <v>1.7</v>
      </c>
      <c r="R420" t="str">
        <f t="shared" ref="R420:R439" si="188">"BANCO CORA (102)"</f>
        <v>BANCO CORA (102)</v>
      </c>
      <c r="S420">
        <v>3061</v>
      </c>
      <c r="T420">
        <v>2576</v>
      </c>
      <c r="U420" t="s">
        <v>21</v>
      </c>
    </row>
    <row r="421" spans="1:21">
      <c r="A421" t="str">
        <f t="shared" si="179"/>
        <v>12/11/2025</v>
      </c>
      <c r="B421" t="str">
        <f t="shared" si="181"/>
        <v>SAÍDA</v>
      </c>
      <c r="C421" t="str">
        <f t="shared" si="182"/>
        <v>BOLETO</v>
      </c>
      <c r="D421" t="str">
        <f t="shared" si="183"/>
        <v>01112025</v>
      </c>
      <c r="E421" t="str">
        <f t="shared" si="164"/>
        <v>COM</v>
      </c>
      <c r="F421" t="str">
        <f t="shared" si="184"/>
        <v>CORA SOCIEDADE DE CREDITO, FINANCIAMENTO E INVESTIMENTO (20035)</v>
      </c>
      <c r="G421" t="str">
        <f t="shared" si="185"/>
        <v xml:space="preserve">TAXA BOLETO CORA </v>
      </c>
      <c r="H421" t="str">
        <f t="shared" si="177"/>
        <v>12/11/2025</v>
      </c>
      <c r="I421" t="str">
        <f t="shared" si="186"/>
        <v>12/11/2025</v>
      </c>
      <c r="J421" t="str">
        <f t="shared" si="180"/>
        <v>12/11/2025</v>
      </c>
      <c r="M421">
        <v>401</v>
      </c>
      <c r="N421" t="str">
        <f t="shared" si="187"/>
        <v>IOF/JUROS/DESP.FINANCEIRA</v>
      </c>
      <c r="P421">
        <v>1.7</v>
      </c>
      <c r="Q421" t="str">
        <f>"CORA SOCIEDADE DE CREDITO, FINANCIAMENTO E INVESTIMENTO (20035)"</f>
        <v>CORA SOCIEDADE DE CREDITO, FINANCIAMENTO E INVESTIMENTO (20035)</v>
      </c>
      <c r="R421" t="str">
        <f t="shared" si="188"/>
        <v>BANCO CORA (102)</v>
      </c>
      <c r="S421">
        <v>3061</v>
      </c>
      <c r="T421">
        <v>2576</v>
      </c>
      <c r="U421" t="s">
        <v>21</v>
      </c>
    </row>
    <row r="422" spans="1:21">
      <c r="A422" t="str">
        <f t="shared" si="179"/>
        <v>12/11/2025</v>
      </c>
      <c r="B422" t="str">
        <f t="shared" si="181"/>
        <v>SAÍDA</v>
      </c>
      <c r="C422" t="str">
        <f t="shared" si="182"/>
        <v>BOLETO</v>
      </c>
      <c r="D422" t="str">
        <f t="shared" si="183"/>
        <v>01112025</v>
      </c>
      <c r="E422" t="str">
        <f t="shared" si="164"/>
        <v>COM</v>
      </c>
      <c r="F422" t="str">
        <f t="shared" si="184"/>
        <v>CORA SOCIEDADE DE CREDITO, FINANCIAMENTO E INVESTIMENTO (20035)</v>
      </c>
      <c r="G422" t="str">
        <f t="shared" si="185"/>
        <v xml:space="preserve">TAXA BOLETO CORA </v>
      </c>
      <c r="H422" t="str">
        <f t="shared" si="177"/>
        <v>12/11/2025</v>
      </c>
      <c r="I422" t="str">
        <f t="shared" si="186"/>
        <v>12/11/2025</v>
      </c>
      <c r="J422" t="str">
        <f t="shared" si="180"/>
        <v>12/11/2025</v>
      </c>
      <c r="K422">
        <v>1.7</v>
      </c>
      <c r="L422">
        <v>1.7</v>
      </c>
      <c r="M422">
        <v>401</v>
      </c>
      <c r="N422" t="str">
        <f t="shared" si="187"/>
        <v>IOF/JUROS/DESP.FINANCEIRA</v>
      </c>
      <c r="O422">
        <v>1.7</v>
      </c>
      <c r="R422" t="str">
        <f t="shared" si="188"/>
        <v>BANCO CORA (102)</v>
      </c>
      <c r="S422">
        <v>3062</v>
      </c>
      <c r="T422">
        <v>2577</v>
      </c>
      <c r="U422" t="s">
        <v>21</v>
      </c>
    </row>
    <row r="423" spans="1:21">
      <c r="A423" t="str">
        <f t="shared" si="179"/>
        <v>12/11/2025</v>
      </c>
      <c r="B423" t="str">
        <f t="shared" si="181"/>
        <v>SAÍDA</v>
      </c>
      <c r="C423" t="str">
        <f t="shared" si="182"/>
        <v>BOLETO</v>
      </c>
      <c r="D423" t="str">
        <f t="shared" si="183"/>
        <v>01112025</v>
      </c>
      <c r="E423" t="str">
        <f t="shared" si="164"/>
        <v>COM</v>
      </c>
      <c r="F423" t="str">
        <f t="shared" si="184"/>
        <v>CORA SOCIEDADE DE CREDITO, FINANCIAMENTO E INVESTIMENTO (20035)</v>
      </c>
      <c r="G423" t="str">
        <f t="shared" si="185"/>
        <v xml:space="preserve">TAXA BOLETO CORA </v>
      </c>
      <c r="H423" t="str">
        <f t="shared" si="177"/>
        <v>12/11/2025</v>
      </c>
      <c r="I423" t="str">
        <f t="shared" si="186"/>
        <v>12/11/2025</v>
      </c>
      <c r="J423" t="str">
        <f t="shared" si="180"/>
        <v>12/11/2025</v>
      </c>
      <c r="M423">
        <v>401</v>
      </c>
      <c r="N423" t="str">
        <f t="shared" si="187"/>
        <v>IOF/JUROS/DESP.FINANCEIRA</v>
      </c>
      <c r="P423">
        <v>1.7</v>
      </c>
      <c r="Q423" t="str">
        <f>"CORA SOCIEDADE DE CREDITO, FINANCIAMENTO E INVESTIMENTO (20035)"</f>
        <v>CORA SOCIEDADE DE CREDITO, FINANCIAMENTO E INVESTIMENTO (20035)</v>
      </c>
      <c r="R423" t="str">
        <f t="shared" si="188"/>
        <v>BANCO CORA (102)</v>
      </c>
      <c r="S423">
        <v>3062</v>
      </c>
      <c r="T423">
        <v>2577</v>
      </c>
      <c r="U423" t="s">
        <v>21</v>
      </c>
    </row>
    <row r="424" spans="1:21">
      <c r="A424" t="str">
        <f t="shared" si="179"/>
        <v>12/11/2025</v>
      </c>
      <c r="B424" t="str">
        <f t="shared" si="181"/>
        <v>SAÍDA</v>
      </c>
      <c r="C424" t="str">
        <f t="shared" si="182"/>
        <v>BOLETO</v>
      </c>
      <c r="D424" t="str">
        <f t="shared" si="183"/>
        <v>01112025</v>
      </c>
      <c r="E424" t="str">
        <f t="shared" si="164"/>
        <v>COM</v>
      </c>
      <c r="F424" t="str">
        <f t="shared" si="184"/>
        <v>CORA SOCIEDADE DE CREDITO, FINANCIAMENTO E INVESTIMENTO (20035)</v>
      </c>
      <c r="G424" t="str">
        <f t="shared" si="185"/>
        <v xml:space="preserve">TAXA BOLETO CORA </v>
      </c>
      <c r="H424" t="str">
        <f t="shared" si="177"/>
        <v>12/11/2025</v>
      </c>
      <c r="I424" t="str">
        <f t="shared" si="186"/>
        <v>12/11/2025</v>
      </c>
      <c r="J424" t="str">
        <f t="shared" si="180"/>
        <v>12/11/2025</v>
      </c>
      <c r="K424">
        <v>1.7</v>
      </c>
      <c r="L424">
        <v>1.7</v>
      </c>
      <c r="M424">
        <v>401</v>
      </c>
      <c r="N424" t="str">
        <f t="shared" si="187"/>
        <v>IOF/JUROS/DESP.FINANCEIRA</v>
      </c>
      <c r="O424">
        <v>1.7</v>
      </c>
      <c r="R424" t="str">
        <f t="shared" si="188"/>
        <v>BANCO CORA (102)</v>
      </c>
      <c r="S424">
        <v>3063</v>
      </c>
      <c r="T424">
        <v>2578</v>
      </c>
      <c r="U424" t="s">
        <v>21</v>
      </c>
    </row>
    <row r="425" spans="1:21">
      <c r="A425" t="str">
        <f t="shared" si="179"/>
        <v>12/11/2025</v>
      </c>
      <c r="B425" t="str">
        <f t="shared" si="181"/>
        <v>SAÍDA</v>
      </c>
      <c r="C425" t="str">
        <f t="shared" si="182"/>
        <v>BOLETO</v>
      </c>
      <c r="D425" t="str">
        <f t="shared" si="183"/>
        <v>01112025</v>
      </c>
      <c r="E425" t="str">
        <f t="shared" si="164"/>
        <v>COM</v>
      </c>
      <c r="F425" t="str">
        <f t="shared" si="184"/>
        <v>CORA SOCIEDADE DE CREDITO, FINANCIAMENTO E INVESTIMENTO (20035)</v>
      </c>
      <c r="G425" t="str">
        <f t="shared" si="185"/>
        <v xml:space="preserve">TAXA BOLETO CORA </v>
      </c>
      <c r="H425" t="str">
        <f t="shared" si="177"/>
        <v>12/11/2025</v>
      </c>
      <c r="I425" t="str">
        <f t="shared" si="186"/>
        <v>12/11/2025</v>
      </c>
      <c r="J425" t="str">
        <f t="shared" si="180"/>
        <v>12/11/2025</v>
      </c>
      <c r="M425">
        <v>401</v>
      </c>
      <c r="N425" t="str">
        <f t="shared" si="187"/>
        <v>IOF/JUROS/DESP.FINANCEIRA</v>
      </c>
      <c r="P425">
        <v>1.7</v>
      </c>
      <c r="Q425" t="str">
        <f>"CORA SOCIEDADE DE CREDITO, FINANCIAMENTO E INVESTIMENTO (20035)"</f>
        <v>CORA SOCIEDADE DE CREDITO, FINANCIAMENTO E INVESTIMENTO (20035)</v>
      </c>
      <c r="R425" t="str">
        <f t="shared" si="188"/>
        <v>BANCO CORA (102)</v>
      </c>
      <c r="S425">
        <v>3063</v>
      </c>
      <c r="T425">
        <v>2578</v>
      </c>
      <c r="U425" t="s">
        <v>21</v>
      </c>
    </row>
    <row r="426" spans="1:21">
      <c r="A426" t="str">
        <f t="shared" si="179"/>
        <v>12/11/2025</v>
      </c>
      <c r="B426" t="str">
        <f t="shared" si="181"/>
        <v>SAÍDA</v>
      </c>
      <c r="C426" t="str">
        <f t="shared" si="182"/>
        <v>BOLETO</v>
      </c>
      <c r="D426" t="str">
        <f t="shared" si="183"/>
        <v>01112025</v>
      </c>
      <c r="E426" t="str">
        <f t="shared" si="164"/>
        <v>COM</v>
      </c>
      <c r="F426" t="str">
        <f t="shared" si="184"/>
        <v>CORA SOCIEDADE DE CREDITO, FINANCIAMENTO E INVESTIMENTO (20035)</v>
      </c>
      <c r="G426" t="str">
        <f t="shared" si="185"/>
        <v xml:space="preserve">TAXA BOLETO CORA </v>
      </c>
      <c r="H426" t="str">
        <f t="shared" si="177"/>
        <v>12/11/2025</v>
      </c>
      <c r="I426" t="str">
        <f t="shared" si="186"/>
        <v>12/11/2025</v>
      </c>
      <c r="J426" t="str">
        <f t="shared" si="180"/>
        <v>12/11/2025</v>
      </c>
      <c r="K426">
        <v>1.7</v>
      </c>
      <c r="L426">
        <v>1.7</v>
      </c>
      <c r="M426">
        <v>401</v>
      </c>
      <c r="N426" t="str">
        <f t="shared" si="187"/>
        <v>IOF/JUROS/DESP.FINANCEIRA</v>
      </c>
      <c r="O426">
        <v>1.7</v>
      </c>
      <c r="R426" t="str">
        <f t="shared" si="188"/>
        <v>BANCO CORA (102)</v>
      </c>
      <c r="S426">
        <v>3064</v>
      </c>
      <c r="T426">
        <v>2579</v>
      </c>
      <c r="U426" t="s">
        <v>21</v>
      </c>
    </row>
    <row r="427" spans="1:21">
      <c r="A427" t="str">
        <f t="shared" si="179"/>
        <v>12/11/2025</v>
      </c>
      <c r="B427" t="str">
        <f t="shared" si="181"/>
        <v>SAÍDA</v>
      </c>
      <c r="C427" t="str">
        <f t="shared" si="182"/>
        <v>BOLETO</v>
      </c>
      <c r="D427" t="str">
        <f t="shared" si="183"/>
        <v>01112025</v>
      </c>
      <c r="E427" t="str">
        <f t="shared" si="164"/>
        <v>COM</v>
      </c>
      <c r="F427" t="str">
        <f t="shared" si="184"/>
        <v>CORA SOCIEDADE DE CREDITO, FINANCIAMENTO E INVESTIMENTO (20035)</v>
      </c>
      <c r="G427" t="str">
        <f t="shared" si="185"/>
        <v xml:space="preserve">TAXA BOLETO CORA </v>
      </c>
      <c r="H427" t="str">
        <f t="shared" si="177"/>
        <v>12/11/2025</v>
      </c>
      <c r="I427" t="str">
        <f t="shared" si="186"/>
        <v>12/11/2025</v>
      </c>
      <c r="J427" t="str">
        <f t="shared" si="180"/>
        <v>12/11/2025</v>
      </c>
      <c r="M427">
        <v>401</v>
      </c>
      <c r="N427" t="str">
        <f t="shared" si="187"/>
        <v>IOF/JUROS/DESP.FINANCEIRA</v>
      </c>
      <c r="P427">
        <v>1.7</v>
      </c>
      <c r="Q427" t="str">
        <f>"CORA SOCIEDADE DE CREDITO, FINANCIAMENTO E INVESTIMENTO (20035)"</f>
        <v>CORA SOCIEDADE DE CREDITO, FINANCIAMENTO E INVESTIMENTO (20035)</v>
      </c>
      <c r="R427" t="str">
        <f t="shared" si="188"/>
        <v>BANCO CORA (102)</v>
      </c>
      <c r="S427">
        <v>3064</v>
      </c>
      <c r="T427">
        <v>2579</v>
      </c>
      <c r="U427" t="s">
        <v>21</v>
      </c>
    </row>
    <row r="428" spans="1:21">
      <c r="A428" t="str">
        <f t="shared" si="179"/>
        <v>12/11/2025</v>
      </c>
      <c r="B428" t="str">
        <f t="shared" si="181"/>
        <v>SAÍDA</v>
      </c>
      <c r="C428" t="str">
        <f t="shared" si="182"/>
        <v>BOLETO</v>
      </c>
      <c r="D428" t="str">
        <f t="shared" si="183"/>
        <v>01112025</v>
      </c>
      <c r="E428" t="str">
        <f t="shared" si="164"/>
        <v>COM</v>
      </c>
      <c r="F428" t="str">
        <f t="shared" si="184"/>
        <v>CORA SOCIEDADE DE CREDITO, FINANCIAMENTO E INVESTIMENTO (20035)</v>
      </c>
      <c r="G428" t="str">
        <f t="shared" si="185"/>
        <v xml:space="preserve">TAXA BOLETO CORA </v>
      </c>
      <c r="H428" t="str">
        <f t="shared" si="177"/>
        <v>12/11/2025</v>
      </c>
      <c r="I428" t="str">
        <f t="shared" si="186"/>
        <v>12/11/2025</v>
      </c>
      <c r="J428" t="str">
        <f t="shared" si="180"/>
        <v>12/11/2025</v>
      </c>
      <c r="K428">
        <v>1.7</v>
      </c>
      <c r="L428">
        <v>1.7</v>
      </c>
      <c r="M428">
        <v>401</v>
      </c>
      <c r="N428" t="str">
        <f t="shared" si="187"/>
        <v>IOF/JUROS/DESP.FINANCEIRA</v>
      </c>
      <c r="O428">
        <v>1.7</v>
      </c>
      <c r="R428" t="str">
        <f t="shared" si="188"/>
        <v>BANCO CORA (102)</v>
      </c>
      <c r="S428">
        <v>3065</v>
      </c>
      <c r="T428">
        <v>2580</v>
      </c>
      <c r="U428" t="s">
        <v>21</v>
      </c>
    </row>
    <row r="429" spans="1:21">
      <c r="A429" t="str">
        <f t="shared" si="179"/>
        <v>12/11/2025</v>
      </c>
      <c r="B429" t="str">
        <f t="shared" si="181"/>
        <v>SAÍDA</v>
      </c>
      <c r="C429" t="str">
        <f t="shared" si="182"/>
        <v>BOLETO</v>
      </c>
      <c r="D429" t="str">
        <f t="shared" si="183"/>
        <v>01112025</v>
      </c>
      <c r="E429" t="str">
        <f t="shared" si="164"/>
        <v>COM</v>
      </c>
      <c r="F429" t="str">
        <f t="shared" si="184"/>
        <v>CORA SOCIEDADE DE CREDITO, FINANCIAMENTO E INVESTIMENTO (20035)</v>
      </c>
      <c r="G429" t="str">
        <f t="shared" si="185"/>
        <v xml:space="preserve">TAXA BOLETO CORA </v>
      </c>
      <c r="H429" t="str">
        <f t="shared" si="177"/>
        <v>12/11/2025</v>
      </c>
      <c r="I429" t="str">
        <f t="shared" si="186"/>
        <v>12/11/2025</v>
      </c>
      <c r="J429" t="str">
        <f t="shared" si="180"/>
        <v>12/11/2025</v>
      </c>
      <c r="M429">
        <v>401</v>
      </c>
      <c r="N429" t="str">
        <f t="shared" si="187"/>
        <v>IOF/JUROS/DESP.FINANCEIRA</v>
      </c>
      <c r="P429">
        <v>1.7</v>
      </c>
      <c r="Q429" t="str">
        <f>"CORA SOCIEDADE DE CREDITO, FINANCIAMENTO E INVESTIMENTO (20035)"</f>
        <v>CORA SOCIEDADE DE CREDITO, FINANCIAMENTO E INVESTIMENTO (20035)</v>
      </c>
      <c r="R429" t="str">
        <f t="shared" si="188"/>
        <v>BANCO CORA (102)</v>
      </c>
      <c r="S429">
        <v>3065</v>
      </c>
      <c r="T429">
        <v>2580</v>
      </c>
      <c r="U429" t="s">
        <v>21</v>
      </c>
    </row>
    <row r="430" spans="1:21">
      <c r="A430" t="str">
        <f t="shared" si="179"/>
        <v>12/11/2025</v>
      </c>
      <c r="B430" t="str">
        <f t="shared" si="181"/>
        <v>SAÍDA</v>
      </c>
      <c r="C430" t="str">
        <f t="shared" si="182"/>
        <v>BOLETO</v>
      </c>
      <c r="D430" t="str">
        <f t="shared" si="183"/>
        <v>01112025</v>
      </c>
      <c r="E430" t="str">
        <f t="shared" si="164"/>
        <v>COM</v>
      </c>
      <c r="F430" t="str">
        <f t="shared" si="184"/>
        <v>CORA SOCIEDADE DE CREDITO, FINANCIAMENTO E INVESTIMENTO (20035)</v>
      </c>
      <c r="G430" t="str">
        <f t="shared" si="185"/>
        <v xml:space="preserve">TAXA BOLETO CORA </v>
      </c>
      <c r="H430" t="str">
        <f t="shared" si="177"/>
        <v>12/11/2025</v>
      </c>
      <c r="I430" t="str">
        <f t="shared" si="186"/>
        <v>12/11/2025</v>
      </c>
      <c r="J430" t="str">
        <f t="shared" si="180"/>
        <v>12/11/2025</v>
      </c>
      <c r="K430">
        <v>1.7</v>
      </c>
      <c r="L430">
        <v>1.7</v>
      </c>
      <c r="M430">
        <v>401</v>
      </c>
      <c r="N430" t="str">
        <f t="shared" si="187"/>
        <v>IOF/JUROS/DESP.FINANCEIRA</v>
      </c>
      <c r="O430">
        <v>1.7</v>
      </c>
      <c r="R430" t="str">
        <f t="shared" si="188"/>
        <v>BANCO CORA (102)</v>
      </c>
      <c r="S430">
        <v>3066</v>
      </c>
      <c r="T430">
        <v>2581</v>
      </c>
      <c r="U430" t="s">
        <v>21</v>
      </c>
    </row>
    <row r="431" spans="1:21">
      <c r="A431" t="str">
        <f t="shared" si="179"/>
        <v>12/11/2025</v>
      </c>
      <c r="B431" t="str">
        <f t="shared" si="181"/>
        <v>SAÍDA</v>
      </c>
      <c r="C431" t="str">
        <f t="shared" si="182"/>
        <v>BOLETO</v>
      </c>
      <c r="D431" t="str">
        <f t="shared" si="183"/>
        <v>01112025</v>
      </c>
      <c r="E431" t="str">
        <f t="shared" si="164"/>
        <v>COM</v>
      </c>
      <c r="F431" t="str">
        <f t="shared" si="184"/>
        <v>CORA SOCIEDADE DE CREDITO, FINANCIAMENTO E INVESTIMENTO (20035)</v>
      </c>
      <c r="G431" t="str">
        <f t="shared" si="185"/>
        <v xml:space="preserve">TAXA BOLETO CORA </v>
      </c>
      <c r="H431" t="str">
        <f t="shared" si="177"/>
        <v>12/11/2025</v>
      </c>
      <c r="I431" t="str">
        <f t="shared" si="186"/>
        <v>12/11/2025</v>
      </c>
      <c r="J431" t="str">
        <f t="shared" si="180"/>
        <v>12/11/2025</v>
      </c>
      <c r="M431">
        <v>401</v>
      </c>
      <c r="N431" t="str">
        <f t="shared" si="187"/>
        <v>IOF/JUROS/DESP.FINANCEIRA</v>
      </c>
      <c r="P431">
        <v>1.7</v>
      </c>
      <c r="Q431" t="str">
        <f>"CORA SOCIEDADE DE CREDITO, FINANCIAMENTO E INVESTIMENTO (20035)"</f>
        <v>CORA SOCIEDADE DE CREDITO, FINANCIAMENTO E INVESTIMENTO (20035)</v>
      </c>
      <c r="R431" t="str">
        <f t="shared" si="188"/>
        <v>BANCO CORA (102)</v>
      </c>
      <c r="S431">
        <v>3066</v>
      </c>
      <c r="T431">
        <v>2581</v>
      </c>
      <c r="U431" t="s">
        <v>21</v>
      </c>
    </row>
    <row r="432" spans="1:21">
      <c r="A432" t="str">
        <f t="shared" si="179"/>
        <v>12/11/2025</v>
      </c>
      <c r="B432" t="str">
        <f t="shared" si="181"/>
        <v>SAÍDA</v>
      </c>
      <c r="C432" t="str">
        <f t="shared" si="182"/>
        <v>BOLETO</v>
      </c>
      <c r="D432" t="str">
        <f t="shared" si="183"/>
        <v>01112025</v>
      </c>
      <c r="E432" t="str">
        <f t="shared" si="164"/>
        <v>COM</v>
      </c>
      <c r="F432" t="str">
        <f t="shared" si="184"/>
        <v>CORA SOCIEDADE DE CREDITO, FINANCIAMENTO E INVESTIMENTO (20035)</v>
      </c>
      <c r="G432" t="str">
        <f t="shared" si="185"/>
        <v xml:space="preserve">TAXA BOLETO CORA </v>
      </c>
      <c r="H432" t="str">
        <f t="shared" si="177"/>
        <v>12/11/2025</v>
      </c>
      <c r="I432" t="str">
        <f t="shared" si="186"/>
        <v>12/11/2025</v>
      </c>
      <c r="J432" t="str">
        <f t="shared" si="180"/>
        <v>12/11/2025</v>
      </c>
      <c r="K432">
        <v>1.7</v>
      </c>
      <c r="L432">
        <v>1.7</v>
      </c>
      <c r="M432">
        <v>401</v>
      </c>
      <c r="N432" t="str">
        <f t="shared" si="187"/>
        <v>IOF/JUROS/DESP.FINANCEIRA</v>
      </c>
      <c r="O432">
        <v>1.7</v>
      </c>
      <c r="R432" t="str">
        <f t="shared" si="188"/>
        <v>BANCO CORA (102)</v>
      </c>
      <c r="S432">
        <v>3067</v>
      </c>
      <c r="T432">
        <v>2582</v>
      </c>
      <c r="U432" t="s">
        <v>21</v>
      </c>
    </row>
    <row r="433" spans="1:21">
      <c r="A433" t="str">
        <f t="shared" si="179"/>
        <v>12/11/2025</v>
      </c>
      <c r="B433" t="str">
        <f t="shared" si="181"/>
        <v>SAÍDA</v>
      </c>
      <c r="C433" t="str">
        <f t="shared" si="182"/>
        <v>BOLETO</v>
      </c>
      <c r="D433" t="str">
        <f t="shared" si="183"/>
        <v>01112025</v>
      </c>
      <c r="E433" t="str">
        <f t="shared" si="164"/>
        <v>COM</v>
      </c>
      <c r="F433" t="str">
        <f t="shared" si="184"/>
        <v>CORA SOCIEDADE DE CREDITO, FINANCIAMENTO E INVESTIMENTO (20035)</v>
      </c>
      <c r="G433" t="str">
        <f t="shared" si="185"/>
        <v xml:space="preserve">TAXA BOLETO CORA </v>
      </c>
      <c r="H433" t="str">
        <f t="shared" si="177"/>
        <v>12/11/2025</v>
      </c>
      <c r="I433" t="str">
        <f t="shared" si="186"/>
        <v>12/11/2025</v>
      </c>
      <c r="J433" t="str">
        <f t="shared" si="180"/>
        <v>12/11/2025</v>
      </c>
      <c r="M433">
        <v>401</v>
      </c>
      <c r="N433" t="str">
        <f t="shared" si="187"/>
        <v>IOF/JUROS/DESP.FINANCEIRA</v>
      </c>
      <c r="P433">
        <v>1.7</v>
      </c>
      <c r="Q433" t="str">
        <f>"CORA SOCIEDADE DE CREDITO, FINANCIAMENTO E INVESTIMENTO (20035)"</f>
        <v>CORA SOCIEDADE DE CREDITO, FINANCIAMENTO E INVESTIMENTO (20035)</v>
      </c>
      <c r="R433" t="str">
        <f t="shared" si="188"/>
        <v>BANCO CORA (102)</v>
      </c>
      <c r="S433">
        <v>3067</v>
      </c>
      <c r="T433">
        <v>2582</v>
      </c>
      <c r="U433" t="s">
        <v>21</v>
      </c>
    </row>
    <row r="434" spans="1:21">
      <c r="A434" t="str">
        <f t="shared" si="179"/>
        <v>12/11/2025</v>
      </c>
      <c r="B434" t="str">
        <f t="shared" si="181"/>
        <v>SAÍDA</v>
      </c>
      <c r="C434" t="str">
        <f t="shared" si="182"/>
        <v>BOLETO</v>
      </c>
      <c r="D434" t="str">
        <f t="shared" si="183"/>
        <v>01112025</v>
      </c>
      <c r="E434" t="str">
        <f t="shared" si="164"/>
        <v>COM</v>
      </c>
      <c r="F434" t="str">
        <f t="shared" si="184"/>
        <v>CORA SOCIEDADE DE CREDITO, FINANCIAMENTO E INVESTIMENTO (20035)</v>
      </c>
      <c r="G434" t="str">
        <f t="shared" si="185"/>
        <v xml:space="preserve">TAXA BOLETO CORA </v>
      </c>
      <c r="H434" t="str">
        <f t="shared" si="177"/>
        <v>12/11/2025</v>
      </c>
      <c r="I434" t="str">
        <f t="shared" si="186"/>
        <v>12/11/2025</v>
      </c>
      <c r="J434" t="str">
        <f t="shared" si="180"/>
        <v>12/11/2025</v>
      </c>
      <c r="K434">
        <v>1.7</v>
      </c>
      <c r="L434">
        <v>1.7</v>
      </c>
      <c r="M434">
        <v>401</v>
      </c>
      <c r="N434" t="str">
        <f t="shared" si="187"/>
        <v>IOF/JUROS/DESP.FINANCEIRA</v>
      </c>
      <c r="O434">
        <v>1.7</v>
      </c>
      <c r="R434" t="str">
        <f t="shared" si="188"/>
        <v>BANCO CORA (102)</v>
      </c>
      <c r="S434">
        <v>3068</v>
      </c>
      <c r="T434">
        <v>2583</v>
      </c>
      <c r="U434" t="s">
        <v>21</v>
      </c>
    </row>
    <row r="435" spans="1:21">
      <c r="A435" t="str">
        <f t="shared" si="179"/>
        <v>12/11/2025</v>
      </c>
      <c r="B435" t="str">
        <f t="shared" si="181"/>
        <v>SAÍDA</v>
      </c>
      <c r="C435" t="str">
        <f t="shared" si="182"/>
        <v>BOLETO</v>
      </c>
      <c r="D435" t="str">
        <f t="shared" si="183"/>
        <v>01112025</v>
      </c>
      <c r="E435" t="str">
        <f t="shared" si="164"/>
        <v>COM</v>
      </c>
      <c r="F435" t="str">
        <f t="shared" si="184"/>
        <v>CORA SOCIEDADE DE CREDITO, FINANCIAMENTO E INVESTIMENTO (20035)</v>
      </c>
      <c r="G435" t="str">
        <f t="shared" si="185"/>
        <v xml:space="preserve">TAXA BOLETO CORA </v>
      </c>
      <c r="H435" t="str">
        <f t="shared" si="177"/>
        <v>12/11/2025</v>
      </c>
      <c r="I435" t="str">
        <f t="shared" si="186"/>
        <v>12/11/2025</v>
      </c>
      <c r="J435" t="str">
        <f t="shared" si="180"/>
        <v>12/11/2025</v>
      </c>
      <c r="M435">
        <v>401</v>
      </c>
      <c r="N435" t="str">
        <f t="shared" si="187"/>
        <v>IOF/JUROS/DESP.FINANCEIRA</v>
      </c>
      <c r="P435">
        <v>1.7</v>
      </c>
      <c r="Q435" t="str">
        <f>"CORA SOCIEDADE DE CREDITO, FINANCIAMENTO E INVESTIMENTO (20035)"</f>
        <v>CORA SOCIEDADE DE CREDITO, FINANCIAMENTO E INVESTIMENTO (20035)</v>
      </c>
      <c r="R435" t="str">
        <f t="shared" si="188"/>
        <v>BANCO CORA (102)</v>
      </c>
      <c r="S435">
        <v>3068</v>
      </c>
      <c r="T435">
        <v>2583</v>
      </c>
      <c r="U435" t="s">
        <v>21</v>
      </c>
    </row>
    <row r="436" spans="1:21">
      <c r="A436" t="str">
        <f t="shared" si="179"/>
        <v>12/11/2025</v>
      </c>
      <c r="B436" t="str">
        <f t="shared" si="181"/>
        <v>SAÍDA</v>
      </c>
      <c r="C436" t="str">
        <f t="shared" si="182"/>
        <v>BOLETO</v>
      </c>
      <c r="D436" t="str">
        <f t="shared" si="183"/>
        <v>01112025</v>
      </c>
      <c r="E436" t="str">
        <f t="shared" si="164"/>
        <v>COM</v>
      </c>
      <c r="F436" t="str">
        <f t="shared" si="184"/>
        <v>CORA SOCIEDADE DE CREDITO, FINANCIAMENTO E INVESTIMENTO (20035)</v>
      </c>
      <c r="G436" t="str">
        <f t="shared" si="185"/>
        <v xml:space="preserve">TAXA BOLETO CORA </v>
      </c>
      <c r="H436" t="str">
        <f t="shared" si="177"/>
        <v>12/11/2025</v>
      </c>
      <c r="I436" t="str">
        <f t="shared" si="186"/>
        <v>12/11/2025</v>
      </c>
      <c r="J436" t="str">
        <f t="shared" si="180"/>
        <v>12/11/2025</v>
      </c>
      <c r="K436">
        <v>1.7</v>
      </c>
      <c r="L436">
        <v>1.7</v>
      </c>
      <c r="M436">
        <v>401</v>
      </c>
      <c r="N436" t="str">
        <f t="shared" si="187"/>
        <v>IOF/JUROS/DESP.FINANCEIRA</v>
      </c>
      <c r="O436">
        <v>1.7</v>
      </c>
      <c r="R436" t="str">
        <f t="shared" si="188"/>
        <v>BANCO CORA (102)</v>
      </c>
      <c r="S436">
        <v>3069</v>
      </c>
      <c r="T436">
        <v>2584</v>
      </c>
      <c r="U436" t="s">
        <v>21</v>
      </c>
    </row>
    <row r="437" spans="1:21">
      <c r="A437" t="str">
        <f t="shared" si="179"/>
        <v>12/11/2025</v>
      </c>
      <c r="B437" t="str">
        <f t="shared" si="181"/>
        <v>SAÍDA</v>
      </c>
      <c r="C437" t="str">
        <f t="shared" si="182"/>
        <v>BOLETO</v>
      </c>
      <c r="D437" t="str">
        <f t="shared" si="183"/>
        <v>01112025</v>
      </c>
      <c r="E437" t="str">
        <f t="shared" si="164"/>
        <v>COM</v>
      </c>
      <c r="F437" t="str">
        <f t="shared" si="184"/>
        <v>CORA SOCIEDADE DE CREDITO, FINANCIAMENTO E INVESTIMENTO (20035)</v>
      </c>
      <c r="G437" t="str">
        <f t="shared" si="185"/>
        <v xml:space="preserve">TAXA BOLETO CORA </v>
      </c>
      <c r="H437" t="str">
        <f t="shared" si="177"/>
        <v>12/11/2025</v>
      </c>
      <c r="I437" t="str">
        <f t="shared" si="186"/>
        <v>12/11/2025</v>
      </c>
      <c r="J437" t="str">
        <f t="shared" si="180"/>
        <v>12/11/2025</v>
      </c>
      <c r="M437">
        <v>401</v>
      </c>
      <c r="N437" t="str">
        <f t="shared" si="187"/>
        <v>IOF/JUROS/DESP.FINANCEIRA</v>
      </c>
      <c r="P437">
        <v>1.7</v>
      </c>
      <c r="Q437" t="str">
        <f>"CORA SOCIEDADE DE CREDITO, FINANCIAMENTO E INVESTIMENTO (20035)"</f>
        <v>CORA SOCIEDADE DE CREDITO, FINANCIAMENTO E INVESTIMENTO (20035)</v>
      </c>
      <c r="R437" t="str">
        <f t="shared" si="188"/>
        <v>BANCO CORA (102)</v>
      </c>
      <c r="S437">
        <v>3069</v>
      </c>
      <c r="T437">
        <v>2584</v>
      </c>
      <c r="U437" t="s">
        <v>21</v>
      </c>
    </row>
    <row r="438" spans="1:21">
      <c r="A438" t="str">
        <f t="shared" si="179"/>
        <v>12/11/2025</v>
      </c>
      <c r="B438" t="str">
        <f t="shared" si="181"/>
        <v>SAÍDA</v>
      </c>
      <c r="C438" t="str">
        <f t="shared" si="182"/>
        <v>BOLETO</v>
      </c>
      <c r="D438" t="str">
        <f t="shared" si="183"/>
        <v>01112025</v>
      </c>
      <c r="E438" t="str">
        <f t="shared" si="164"/>
        <v>COM</v>
      </c>
      <c r="F438" t="str">
        <f t="shared" si="184"/>
        <v>CORA SOCIEDADE DE CREDITO, FINANCIAMENTO E INVESTIMENTO (20035)</v>
      </c>
      <c r="G438" t="str">
        <f t="shared" si="185"/>
        <v xml:space="preserve">TAXA BOLETO CORA </v>
      </c>
      <c r="H438" t="str">
        <f t="shared" si="177"/>
        <v>12/11/2025</v>
      </c>
      <c r="I438" t="str">
        <f t="shared" si="186"/>
        <v>12/11/2025</v>
      </c>
      <c r="J438" t="str">
        <f t="shared" si="180"/>
        <v>12/11/2025</v>
      </c>
      <c r="K438">
        <v>1.7</v>
      </c>
      <c r="L438">
        <v>1.7</v>
      </c>
      <c r="M438">
        <v>401</v>
      </c>
      <c r="N438" t="str">
        <f t="shared" si="187"/>
        <v>IOF/JUROS/DESP.FINANCEIRA</v>
      </c>
      <c r="O438">
        <v>1.7</v>
      </c>
      <c r="R438" t="str">
        <f t="shared" si="188"/>
        <v>BANCO CORA (102)</v>
      </c>
      <c r="S438">
        <v>3070</v>
      </c>
      <c r="T438">
        <v>2585</v>
      </c>
      <c r="U438" t="s">
        <v>21</v>
      </c>
    </row>
    <row r="439" spans="1:21">
      <c r="A439" t="str">
        <f t="shared" si="179"/>
        <v>12/11/2025</v>
      </c>
      <c r="B439" t="str">
        <f t="shared" si="181"/>
        <v>SAÍDA</v>
      </c>
      <c r="C439" t="str">
        <f t="shared" si="182"/>
        <v>BOLETO</v>
      </c>
      <c r="D439" t="str">
        <f t="shared" si="183"/>
        <v>01112025</v>
      </c>
      <c r="E439" t="str">
        <f t="shared" si="164"/>
        <v>COM</v>
      </c>
      <c r="F439" t="str">
        <f t="shared" si="184"/>
        <v>CORA SOCIEDADE DE CREDITO, FINANCIAMENTO E INVESTIMENTO (20035)</v>
      </c>
      <c r="G439" t="str">
        <f t="shared" si="185"/>
        <v xml:space="preserve">TAXA BOLETO CORA </v>
      </c>
      <c r="H439" t="str">
        <f t="shared" si="177"/>
        <v>12/11/2025</v>
      </c>
      <c r="I439" t="str">
        <f t="shared" si="186"/>
        <v>12/11/2025</v>
      </c>
      <c r="J439" t="str">
        <f t="shared" si="180"/>
        <v>12/11/2025</v>
      </c>
      <c r="M439">
        <v>401</v>
      </c>
      <c r="N439" t="str">
        <f t="shared" si="187"/>
        <v>IOF/JUROS/DESP.FINANCEIRA</v>
      </c>
      <c r="P439">
        <v>1.7</v>
      </c>
      <c r="Q439" t="str">
        <f>"CORA SOCIEDADE DE CREDITO, FINANCIAMENTO E INVESTIMENTO (20035)"</f>
        <v>CORA SOCIEDADE DE CREDITO, FINANCIAMENTO E INVESTIMENTO (20035)</v>
      </c>
      <c r="R439" t="str">
        <f t="shared" si="188"/>
        <v>BANCO CORA (102)</v>
      </c>
      <c r="S439">
        <v>3070</v>
      </c>
      <c r="T439">
        <v>2585</v>
      </c>
      <c r="U439" t="s">
        <v>21</v>
      </c>
    </row>
    <row r="440" spans="1:21">
      <c r="A440" t="str">
        <f t="shared" si="179"/>
        <v>12/11/2025</v>
      </c>
      <c r="B440" t="str">
        <f t="shared" ref="B440:B446" si="189">"ENTRADA"</f>
        <v>ENTRADA</v>
      </c>
      <c r="C440" t="str">
        <f t="shared" ref="C440:C446" si="190">"NFSE"</f>
        <v>NFSE</v>
      </c>
      <c r="D440" t="str">
        <f>"1211"</f>
        <v>1211</v>
      </c>
      <c r="E440" t="str">
        <f t="shared" si="164"/>
        <v>COM</v>
      </c>
      <c r="F440" t="str">
        <f>"ULTRA POPULAR  UBA 2 (10214)"</f>
        <v>ULTRA POPULAR  UBA 2 (10214)</v>
      </c>
      <c r="G440" t="str">
        <f>"ADIANTAMENTO Serv.Prest. 03/11/2025 a 09/11/2025 - RPS: 1553 - NFSe: 3790"</f>
        <v>ADIANTAMENTO Serv.Prest. 03/11/2025 a 09/11/2025 - RPS: 1553 - NFSe: 3790</v>
      </c>
      <c r="H440" t="str">
        <f t="shared" si="177"/>
        <v>12/11/2025</v>
      </c>
      <c r="I440" t="str">
        <f t="shared" si="186"/>
        <v>12/11/2025</v>
      </c>
      <c r="J440" t="str">
        <f t="shared" si="180"/>
        <v>12/11/2025</v>
      </c>
      <c r="K440">
        <v>967.3</v>
      </c>
      <c r="L440">
        <v>967.3</v>
      </c>
      <c r="M440">
        <v>119</v>
      </c>
      <c r="N440" t="str">
        <f>"RECEITAS COM REEMBOLSOS"</f>
        <v>RECEITAS COM REEMBOLSOS</v>
      </c>
      <c r="O440">
        <v>967.3</v>
      </c>
      <c r="R440" t="str">
        <f>"RECEITAS COM REEMBOLSOS (119)"</f>
        <v>RECEITAS COM REEMBOLSOS (119)</v>
      </c>
      <c r="S440">
        <v>3188</v>
      </c>
      <c r="T440">
        <v>2769</v>
      </c>
      <c r="U440" t="s">
        <v>21</v>
      </c>
    </row>
    <row r="441" spans="1:21">
      <c r="A441" t="str">
        <f t="shared" si="179"/>
        <v>12/11/2025</v>
      </c>
      <c r="B441" t="str">
        <f t="shared" si="189"/>
        <v>ENTRADA</v>
      </c>
      <c r="C441" t="str">
        <f t="shared" si="190"/>
        <v>NFSE</v>
      </c>
      <c r="D441" t="str">
        <f>"1211"</f>
        <v>1211</v>
      </c>
      <c r="E441" t="str">
        <f t="shared" si="164"/>
        <v>COM</v>
      </c>
      <c r="F441" t="str">
        <f>"ULTRA POPULAR  UBA 2 (10214)"</f>
        <v>ULTRA POPULAR  UBA 2 (10214)</v>
      </c>
      <c r="G441" t="str">
        <f>"ADIANTAMENTO Serv.Prest. 03/11/2025 a 09/11/2025 - RPS: 1553 - NFSe: 3790"</f>
        <v>ADIANTAMENTO Serv.Prest. 03/11/2025 a 09/11/2025 - RPS: 1553 - NFSe: 3790</v>
      </c>
      <c r="H441" t="str">
        <f t="shared" si="177"/>
        <v>12/11/2025</v>
      </c>
      <c r="I441" t="str">
        <f t="shared" si="186"/>
        <v>12/11/2025</v>
      </c>
      <c r="J441" t="str">
        <f t="shared" si="180"/>
        <v>12/11/2025</v>
      </c>
      <c r="M441">
        <v>119</v>
      </c>
      <c r="N441" t="str">
        <f>"RECEITAS COM REEMBOLSOS"</f>
        <v>RECEITAS COM REEMBOLSOS</v>
      </c>
      <c r="P441">
        <v>926.38</v>
      </c>
      <c r="Q441" t="str">
        <f>"ULTRA POPULAR  UBA 2 (10214)"</f>
        <v>ULTRA POPULAR  UBA 2 (10214)</v>
      </c>
      <c r="R441" t="str">
        <f>"RECEITAS COM REEMBOLSOS (119)"</f>
        <v>RECEITAS COM REEMBOLSOS (119)</v>
      </c>
      <c r="S441">
        <v>3188</v>
      </c>
      <c r="T441">
        <v>2769</v>
      </c>
      <c r="U441" t="s">
        <v>21</v>
      </c>
    </row>
    <row r="442" spans="1:21">
      <c r="A442" t="str">
        <f t="shared" si="179"/>
        <v>12/11/2025</v>
      </c>
      <c r="B442" t="str">
        <f t="shared" si="189"/>
        <v>ENTRADA</v>
      </c>
      <c r="C442" t="str">
        <f t="shared" si="190"/>
        <v>NFSE</v>
      </c>
      <c r="D442" t="str">
        <f>"1211"</f>
        <v>1211</v>
      </c>
      <c r="E442" t="str">
        <f t="shared" si="164"/>
        <v>COM</v>
      </c>
      <c r="F442" t="str">
        <f>"ULTRA POPULAR  UBA 2 (10214)"</f>
        <v>ULTRA POPULAR  UBA 2 (10214)</v>
      </c>
      <c r="G442" t="str">
        <f>"ADIANTAMENTO Serv.Prest. 03/11/2025 a 09/11/2025 - RPS: 1553 - NFSe: 3790"</f>
        <v>ADIANTAMENTO Serv.Prest. 03/11/2025 a 09/11/2025 - RPS: 1553 - NFSe: 3790</v>
      </c>
      <c r="H442" t="str">
        <f t="shared" si="177"/>
        <v>12/11/2025</v>
      </c>
      <c r="I442" t="str">
        <f t="shared" si="186"/>
        <v>12/11/2025</v>
      </c>
      <c r="J442" t="str">
        <f t="shared" si="180"/>
        <v>12/11/2025</v>
      </c>
      <c r="M442">
        <v>119</v>
      </c>
      <c r="N442" t="str">
        <f>"RECEITAS COM REEMBOLSOS"</f>
        <v>RECEITAS COM REEMBOLSOS</v>
      </c>
      <c r="P442">
        <v>40.92</v>
      </c>
      <c r="Q442" t="str">
        <f>"UBA 1 (10263)"</f>
        <v>UBA 1 (10263)</v>
      </c>
      <c r="R442" t="str">
        <f>"RECEITAS COM REEMBOLSOS (119)"</f>
        <v>RECEITAS COM REEMBOLSOS (119)</v>
      </c>
      <c r="S442">
        <v>3188</v>
      </c>
      <c r="T442">
        <v>2769</v>
      </c>
      <c r="U442" t="s">
        <v>21</v>
      </c>
    </row>
    <row r="443" spans="1:21">
      <c r="A443" t="str">
        <f t="shared" ref="A443:A474" si="191">("13/11/2025")</f>
        <v>13/11/2025</v>
      </c>
      <c r="B443" t="str">
        <f t="shared" si="189"/>
        <v>ENTRADA</v>
      </c>
      <c r="C443" t="str">
        <f t="shared" si="190"/>
        <v>NFSE</v>
      </c>
      <c r="D443" t="str">
        <f>"3810"</f>
        <v>3810</v>
      </c>
      <c r="E443" t="str">
        <f t="shared" si="164"/>
        <v>COM</v>
      </c>
      <c r="F443" t="str">
        <f>"DROGA HONDA (10149)"</f>
        <v>DROGA HONDA (10149)</v>
      </c>
      <c r="G443" t="str">
        <f>"Serv.Prest. 03/11/2025 a 09/11/2025 - RPS: 1573 - NFSe: 3810"</f>
        <v>Serv.Prest. 03/11/2025 a 09/11/2025 - RPS: 1573 - NFSe: 3810</v>
      </c>
      <c r="H443" t="str">
        <f>("13/11/2025")</f>
        <v>13/11/2025</v>
      </c>
      <c r="I443" t="str">
        <f>("11/11/2025")</f>
        <v>11/11/2025</v>
      </c>
      <c r="J443" t="str">
        <f t="shared" ref="J443:J474" si="192">("13/11/2025")</f>
        <v>13/11/2025</v>
      </c>
      <c r="K443">
        <v>139.96</v>
      </c>
      <c r="L443">
        <v>139.96</v>
      </c>
      <c r="M443">
        <v>303</v>
      </c>
      <c r="N443" t="str">
        <f>"RECEITAS COM ENTREGAS"</f>
        <v>RECEITAS COM ENTREGAS</v>
      </c>
      <c r="O443">
        <v>139.96</v>
      </c>
      <c r="R443" t="str">
        <f>"RECEITAS COM ENTREGAS (303)"</f>
        <v>RECEITAS COM ENTREGAS (303)</v>
      </c>
      <c r="S443">
        <v>2928</v>
      </c>
      <c r="T443">
        <v>2519</v>
      </c>
      <c r="U443" t="s">
        <v>21</v>
      </c>
    </row>
    <row r="444" spans="1:21">
      <c r="A444" t="str">
        <f t="shared" si="191"/>
        <v>13/11/2025</v>
      </c>
      <c r="B444" t="str">
        <f t="shared" si="189"/>
        <v>ENTRADA</v>
      </c>
      <c r="C444" t="str">
        <f t="shared" si="190"/>
        <v>NFSE</v>
      </c>
      <c r="D444" t="str">
        <f>"3810"</f>
        <v>3810</v>
      </c>
      <c r="E444" t="str">
        <f t="shared" si="164"/>
        <v>COM</v>
      </c>
      <c r="F444" t="str">
        <f>"DROGA HONDA (10149)"</f>
        <v>DROGA HONDA (10149)</v>
      </c>
      <c r="G444" t="str">
        <f>"Serv.Prest. 03/11/2025 a 09/11/2025 - RPS: 1573 - NFSe: 3810"</f>
        <v>Serv.Prest. 03/11/2025 a 09/11/2025 - RPS: 1573 - NFSe: 3810</v>
      </c>
      <c r="H444" t="str">
        <f>("13/11/2025")</f>
        <v>13/11/2025</v>
      </c>
      <c r="I444" t="str">
        <f>("11/11/2025")</f>
        <v>11/11/2025</v>
      </c>
      <c r="J444" t="str">
        <f t="shared" si="192"/>
        <v>13/11/2025</v>
      </c>
      <c r="M444">
        <v>303</v>
      </c>
      <c r="N444" t="str">
        <f>"RECEITAS COM ENTREGAS"</f>
        <v>RECEITAS COM ENTREGAS</v>
      </c>
      <c r="P444">
        <v>139.96</v>
      </c>
      <c r="Q444" t="str">
        <f>"DROGA HONDA (10149)"</f>
        <v>DROGA HONDA (10149)</v>
      </c>
      <c r="R444" t="str">
        <f>"RECEITAS COM ENTREGAS (303)"</f>
        <v>RECEITAS COM ENTREGAS (303)</v>
      </c>
      <c r="S444">
        <v>2928</v>
      </c>
      <c r="T444">
        <v>2519</v>
      </c>
      <c r="U444" t="s">
        <v>21</v>
      </c>
    </row>
    <row r="445" spans="1:21">
      <c r="A445" t="str">
        <f t="shared" si="191"/>
        <v>13/11/2025</v>
      </c>
      <c r="B445" t="str">
        <f t="shared" si="189"/>
        <v>ENTRADA</v>
      </c>
      <c r="C445" t="str">
        <f t="shared" si="190"/>
        <v>NFSE</v>
      </c>
      <c r="D445" t="str">
        <f>"3806"</f>
        <v>3806</v>
      </c>
      <c r="E445" t="str">
        <f t="shared" si="164"/>
        <v>COM</v>
      </c>
      <c r="F445" t="str">
        <f>"DROGARIA VAZ (10179)"</f>
        <v>DROGARIA VAZ (10179)</v>
      </c>
      <c r="G445" t="str">
        <f>"Serv.Prest. 03/11/2025 a 09/11/2025 - RPS: 1569 - NFSe: 3806"</f>
        <v>Serv.Prest. 03/11/2025 a 09/11/2025 - RPS: 1569 - NFSe: 3806</v>
      </c>
      <c r="H445" t="str">
        <f>("12/11/2025")</f>
        <v>12/11/2025</v>
      </c>
      <c r="I445" t="str">
        <f>("10/11/2025")</f>
        <v>10/11/2025</v>
      </c>
      <c r="J445" t="str">
        <f t="shared" si="192"/>
        <v>13/11/2025</v>
      </c>
      <c r="K445">
        <v>186.81</v>
      </c>
      <c r="L445">
        <v>190.6</v>
      </c>
      <c r="M445">
        <v>303</v>
      </c>
      <c r="N445" t="str">
        <f>"RECEITAS COM ENTREGAS"</f>
        <v>RECEITAS COM ENTREGAS</v>
      </c>
      <c r="O445">
        <v>190.6</v>
      </c>
      <c r="R445" t="str">
        <f>"RECEITAS COM ENTREGAS (303)"</f>
        <v>RECEITAS COM ENTREGAS (303)</v>
      </c>
      <c r="S445">
        <v>2950</v>
      </c>
      <c r="T445">
        <v>2515</v>
      </c>
      <c r="U445" t="s">
        <v>21</v>
      </c>
    </row>
    <row r="446" spans="1:21">
      <c r="A446" t="str">
        <f t="shared" si="191"/>
        <v>13/11/2025</v>
      </c>
      <c r="B446" t="str">
        <f t="shared" si="189"/>
        <v>ENTRADA</v>
      </c>
      <c r="C446" t="str">
        <f t="shared" si="190"/>
        <v>NFSE</v>
      </c>
      <c r="D446" t="str">
        <f>"3806"</f>
        <v>3806</v>
      </c>
      <c r="E446" t="str">
        <f t="shared" ref="E446:E509" si="193">"COM"</f>
        <v>COM</v>
      </c>
      <c r="F446" t="str">
        <f>"DROGARIA VAZ (10179)"</f>
        <v>DROGARIA VAZ (10179)</v>
      </c>
      <c r="G446" t="str">
        <f>"Serv.Prest. 03/11/2025 a 09/11/2025 - RPS: 1569 - NFSe: 3806"</f>
        <v>Serv.Prest. 03/11/2025 a 09/11/2025 - RPS: 1569 - NFSe: 3806</v>
      </c>
      <c r="H446" t="str">
        <f>("12/11/2025")</f>
        <v>12/11/2025</v>
      </c>
      <c r="I446" t="str">
        <f>("10/11/2025")</f>
        <v>10/11/2025</v>
      </c>
      <c r="J446" t="str">
        <f t="shared" si="192"/>
        <v>13/11/2025</v>
      </c>
      <c r="M446">
        <v>303</v>
      </c>
      <c r="N446" t="str">
        <f>"RECEITAS COM ENTREGAS"</f>
        <v>RECEITAS COM ENTREGAS</v>
      </c>
      <c r="P446">
        <v>190.6</v>
      </c>
      <c r="Q446" t="str">
        <f>"DROGARIA VAZ (10179)"</f>
        <v>DROGARIA VAZ (10179)</v>
      </c>
      <c r="R446" t="str">
        <f>"RECEITAS COM ENTREGAS (303)"</f>
        <v>RECEITAS COM ENTREGAS (303)</v>
      </c>
      <c r="S446">
        <v>2950</v>
      </c>
      <c r="T446">
        <v>2515</v>
      </c>
      <c r="U446" t="s">
        <v>21</v>
      </c>
    </row>
    <row r="447" spans="1:21">
      <c r="A447" t="str">
        <f t="shared" si="191"/>
        <v>13/11/2025</v>
      </c>
      <c r="B447" t="str">
        <f>"SAÍDA"</f>
        <v>SAÍDA</v>
      </c>
      <c r="C447" t="str">
        <f>"PIX"</f>
        <v>PIX</v>
      </c>
      <c r="D447" t="str">
        <f>"751540"</f>
        <v>751540</v>
      </c>
      <c r="E447" t="str">
        <f t="shared" si="193"/>
        <v>COM</v>
      </c>
      <c r="F447" t="str">
        <f>"MONGERAL AEGON SEGUROS E PREVIDENCIA SA (20063)"</f>
        <v>MONGERAL AEGON SEGUROS E PREVIDENCIA SA (20063)</v>
      </c>
      <c r="G447" t="str">
        <f>"SEGURO DE VIDA SOCIOS"</f>
        <v>SEGURO DE VIDA SOCIOS</v>
      </c>
      <c r="H447" t="str">
        <f>("12/11/2025")</f>
        <v>12/11/2025</v>
      </c>
      <c r="I447" t="str">
        <f>("05/02/2025")</f>
        <v>05/02/2025</v>
      </c>
      <c r="J447" t="str">
        <f t="shared" si="192"/>
        <v>13/11/2025</v>
      </c>
      <c r="K447">
        <v>228.35</v>
      </c>
      <c r="L447">
        <v>228.35</v>
      </c>
      <c r="M447">
        <v>192</v>
      </c>
      <c r="N447" t="str">
        <f>"PLANOS E SEGUROS"</f>
        <v>PLANOS E SEGUROS</v>
      </c>
      <c r="O447">
        <v>228.35</v>
      </c>
      <c r="R447" t="str">
        <f>"BANCO CORA (102)"</f>
        <v>BANCO CORA (102)</v>
      </c>
      <c r="S447">
        <v>2951</v>
      </c>
      <c r="T447">
        <v>834</v>
      </c>
      <c r="U447" t="s">
        <v>21</v>
      </c>
    </row>
    <row r="448" spans="1:21">
      <c r="A448" t="str">
        <f t="shared" si="191"/>
        <v>13/11/2025</v>
      </c>
      <c r="B448" t="str">
        <f>"SAÍDA"</f>
        <v>SAÍDA</v>
      </c>
      <c r="C448" t="str">
        <f>"PIX"</f>
        <v>PIX</v>
      </c>
      <c r="D448" t="str">
        <f>"751540"</f>
        <v>751540</v>
      </c>
      <c r="E448" t="str">
        <f t="shared" si="193"/>
        <v>COM</v>
      </c>
      <c r="F448" t="str">
        <f>"MONGERAL AEGON SEGUROS E PREVIDENCIA SA (20063)"</f>
        <v>MONGERAL AEGON SEGUROS E PREVIDENCIA SA (20063)</v>
      </c>
      <c r="G448" t="str">
        <f>"SEGURO DE VIDA SOCIOS"</f>
        <v>SEGURO DE VIDA SOCIOS</v>
      </c>
      <c r="H448" t="str">
        <f>("12/11/2025")</f>
        <v>12/11/2025</v>
      </c>
      <c r="I448" t="str">
        <f>("05/02/2025")</f>
        <v>05/02/2025</v>
      </c>
      <c r="J448" t="str">
        <f t="shared" si="192"/>
        <v>13/11/2025</v>
      </c>
      <c r="M448">
        <v>192</v>
      </c>
      <c r="N448" t="str">
        <f>"PLANOS E SEGUROS"</f>
        <v>PLANOS E SEGUROS</v>
      </c>
      <c r="P448">
        <v>228.35</v>
      </c>
      <c r="Q448" t="str">
        <f>"MONGERAL AEGON SEGUROS E PREVIDENCIA SA (20063)"</f>
        <v>MONGERAL AEGON SEGUROS E PREVIDENCIA SA (20063)</v>
      </c>
      <c r="R448" t="str">
        <f>"BANCO CORA (102)"</f>
        <v>BANCO CORA (102)</v>
      </c>
      <c r="S448">
        <v>2951</v>
      </c>
      <c r="T448">
        <v>834</v>
      </c>
      <c r="U448" t="s">
        <v>21</v>
      </c>
    </row>
    <row r="449" spans="1:21">
      <c r="A449" t="str">
        <f t="shared" si="191"/>
        <v>13/11/2025</v>
      </c>
      <c r="B449" t="str">
        <f>"SAÍDA"</f>
        <v>SAÍDA</v>
      </c>
      <c r="C449" t="str">
        <f>"PIX"</f>
        <v>PIX</v>
      </c>
      <c r="D449" t="str">
        <f>"1509251000"</f>
        <v>1509251000</v>
      </c>
      <c r="E449" t="str">
        <f t="shared" si="193"/>
        <v>COM</v>
      </c>
      <c r="F449" t="str">
        <f>"CONTA SIMPLES SOLUCOES DE PAGAMENTOS LTDA (20019)"</f>
        <v>CONTA SIMPLES SOLUCOES DE PAGAMENTOS LTDA (20019)</v>
      </c>
      <c r="G449" t="str">
        <f>"MARKETING REDES SOCIAIS - PIX- CHAVE ALEATORIA: 1d5b84cc-db31-469d-b8ee-076ced54c3e9"</f>
        <v>MARKETING REDES SOCIAIS - PIX- CHAVE ALEATORIA: 1d5b84cc-db31-469d-b8ee-076ced54c3e9</v>
      </c>
      <c r="H449" t="str">
        <f>("13/11/2025")</f>
        <v>13/11/2025</v>
      </c>
      <c r="I449" t="str">
        <f>("22/09/2025")</f>
        <v>22/09/2025</v>
      </c>
      <c r="J449" t="str">
        <f t="shared" si="192"/>
        <v>13/11/2025</v>
      </c>
      <c r="K449">
        <v>1500</v>
      </c>
      <c r="L449">
        <v>1500</v>
      </c>
      <c r="M449">
        <v>127</v>
      </c>
      <c r="N449" t="str">
        <f>"PUBLICIDADE E PROPAGANDAS"</f>
        <v>PUBLICIDADE E PROPAGANDAS</v>
      </c>
      <c r="O449">
        <v>1500</v>
      </c>
      <c r="R449" t="str">
        <f>"BANCO CORA (102)"</f>
        <v>BANCO CORA (102)</v>
      </c>
      <c r="S449">
        <v>2952</v>
      </c>
      <c r="T449">
        <v>2526</v>
      </c>
      <c r="U449" t="s">
        <v>21</v>
      </c>
    </row>
    <row r="450" spans="1:21">
      <c r="A450" t="str">
        <f t="shared" si="191"/>
        <v>13/11/2025</v>
      </c>
      <c r="B450" t="str">
        <f>"SAÍDA"</f>
        <v>SAÍDA</v>
      </c>
      <c r="C450" t="str">
        <f>"PIX"</f>
        <v>PIX</v>
      </c>
      <c r="D450" t="str">
        <f>"1509251000"</f>
        <v>1509251000</v>
      </c>
      <c r="E450" t="str">
        <f t="shared" si="193"/>
        <v>COM</v>
      </c>
      <c r="F450" t="str">
        <f>"CONTA SIMPLES SOLUCOES DE PAGAMENTOS LTDA (20019)"</f>
        <v>CONTA SIMPLES SOLUCOES DE PAGAMENTOS LTDA (20019)</v>
      </c>
      <c r="G450" t="str">
        <f>"MARKETING REDES SOCIAIS - PIX- CHAVE ALEATORIA: 1d5b84cc-db31-469d-b8ee-076ced54c3e9"</f>
        <v>MARKETING REDES SOCIAIS - PIX- CHAVE ALEATORIA: 1d5b84cc-db31-469d-b8ee-076ced54c3e9</v>
      </c>
      <c r="H450" t="str">
        <f>("13/11/2025")</f>
        <v>13/11/2025</v>
      </c>
      <c r="I450" t="str">
        <f>("22/09/2025")</f>
        <v>22/09/2025</v>
      </c>
      <c r="J450" t="str">
        <f t="shared" si="192"/>
        <v>13/11/2025</v>
      </c>
      <c r="M450">
        <v>127</v>
      </c>
      <c r="N450" t="str">
        <f>"PUBLICIDADE E PROPAGANDAS"</f>
        <v>PUBLICIDADE E PROPAGANDAS</v>
      </c>
      <c r="P450">
        <v>1500</v>
      </c>
      <c r="Q450" t="str">
        <f>"CONTA SIMPLES SOLUCOES DE PAGAMENTOS LTDA (20019)"</f>
        <v>CONTA SIMPLES SOLUCOES DE PAGAMENTOS LTDA (20019)</v>
      </c>
      <c r="R450" t="str">
        <f>"BANCO CORA (102)"</f>
        <v>BANCO CORA (102)</v>
      </c>
      <c r="S450">
        <v>2952</v>
      </c>
      <c r="T450">
        <v>2526</v>
      </c>
      <c r="U450" t="s">
        <v>21</v>
      </c>
    </row>
    <row r="451" spans="1:21">
      <c r="A451" t="str">
        <f t="shared" si="191"/>
        <v>13/11/2025</v>
      </c>
      <c r="B451" t="str">
        <f t="shared" ref="B451:B482" si="194">"ENTRADA"</f>
        <v>ENTRADA</v>
      </c>
      <c r="C451" t="str">
        <f t="shared" ref="C451:C482" si="195">"NFSE"</f>
        <v>NFSE</v>
      </c>
      <c r="D451" t="str">
        <f>"3797"</f>
        <v>3797</v>
      </c>
      <c r="E451" t="str">
        <f t="shared" si="193"/>
        <v>COM</v>
      </c>
      <c r="F451" t="str">
        <f>"JAL FARMACIA E DROGARIA LJ 1 (10137)"</f>
        <v>JAL FARMACIA E DROGARIA LJ 1 (10137)</v>
      </c>
      <c r="G451" t="str">
        <f>"Serv.Prest. 03/11/2025 a 09/11/2025 - RPS: 1560 - NFSe: 3797"</f>
        <v>Serv.Prest. 03/11/2025 a 09/11/2025 - RPS: 1560 - NFSe: 3797</v>
      </c>
      <c r="H451" t="str">
        <f t="shared" ref="H451:H482" si="196">("12/11/2025")</f>
        <v>12/11/2025</v>
      </c>
      <c r="I451" t="str">
        <f t="shared" ref="I451:I462" si="197">("10/11/2025")</f>
        <v>10/11/2025</v>
      </c>
      <c r="J451" t="str">
        <f t="shared" si="192"/>
        <v>13/11/2025</v>
      </c>
      <c r="K451">
        <v>402</v>
      </c>
      <c r="L451">
        <v>402</v>
      </c>
      <c r="M451">
        <v>303</v>
      </c>
      <c r="N451" t="str">
        <f t="shared" ref="N451:N482" si="198">"RECEITAS COM ENTREGAS"</f>
        <v>RECEITAS COM ENTREGAS</v>
      </c>
      <c r="O451">
        <v>402</v>
      </c>
      <c r="R451" t="str">
        <f t="shared" ref="R451:R482" si="199">"RECEITAS COM ENTREGAS (303)"</f>
        <v>RECEITAS COM ENTREGAS (303)</v>
      </c>
      <c r="S451">
        <v>2953</v>
      </c>
      <c r="T451">
        <v>2506</v>
      </c>
      <c r="U451" t="s">
        <v>21</v>
      </c>
    </row>
    <row r="452" spans="1:21">
      <c r="A452" t="str">
        <f t="shared" si="191"/>
        <v>13/11/2025</v>
      </c>
      <c r="B452" t="str">
        <f t="shared" si="194"/>
        <v>ENTRADA</v>
      </c>
      <c r="C452" t="str">
        <f t="shared" si="195"/>
        <v>NFSE</v>
      </c>
      <c r="D452" t="str">
        <f>"3797"</f>
        <v>3797</v>
      </c>
      <c r="E452" t="str">
        <f t="shared" si="193"/>
        <v>COM</v>
      </c>
      <c r="F452" t="str">
        <f>"JAL FARMACIA E DROGARIA LJ 1 (10137)"</f>
        <v>JAL FARMACIA E DROGARIA LJ 1 (10137)</v>
      </c>
      <c r="G452" t="str">
        <f>"Serv.Prest. 03/11/2025 a 09/11/2025 - RPS: 1560 - NFSe: 3797"</f>
        <v>Serv.Prest. 03/11/2025 a 09/11/2025 - RPS: 1560 - NFSe: 3797</v>
      </c>
      <c r="H452" t="str">
        <f t="shared" si="196"/>
        <v>12/11/2025</v>
      </c>
      <c r="I452" t="str">
        <f t="shared" si="197"/>
        <v>10/11/2025</v>
      </c>
      <c r="J452" t="str">
        <f t="shared" si="192"/>
        <v>13/11/2025</v>
      </c>
      <c r="M452">
        <v>303</v>
      </c>
      <c r="N452" t="str">
        <f t="shared" si="198"/>
        <v>RECEITAS COM ENTREGAS</v>
      </c>
      <c r="P452">
        <v>402</v>
      </c>
      <c r="Q452" t="str">
        <f>"JAL FARMACIA E DROGARIA LJ 1 (10137)"</f>
        <v>JAL FARMACIA E DROGARIA LJ 1 (10137)</v>
      </c>
      <c r="R452" t="str">
        <f t="shared" si="199"/>
        <v>RECEITAS COM ENTREGAS (303)</v>
      </c>
      <c r="S452">
        <v>2953</v>
      </c>
      <c r="T452">
        <v>2506</v>
      </c>
      <c r="U452" t="s">
        <v>21</v>
      </c>
    </row>
    <row r="453" spans="1:21">
      <c r="A453" t="str">
        <f t="shared" si="191"/>
        <v>13/11/2025</v>
      </c>
      <c r="B453" t="str">
        <f t="shared" si="194"/>
        <v>ENTRADA</v>
      </c>
      <c r="C453" t="str">
        <f t="shared" si="195"/>
        <v>NFSE</v>
      </c>
      <c r="D453" t="str">
        <f>"3784"</f>
        <v>3784</v>
      </c>
      <c r="E453" t="str">
        <f t="shared" si="193"/>
        <v>COM</v>
      </c>
      <c r="F453" t="str">
        <f>"BRASIL FARMA (10173)"</f>
        <v>BRASIL FARMA (10173)</v>
      </c>
      <c r="G453" t="str">
        <f>"Serv.Prest. 03/11/2025 a 09/11/2025 - RPS: 1547 - NFSe: 3784"</f>
        <v>Serv.Prest. 03/11/2025 a 09/11/2025 - RPS: 1547 - NFSe: 3784</v>
      </c>
      <c r="H453" t="str">
        <f t="shared" si="196"/>
        <v>12/11/2025</v>
      </c>
      <c r="I453" t="str">
        <f t="shared" si="197"/>
        <v>10/11/2025</v>
      </c>
      <c r="J453" t="str">
        <f t="shared" si="192"/>
        <v>13/11/2025</v>
      </c>
      <c r="K453">
        <v>300.89999999999998</v>
      </c>
      <c r="L453">
        <v>300.89999999999998</v>
      </c>
      <c r="M453">
        <v>303</v>
      </c>
      <c r="N453" t="str">
        <f t="shared" si="198"/>
        <v>RECEITAS COM ENTREGAS</v>
      </c>
      <c r="O453">
        <v>300.89999999999998</v>
      </c>
      <c r="R453" t="str">
        <f t="shared" si="199"/>
        <v>RECEITAS COM ENTREGAS (303)</v>
      </c>
      <c r="S453">
        <v>2954</v>
      </c>
      <c r="T453">
        <v>2493</v>
      </c>
      <c r="U453" t="s">
        <v>21</v>
      </c>
    </row>
    <row r="454" spans="1:21">
      <c r="A454" t="str">
        <f t="shared" si="191"/>
        <v>13/11/2025</v>
      </c>
      <c r="B454" t="str">
        <f t="shared" si="194"/>
        <v>ENTRADA</v>
      </c>
      <c r="C454" t="str">
        <f t="shared" si="195"/>
        <v>NFSE</v>
      </c>
      <c r="D454" t="str">
        <f>"3784"</f>
        <v>3784</v>
      </c>
      <c r="E454" t="str">
        <f t="shared" si="193"/>
        <v>COM</v>
      </c>
      <c r="F454" t="str">
        <f>"BRASIL FARMA (10173)"</f>
        <v>BRASIL FARMA (10173)</v>
      </c>
      <c r="G454" t="str">
        <f>"Serv.Prest. 03/11/2025 a 09/11/2025 - RPS: 1547 - NFSe: 3784"</f>
        <v>Serv.Prest. 03/11/2025 a 09/11/2025 - RPS: 1547 - NFSe: 3784</v>
      </c>
      <c r="H454" t="str">
        <f t="shared" si="196"/>
        <v>12/11/2025</v>
      </c>
      <c r="I454" t="str">
        <f t="shared" si="197"/>
        <v>10/11/2025</v>
      </c>
      <c r="J454" t="str">
        <f t="shared" si="192"/>
        <v>13/11/2025</v>
      </c>
      <c r="M454">
        <v>303</v>
      </c>
      <c r="N454" t="str">
        <f t="shared" si="198"/>
        <v>RECEITAS COM ENTREGAS</v>
      </c>
      <c r="P454">
        <v>300.89999999999998</v>
      </c>
      <c r="Q454" t="str">
        <f>"BRASIL FARMA (10173)"</f>
        <v>BRASIL FARMA (10173)</v>
      </c>
      <c r="R454" t="str">
        <f t="shared" si="199"/>
        <v>RECEITAS COM ENTREGAS (303)</v>
      </c>
      <c r="S454">
        <v>2954</v>
      </c>
      <c r="T454">
        <v>2493</v>
      </c>
      <c r="U454" t="s">
        <v>21</v>
      </c>
    </row>
    <row r="455" spans="1:21">
      <c r="A455" t="str">
        <f t="shared" si="191"/>
        <v>13/11/2025</v>
      </c>
      <c r="B455" t="str">
        <f t="shared" si="194"/>
        <v>ENTRADA</v>
      </c>
      <c r="C455" t="str">
        <f t="shared" si="195"/>
        <v>NFSE</v>
      </c>
      <c r="D455" t="str">
        <f>"3798"</f>
        <v>3798</v>
      </c>
      <c r="E455" t="str">
        <f t="shared" si="193"/>
        <v>COM</v>
      </c>
      <c r="F455" t="str">
        <f>"LBL FARMACIA LTDA (10189)"</f>
        <v>LBL FARMACIA LTDA (10189)</v>
      </c>
      <c r="G455" t="str">
        <f>"Serv.Prest. 03/11/2025 a 09/11/2025 - RPS: 1561 - NFSe: 3798"</f>
        <v>Serv.Prest. 03/11/2025 a 09/11/2025 - RPS: 1561 - NFSe: 3798</v>
      </c>
      <c r="H455" t="str">
        <f t="shared" si="196"/>
        <v>12/11/2025</v>
      </c>
      <c r="I455" t="str">
        <f t="shared" si="197"/>
        <v>10/11/2025</v>
      </c>
      <c r="J455" t="str">
        <f t="shared" si="192"/>
        <v>13/11/2025</v>
      </c>
      <c r="K455">
        <v>130.19999999999999</v>
      </c>
      <c r="L455">
        <v>130.19999999999999</v>
      </c>
      <c r="M455">
        <v>303</v>
      </c>
      <c r="N455" t="str">
        <f t="shared" si="198"/>
        <v>RECEITAS COM ENTREGAS</v>
      </c>
      <c r="O455">
        <v>130.19999999999999</v>
      </c>
      <c r="R455" t="str">
        <f t="shared" si="199"/>
        <v>RECEITAS COM ENTREGAS (303)</v>
      </c>
      <c r="S455">
        <v>2955</v>
      </c>
      <c r="T455">
        <v>2507</v>
      </c>
      <c r="U455" t="s">
        <v>21</v>
      </c>
    </row>
    <row r="456" spans="1:21">
      <c r="A456" t="str">
        <f t="shared" si="191"/>
        <v>13/11/2025</v>
      </c>
      <c r="B456" t="str">
        <f t="shared" si="194"/>
        <v>ENTRADA</v>
      </c>
      <c r="C456" t="str">
        <f t="shared" si="195"/>
        <v>NFSE</v>
      </c>
      <c r="D456" t="str">
        <f>"3798"</f>
        <v>3798</v>
      </c>
      <c r="E456" t="str">
        <f t="shared" si="193"/>
        <v>COM</v>
      </c>
      <c r="F456" t="str">
        <f>"LBL FARMACIA LTDA (10189)"</f>
        <v>LBL FARMACIA LTDA (10189)</v>
      </c>
      <c r="G456" t="str">
        <f>"Serv.Prest. 03/11/2025 a 09/11/2025 - RPS: 1561 - NFSe: 3798"</f>
        <v>Serv.Prest. 03/11/2025 a 09/11/2025 - RPS: 1561 - NFSe: 3798</v>
      </c>
      <c r="H456" t="str">
        <f t="shared" si="196"/>
        <v>12/11/2025</v>
      </c>
      <c r="I456" t="str">
        <f t="shared" si="197"/>
        <v>10/11/2025</v>
      </c>
      <c r="J456" t="str">
        <f t="shared" si="192"/>
        <v>13/11/2025</v>
      </c>
      <c r="M456">
        <v>303</v>
      </c>
      <c r="N456" t="str">
        <f t="shared" si="198"/>
        <v>RECEITAS COM ENTREGAS</v>
      </c>
      <c r="P456">
        <v>130.19999999999999</v>
      </c>
      <c r="Q456" t="str">
        <f>"LBL FARMACIA LTDA (10189)"</f>
        <v>LBL FARMACIA LTDA (10189)</v>
      </c>
      <c r="R456" t="str">
        <f t="shared" si="199"/>
        <v>RECEITAS COM ENTREGAS (303)</v>
      </c>
      <c r="S456">
        <v>2955</v>
      </c>
      <c r="T456">
        <v>2507</v>
      </c>
      <c r="U456" t="s">
        <v>21</v>
      </c>
    </row>
    <row r="457" spans="1:21">
      <c r="A457" t="str">
        <f t="shared" si="191"/>
        <v>13/11/2025</v>
      </c>
      <c r="B457" t="str">
        <f t="shared" si="194"/>
        <v>ENTRADA</v>
      </c>
      <c r="C457" t="str">
        <f t="shared" si="195"/>
        <v>NFSE</v>
      </c>
      <c r="D457" t="str">
        <f>"3795"</f>
        <v>3795</v>
      </c>
      <c r="E457" t="str">
        <f t="shared" si="193"/>
        <v>COM</v>
      </c>
      <c r="F457" t="str">
        <f>"FARMACIA ECONOMIZE (10103)"</f>
        <v>FARMACIA ECONOMIZE (10103)</v>
      </c>
      <c r="G457" t="str">
        <f>"Serv.Prest. 03/11/2025 a 09/11/2025 - RPS: 1558 - NFSe: 3795"</f>
        <v>Serv.Prest. 03/11/2025 a 09/11/2025 - RPS: 1558 - NFSe: 3795</v>
      </c>
      <c r="H457" t="str">
        <f t="shared" si="196"/>
        <v>12/11/2025</v>
      </c>
      <c r="I457" t="str">
        <f t="shared" si="197"/>
        <v>10/11/2025</v>
      </c>
      <c r="J457" t="str">
        <f t="shared" si="192"/>
        <v>13/11/2025</v>
      </c>
      <c r="K457">
        <v>23.12</v>
      </c>
      <c r="L457">
        <v>23.12</v>
      </c>
      <c r="M457">
        <v>303</v>
      </c>
      <c r="N457" t="str">
        <f t="shared" si="198"/>
        <v>RECEITAS COM ENTREGAS</v>
      </c>
      <c r="O457">
        <v>23.12</v>
      </c>
      <c r="R457" t="str">
        <f t="shared" si="199"/>
        <v>RECEITAS COM ENTREGAS (303)</v>
      </c>
      <c r="S457">
        <v>2956</v>
      </c>
      <c r="T457">
        <v>2504</v>
      </c>
      <c r="U457" t="s">
        <v>21</v>
      </c>
    </row>
    <row r="458" spans="1:21">
      <c r="A458" t="str">
        <f t="shared" si="191"/>
        <v>13/11/2025</v>
      </c>
      <c r="B458" t="str">
        <f t="shared" si="194"/>
        <v>ENTRADA</v>
      </c>
      <c r="C458" t="str">
        <f t="shared" si="195"/>
        <v>NFSE</v>
      </c>
      <c r="D458" t="str">
        <f>"3795"</f>
        <v>3795</v>
      </c>
      <c r="E458" t="str">
        <f t="shared" si="193"/>
        <v>COM</v>
      </c>
      <c r="F458" t="str">
        <f>"FARMACIA ECONOMIZE (10103)"</f>
        <v>FARMACIA ECONOMIZE (10103)</v>
      </c>
      <c r="G458" t="str">
        <f>"Serv.Prest. 03/11/2025 a 09/11/2025 - RPS: 1558 - NFSe: 3795"</f>
        <v>Serv.Prest. 03/11/2025 a 09/11/2025 - RPS: 1558 - NFSe: 3795</v>
      </c>
      <c r="H458" t="str">
        <f t="shared" si="196"/>
        <v>12/11/2025</v>
      </c>
      <c r="I458" t="str">
        <f t="shared" si="197"/>
        <v>10/11/2025</v>
      </c>
      <c r="J458" t="str">
        <f t="shared" si="192"/>
        <v>13/11/2025</v>
      </c>
      <c r="M458">
        <v>303</v>
      </c>
      <c r="N458" t="str">
        <f t="shared" si="198"/>
        <v>RECEITAS COM ENTREGAS</v>
      </c>
      <c r="P458">
        <v>23.12</v>
      </c>
      <c r="Q458" t="str">
        <f>"FARMACIA ECONOMIZE (10103)"</f>
        <v>FARMACIA ECONOMIZE (10103)</v>
      </c>
      <c r="R458" t="str">
        <f t="shared" si="199"/>
        <v>RECEITAS COM ENTREGAS (303)</v>
      </c>
      <c r="S458">
        <v>2956</v>
      </c>
      <c r="T458">
        <v>2504</v>
      </c>
      <c r="U458" t="s">
        <v>21</v>
      </c>
    </row>
    <row r="459" spans="1:21">
      <c r="A459" t="str">
        <f t="shared" si="191"/>
        <v>13/11/2025</v>
      </c>
      <c r="B459" t="str">
        <f t="shared" si="194"/>
        <v>ENTRADA</v>
      </c>
      <c r="C459" t="str">
        <f t="shared" si="195"/>
        <v>NFSE</v>
      </c>
      <c r="D459" t="str">
        <f>"3799"</f>
        <v>3799</v>
      </c>
      <c r="E459" t="str">
        <f t="shared" si="193"/>
        <v>COM</v>
      </c>
      <c r="F459" t="str">
        <f>"LBL FARMACIA LTDA FILIAL (10192)"</f>
        <v>LBL FARMACIA LTDA FILIAL (10192)</v>
      </c>
      <c r="G459" t="str">
        <f>"Serv.Prest. 03/11/2025 a 09/11/2025 - RPS: 1562 - NFSe: 3799"</f>
        <v>Serv.Prest. 03/11/2025 a 09/11/2025 - RPS: 1562 - NFSe: 3799</v>
      </c>
      <c r="H459" t="str">
        <f t="shared" si="196"/>
        <v>12/11/2025</v>
      </c>
      <c r="I459" t="str">
        <f t="shared" si="197"/>
        <v>10/11/2025</v>
      </c>
      <c r="J459" t="str">
        <f t="shared" si="192"/>
        <v>13/11/2025</v>
      </c>
      <c r="K459">
        <v>315</v>
      </c>
      <c r="L459">
        <v>315</v>
      </c>
      <c r="M459">
        <v>303</v>
      </c>
      <c r="N459" t="str">
        <f t="shared" si="198"/>
        <v>RECEITAS COM ENTREGAS</v>
      </c>
      <c r="O459">
        <v>315</v>
      </c>
      <c r="R459" t="str">
        <f t="shared" si="199"/>
        <v>RECEITAS COM ENTREGAS (303)</v>
      </c>
      <c r="S459">
        <v>2957</v>
      </c>
      <c r="T459">
        <v>2508</v>
      </c>
      <c r="U459" t="s">
        <v>21</v>
      </c>
    </row>
    <row r="460" spans="1:21">
      <c r="A460" t="str">
        <f t="shared" si="191"/>
        <v>13/11/2025</v>
      </c>
      <c r="B460" t="str">
        <f t="shared" si="194"/>
        <v>ENTRADA</v>
      </c>
      <c r="C460" t="str">
        <f t="shared" si="195"/>
        <v>NFSE</v>
      </c>
      <c r="D460" t="str">
        <f>"3799"</f>
        <v>3799</v>
      </c>
      <c r="E460" t="str">
        <f t="shared" si="193"/>
        <v>COM</v>
      </c>
      <c r="F460" t="str">
        <f>"LBL FARMACIA LTDA FILIAL (10192)"</f>
        <v>LBL FARMACIA LTDA FILIAL (10192)</v>
      </c>
      <c r="G460" t="str">
        <f>"Serv.Prest. 03/11/2025 a 09/11/2025 - RPS: 1562 - NFSe: 3799"</f>
        <v>Serv.Prest. 03/11/2025 a 09/11/2025 - RPS: 1562 - NFSe: 3799</v>
      </c>
      <c r="H460" t="str">
        <f t="shared" si="196"/>
        <v>12/11/2025</v>
      </c>
      <c r="I460" t="str">
        <f t="shared" si="197"/>
        <v>10/11/2025</v>
      </c>
      <c r="J460" t="str">
        <f t="shared" si="192"/>
        <v>13/11/2025</v>
      </c>
      <c r="M460">
        <v>303</v>
      </c>
      <c r="N460" t="str">
        <f t="shared" si="198"/>
        <v>RECEITAS COM ENTREGAS</v>
      </c>
      <c r="P460">
        <v>315</v>
      </c>
      <c r="Q460" t="str">
        <f>"LBL FARMACIA LTDA FILIAL (10192)"</f>
        <v>LBL FARMACIA LTDA FILIAL (10192)</v>
      </c>
      <c r="R460" t="str">
        <f t="shared" si="199"/>
        <v>RECEITAS COM ENTREGAS (303)</v>
      </c>
      <c r="S460">
        <v>2957</v>
      </c>
      <c r="T460">
        <v>2508</v>
      </c>
      <c r="U460" t="s">
        <v>21</v>
      </c>
    </row>
    <row r="461" spans="1:21">
      <c r="A461" t="str">
        <f t="shared" si="191"/>
        <v>13/11/2025</v>
      </c>
      <c r="B461" t="str">
        <f t="shared" si="194"/>
        <v>ENTRADA</v>
      </c>
      <c r="C461" t="str">
        <f t="shared" si="195"/>
        <v>NFSE</v>
      </c>
      <c r="D461" t="str">
        <f>"3805"</f>
        <v>3805</v>
      </c>
      <c r="E461" t="str">
        <f t="shared" si="193"/>
        <v>COM</v>
      </c>
      <c r="F461" t="str">
        <f>"DROGA ELIDA (10121)"</f>
        <v>DROGA ELIDA (10121)</v>
      </c>
      <c r="G461" t="str">
        <f>"Serv.Prest. 03/11/2025 a 09/11/2025 - RPS: 1568 - NFSe: 3805"</f>
        <v>Serv.Prest. 03/11/2025 a 09/11/2025 - RPS: 1568 - NFSe: 3805</v>
      </c>
      <c r="H461" t="str">
        <f t="shared" si="196"/>
        <v>12/11/2025</v>
      </c>
      <c r="I461" t="str">
        <f t="shared" si="197"/>
        <v>10/11/2025</v>
      </c>
      <c r="J461" t="str">
        <f t="shared" si="192"/>
        <v>13/11/2025</v>
      </c>
      <c r="K461">
        <v>328.5</v>
      </c>
      <c r="L461">
        <v>328.5</v>
      </c>
      <c r="M461">
        <v>303</v>
      </c>
      <c r="N461" t="str">
        <f t="shared" si="198"/>
        <v>RECEITAS COM ENTREGAS</v>
      </c>
      <c r="O461">
        <v>328.5</v>
      </c>
      <c r="R461" t="str">
        <f t="shared" si="199"/>
        <v>RECEITAS COM ENTREGAS (303)</v>
      </c>
      <c r="S461">
        <v>2958</v>
      </c>
      <c r="T461">
        <v>2514</v>
      </c>
      <c r="U461" t="s">
        <v>21</v>
      </c>
    </row>
    <row r="462" spans="1:21">
      <c r="A462" t="str">
        <f t="shared" si="191"/>
        <v>13/11/2025</v>
      </c>
      <c r="B462" t="str">
        <f t="shared" si="194"/>
        <v>ENTRADA</v>
      </c>
      <c r="C462" t="str">
        <f t="shared" si="195"/>
        <v>NFSE</v>
      </c>
      <c r="D462" t="str">
        <f>"3805"</f>
        <v>3805</v>
      </c>
      <c r="E462" t="str">
        <f t="shared" si="193"/>
        <v>COM</v>
      </c>
      <c r="F462" t="str">
        <f>"DROGA ELIDA (10121)"</f>
        <v>DROGA ELIDA (10121)</v>
      </c>
      <c r="G462" t="str">
        <f>"Serv.Prest. 03/11/2025 a 09/11/2025 - RPS: 1568 - NFSe: 3805"</f>
        <v>Serv.Prest. 03/11/2025 a 09/11/2025 - RPS: 1568 - NFSe: 3805</v>
      </c>
      <c r="H462" t="str">
        <f t="shared" si="196"/>
        <v>12/11/2025</v>
      </c>
      <c r="I462" t="str">
        <f t="shared" si="197"/>
        <v>10/11/2025</v>
      </c>
      <c r="J462" t="str">
        <f t="shared" si="192"/>
        <v>13/11/2025</v>
      </c>
      <c r="M462">
        <v>303</v>
      </c>
      <c r="N462" t="str">
        <f t="shared" si="198"/>
        <v>RECEITAS COM ENTREGAS</v>
      </c>
      <c r="P462">
        <v>328.5</v>
      </c>
      <c r="Q462" t="str">
        <f>"DROGA ELIDA (10121)"</f>
        <v>DROGA ELIDA (10121)</v>
      </c>
      <c r="R462" t="str">
        <f t="shared" si="199"/>
        <v>RECEITAS COM ENTREGAS (303)</v>
      </c>
      <c r="S462">
        <v>2958</v>
      </c>
      <c r="T462">
        <v>2514</v>
      </c>
      <c r="U462" t="s">
        <v>21</v>
      </c>
    </row>
    <row r="463" spans="1:21">
      <c r="A463" t="str">
        <f t="shared" si="191"/>
        <v>13/11/2025</v>
      </c>
      <c r="B463" t="str">
        <f t="shared" si="194"/>
        <v>ENTRADA</v>
      </c>
      <c r="C463" t="str">
        <f t="shared" si="195"/>
        <v>NFSE</v>
      </c>
      <c r="D463" t="str">
        <f>"3764"</f>
        <v>3764</v>
      </c>
      <c r="E463" t="str">
        <f t="shared" si="193"/>
        <v>COM</v>
      </c>
      <c r="F463" t="str">
        <f>"AC FARMA - FLEMINFARMA 5 (10183)"</f>
        <v>AC FARMA - FLEMINFARMA 5 (10183)</v>
      </c>
      <c r="G463" t="str">
        <f>"Serv.Prest. 27/10/2025 a 02/11/2025 - RPS: 1527 - NFSe: 3764"</f>
        <v>Serv.Prest. 27/10/2025 a 02/11/2025 - RPS: 1527 - NFSe: 3764</v>
      </c>
      <c r="H463" t="str">
        <f t="shared" si="196"/>
        <v>12/11/2025</v>
      </c>
      <c r="I463" t="str">
        <f>("05/11/2025")</f>
        <v>05/11/2025</v>
      </c>
      <c r="J463" t="str">
        <f t="shared" si="192"/>
        <v>13/11/2025</v>
      </c>
      <c r="K463">
        <v>90.45</v>
      </c>
      <c r="L463">
        <v>90.45</v>
      </c>
      <c r="M463">
        <v>303</v>
      </c>
      <c r="N463" t="str">
        <f t="shared" si="198"/>
        <v>RECEITAS COM ENTREGAS</v>
      </c>
      <c r="O463">
        <v>90.45</v>
      </c>
      <c r="R463" t="str">
        <f t="shared" si="199"/>
        <v>RECEITAS COM ENTREGAS (303)</v>
      </c>
      <c r="S463">
        <v>2959</v>
      </c>
      <c r="T463">
        <v>2459</v>
      </c>
      <c r="U463" t="s">
        <v>21</v>
      </c>
    </row>
    <row r="464" spans="1:21">
      <c r="A464" t="str">
        <f t="shared" si="191"/>
        <v>13/11/2025</v>
      </c>
      <c r="B464" t="str">
        <f t="shared" si="194"/>
        <v>ENTRADA</v>
      </c>
      <c r="C464" t="str">
        <f t="shared" si="195"/>
        <v>NFSE</v>
      </c>
      <c r="D464" t="str">
        <f>"3764"</f>
        <v>3764</v>
      </c>
      <c r="E464" t="str">
        <f t="shared" si="193"/>
        <v>COM</v>
      </c>
      <c r="F464" t="str">
        <f>"AC FARMA - FLEMINFARMA 5 (10183)"</f>
        <v>AC FARMA - FLEMINFARMA 5 (10183)</v>
      </c>
      <c r="G464" t="str">
        <f>"Serv.Prest. 27/10/2025 a 02/11/2025 - RPS: 1527 - NFSe: 3764"</f>
        <v>Serv.Prest. 27/10/2025 a 02/11/2025 - RPS: 1527 - NFSe: 3764</v>
      </c>
      <c r="H464" t="str">
        <f t="shared" si="196"/>
        <v>12/11/2025</v>
      </c>
      <c r="I464" t="str">
        <f>("05/11/2025")</f>
        <v>05/11/2025</v>
      </c>
      <c r="J464" t="str">
        <f t="shared" si="192"/>
        <v>13/11/2025</v>
      </c>
      <c r="M464">
        <v>303</v>
      </c>
      <c r="N464" t="str">
        <f t="shared" si="198"/>
        <v>RECEITAS COM ENTREGAS</v>
      </c>
      <c r="P464">
        <v>83.7</v>
      </c>
      <c r="Q464" t="str">
        <f>"AC FARMA - FLEMINFARMA 5 (10183)"</f>
        <v>AC FARMA - FLEMINFARMA 5 (10183)</v>
      </c>
      <c r="R464" t="str">
        <f t="shared" si="199"/>
        <v>RECEITAS COM ENTREGAS (303)</v>
      </c>
      <c r="S464">
        <v>2959</v>
      </c>
      <c r="T464">
        <v>2459</v>
      </c>
      <c r="U464" t="s">
        <v>21</v>
      </c>
    </row>
    <row r="465" spans="1:21">
      <c r="A465" t="str">
        <f t="shared" si="191"/>
        <v>13/11/2025</v>
      </c>
      <c r="B465" t="str">
        <f t="shared" si="194"/>
        <v>ENTRADA</v>
      </c>
      <c r="C465" t="str">
        <f t="shared" si="195"/>
        <v>NFSE</v>
      </c>
      <c r="D465" t="str">
        <f>"3764"</f>
        <v>3764</v>
      </c>
      <c r="E465" t="str">
        <f t="shared" si="193"/>
        <v>COM</v>
      </c>
      <c r="F465" t="str">
        <f>"AC FARMA - FLEMINFARMA 5 (10183)"</f>
        <v>AC FARMA - FLEMINFARMA 5 (10183)</v>
      </c>
      <c r="G465" t="str">
        <f>"Serv.Prest. 27/10/2025 a 02/11/2025 - RPS: 1527 - NFSe: 3764"</f>
        <v>Serv.Prest. 27/10/2025 a 02/11/2025 - RPS: 1527 - NFSe: 3764</v>
      </c>
      <c r="H465" t="str">
        <f t="shared" si="196"/>
        <v>12/11/2025</v>
      </c>
      <c r="I465" t="str">
        <f>("05/11/2025")</f>
        <v>05/11/2025</v>
      </c>
      <c r="J465" t="str">
        <f t="shared" si="192"/>
        <v>13/11/2025</v>
      </c>
      <c r="M465">
        <v>303</v>
      </c>
      <c r="N465" t="str">
        <f t="shared" si="198"/>
        <v>RECEITAS COM ENTREGAS</v>
      </c>
      <c r="P465">
        <v>6.75</v>
      </c>
      <c r="Q465" t="str">
        <f>"AC FARMA - FLEMINFARMA 6 (10184)"</f>
        <v>AC FARMA - FLEMINFARMA 6 (10184)</v>
      </c>
      <c r="R465" t="str">
        <f t="shared" si="199"/>
        <v>RECEITAS COM ENTREGAS (303)</v>
      </c>
      <c r="S465">
        <v>2959</v>
      </c>
      <c r="T465">
        <v>2459</v>
      </c>
      <c r="U465" t="s">
        <v>21</v>
      </c>
    </row>
    <row r="466" spans="1:21">
      <c r="A466" t="str">
        <f t="shared" si="191"/>
        <v>13/11/2025</v>
      </c>
      <c r="B466" t="str">
        <f t="shared" si="194"/>
        <v>ENTRADA</v>
      </c>
      <c r="C466" t="str">
        <f t="shared" si="195"/>
        <v>NFSE</v>
      </c>
      <c r="D466" t="str">
        <f>"3777"</f>
        <v>3777</v>
      </c>
      <c r="E466" t="str">
        <f t="shared" si="193"/>
        <v>COM</v>
      </c>
      <c r="F466" t="str">
        <f>"PENSE FARMA 46 (10194)"</f>
        <v>PENSE FARMA 46 (10194)</v>
      </c>
      <c r="G466" t="str">
        <f>"Serv.Prest. 03/11/2025 a 09/11/2025 - RPS: 1540 - NFSe: 3777"</f>
        <v>Serv.Prest. 03/11/2025 a 09/11/2025 - RPS: 1540 - NFSe: 3777</v>
      </c>
      <c r="H466" t="str">
        <f t="shared" si="196"/>
        <v>12/11/2025</v>
      </c>
      <c r="I466" t="str">
        <f t="shared" ref="I466:I499" si="200">("10/11/2025")</f>
        <v>10/11/2025</v>
      </c>
      <c r="J466" t="str">
        <f t="shared" si="192"/>
        <v>13/11/2025</v>
      </c>
      <c r="K466">
        <v>300</v>
      </c>
      <c r="L466">
        <v>300</v>
      </c>
      <c r="M466">
        <v>303</v>
      </c>
      <c r="N466" t="str">
        <f t="shared" si="198"/>
        <v>RECEITAS COM ENTREGAS</v>
      </c>
      <c r="O466">
        <v>300</v>
      </c>
      <c r="R466" t="str">
        <f t="shared" si="199"/>
        <v>RECEITAS COM ENTREGAS (303)</v>
      </c>
      <c r="S466">
        <v>2960</v>
      </c>
      <c r="T466">
        <v>2486</v>
      </c>
      <c r="U466" t="s">
        <v>21</v>
      </c>
    </row>
    <row r="467" spans="1:21">
      <c r="A467" t="str">
        <f t="shared" si="191"/>
        <v>13/11/2025</v>
      </c>
      <c r="B467" t="str">
        <f t="shared" si="194"/>
        <v>ENTRADA</v>
      </c>
      <c r="C467" t="str">
        <f t="shared" si="195"/>
        <v>NFSE</v>
      </c>
      <c r="D467" t="str">
        <f>"3777"</f>
        <v>3777</v>
      </c>
      <c r="E467" t="str">
        <f t="shared" si="193"/>
        <v>COM</v>
      </c>
      <c r="F467" t="str">
        <f>"PENSE FARMA 46 (10194)"</f>
        <v>PENSE FARMA 46 (10194)</v>
      </c>
      <c r="G467" t="str">
        <f>"Serv.Prest. 03/11/2025 a 09/11/2025 - RPS: 1540 - NFSe: 3777"</f>
        <v>Serv.Prest. 03/11/2025 a 09/11/2025 - RPS: 1540 - NFSe: 3777</v>
      </c>
      <c r="H467" t="str">
        <f t="shared" si="196"/>
        <v>12/11/2025</v>
      </c>
      <c r="I467" t="str">
        <f t="shared" si="200"/>
        <v>10/11/2025</v>
      </c>
      <c r="J467" t="str">
        <f t="shared" si="192"/>
        <v>13/11/2025</v>
      </c>
      <c r="M467">
        <v>303</v>
      </c>
      <c r="N467" t="str">
        <f t="shared" si="198"/>
        <v>RECEITAS COM ENTREGAS</v>
      </c>
      <c r="P467">
        <v>300</v>
      </c>
      <c r="Q467" t="str">
        <f>"PENSE FARMA 46 (10194)"</f>
        <v>PENSE FARMA 46 (10194)</v>
      </c>
      <c r="R467" t="str">
        <f t="shared" si="199"/>
        <v>RECEITAS COM ENTREGAS (303)</v>
      </c>
      <c r="S467">
        <v>2960</v>
      </c>
      <c r="T467">
        <v>2486</v>
      </c>
      <c r="U467" t="s">
        <v>21</v>
      </c>
    </row>
    <row r="468" spans="1:21">
      <c r="A468" t="str">
        <f t="shared" si="191"/>
        <v>13/11/2025</v>
      </c>
      <c r="B468" t="str">
        <f t="shared" si="194"/>
        <v>ENTRADA</v>
      </c>
      <c r="C468" t="str">
        <f t="shared" si="195"/>
        <v>NFSE</v>
      </c>
      <c r="D468" t="str">
        <f>"3781"</f>
        <v>3781</v>
      </c>
      <c r="E468" t="str">
        <f t="shared" si="193"/>
        <v>COM</v>
      </c>
      <c r="F468" t="str">
        <f>"PENSE FARMA 15 (10195)"</f>
        <v>PENSE FARMA 15 (10195)</v>
      </c>
      <c r="G468" t="str">
        <f>"Serv.Prest. 03/11/2025 a 09/11/2025 - RPS: 1544 - NFSe: 3781"</f>
        <v>Serv.Prest. 03/11/2025 a 09/11/2025 - RPS: 1544 - NFSe: 3781</v>
      </c>
      <c r="H468" t="str">
        <f t="shared" si="196"/>
        <v>12/11/2025</v>
      </c>
      <c r="I468" t="str">
        <f t="shared" si="200"/>
        <v>10/11/2025</v>
      </c>
      <c r="J468" t="str">
        <f t="shared" si="192"/>
        <v>13/11/2025</v>
      </c>
      <c r="K468">
        <v>535.52</v>
      </c>
      <c r="L468">
        <v>535.52</v>
      </c>
      <c r="M468">
        <v>303</v>
      </c>
      <c r="N468" t="str">
        <f t="shared" si="198"/>
        <v>RECEITAS COM ENTREGAS</v>
      </c>
      <c r="O468">
        <v>535.52</v>
      </c>
      <c r="R468" t="str">
        <f t="shared" si="199"/>
        <v>RECEITAS COM ENTREGAS (303)</v>
      </c>
      <c r="S468">
        <v>2961</v>
      </c>
      <c r="T468">
        <v>2490</v>
      </c>
      <c r="U468" t="s">
        <v>21</v>
      </c>
    </row>
    <row r="469" spans="1:21">
      <c r="A469" t="str">
        <f t="shared" si="191"/>
        <v>13/11/2025</v>
      </c>
      <c r="B469" t="str">
        <f t="shared" si="194"/>
        <v>ENTRADA</v>
      </c>
      <c r="C469" t="str">
        <f t="shared" si="195"/>
        <v>NFSE</v>
      </c>
      <c r="D469" t="str">
        <f>"3781"</f>
        <v>3781</v>
      </c>
      <c r="E469" t="str">
        <f t="shared" si="193"/>
        <v>COM</v>
      </c>
      <c r="F469" t="str">
        <f>"PENSE FARMA 15 (10195)"</f>
        <v>PENSE FARMA 15 (10195)</v>
      </c>
      <c r="G469" t="str">
        <f>"Serv.Prest. 03/11/2025 a 09/11/2025 - RPS: 1544 - NFSe: 3781"</f>
        <v>Serv.Prest. 03/11/2025 a 09/11/2025 - RPS: 1544 - NFSe: 3781</v>
      </c>
      <c r="H469" t="str">
        <f t="shared" si="196"/>
        <v>12/11/2025</v>
      </c>
      <c r="I469" t="str">
        <f t="shared" si="200"/>
        <v>10/11/2025</v>
      </c>
      <c r="J469" t="str">
        <f t="shared" si="192"/>
        <v>13/11/2025</v>
      </c>
      <c r="M469">
        <v>303</v>
      </c>
      <c r="N469" t="str">
        <f t="shared" si="198"/>
        <v>RECEITAS COM ENTREGAS</v>
      </c>
      <c r="P469">
        <v>133.88</v>
      </c>
      <c r="Q469" t="str">
        <f>"PENSE FARMA 15 (10195)"</f>
        <v>PENSE FARMA 15 (10195)</v>
      </c>
      <c r="R469" t="str">
        <f t="shared" si="199"/>
        <v>RECEITAS COM ENTREGAS (303)</v>
      </c>
      <c r="S469">
        <v>2961</v>
      </c>
      <c r="T469">
        <v>2490</v>
      </c>
      <c r="U469" t="s">
        <v>21</v>
      </c>
    </row>
    <row r="470" spans="1:21">
      <c r="A470" t="str">
        <f t="shared" si="191"/>
        <v>13/11/2025</v>
      </c>
      <c r="B470" t="str">
        <f t="shared" si="194"/>
        <v>ENTRADA</v>
      </c>
      <c r="C470" t="str">
        <f t="shared" si="195"/>
        <v>NFSE</v>
      </c>
      <c r="D470" t="str">
        <f>"3781"</f>
        <v>3781</v>
      </c>
      <c r="E470" t="str">
        <f t="shared" si="193"/>
        <v>COM</v>
      </c>
      <c r="F470" t="str">
        <f>"PENSE FARMA 15 (10195)"</f>
        <v>PENSE FARMA 15 (10195)</v>
      </c>
      <c r="G470" t="str">
        <f>"Serv.Prest. 03/11/2025 a 09/11/2025 - RPS: 1544 - NFSe: 3781"</f>
        <v>Serv.Prest. 03/11/2025 a 09/11/2025 - RPS: 1544 - NFSe: 3781</v>
      </c>
      <c r="H470" t="str">
        <f t="shared" si="196"/>
        <v>12/11/2025</v>
      </c>
      <c r="I470" t="str">
        <f t="shared" si="200"/>
        <v>10/11/2025</v>
      </c>
      <c r="J470" t="str">
        <f t="shared" si="192"/>
        <v>13/11/2025</v>
      </c>
      <c r="M470">
        <v>303</v>
      </c>
      <c r="N470" t="str">
        <f t="shared" si="198"/>
        <v>RECEITAS COM ENTREGAS</v>
      </c>
      <c r="P470">
        <v>133.88</v>
      </c>
      <c r="Q470" t="str">
        <f>"PENSE FARMA 26 (10196)"</f>
        <v>PENSE FARMA 26 (10196)</v>
      </c>
      <c r="R470" t="str">
        <f t="shared" si="199"/>
        <v>RECEITAS COM ENTREGAS (303)</v>
      </c>
      <c r="S470">
        <v>2961</v>
      </c>
      <c r="T470">
        <v>2490</v>
      </c>
      <c r="U470" t="s">
        <v>21</v>
      </c>
    </row>
    <row r="471" spans="1:21">
      <c r="A471" t="str">
        <f t="shared" si="191"/>
        <v>13/11/2025</v>
      </c>
      <c r="B471" t="str">
        <f t="shared" si="194"/>
        <v>ENTRADA</v>
      </c>
      <c r="C471" t="str">
        <f t="shared" si="195"/>
        <v>NFSE</v>
      </c>
      <c r="D471" t="str">
        <f>"3781"</f>
        <v>3781</v>
      </c>
      <c r="E471" t="str">
        <f t="shared" si="193"/>
        <v>COM</v>
      </c>
      <c r="F471" t="str">
        <f>"PENSE FARMA 15 (10195)"</f>
        <v>PENSE FARMA 15 (10195)</v>
      </c>
      <c r="G471" t="str">
        <f>"Serv.Prest. 03/11/2025 a 09/11/2025 - RPS: 1544 - NFSe: 3781"</f>
        <v>Serv.Prest. 03/11/2025 a 09/11/2025 - RPS: 1544 - NFSe: 3781</v>
      </c>
      <c r="H471" t="str">
        <f t="shared" si="196"/>
        <v>12/11/2025</v>
      </c>
      <c r="I471" t="str">
        <f t="shared" si="200"/>
        <v>10/11/2025</v>
      </c>
      <c r="J471" t="str">
        <f t="shared" si="192"/>
        <v>13/11/2025</v>
      </c>
      <c r="M471">
        <v>303</v>
      </c>
      <c r="N471" t="str">
        <f t="shared" si="198"/>
        <v>RECEITAS COM ENTREGAS</v>
      </c>
      <c r="P471">
        <v>133.88</v>
      </c>
      <c r="Q471" t="str">
        <f>"PENSE FARMA 60 (10197)"</f>
        <v>PENSE FARMA 60 (10197)</v>
      </c>
      <c r="R471" t="str">
        <f t="shared" si="199"/>
        <v>RECEITAS COM ENTREGAS (303)</v>
      </c>
      <c r="S471">
        <v>2961</v>
      </c>
      <c r="T471">
        <v>2490</v>
      </c>
      <c r="U471" t="s">
        <v>21</v>
      </c>
    </row>
    <row r="472" spans="1:21">
      <c r="A472" t="str">
        <f t="shared" si="191"/>
        <v>13/11/2025</v>
      </c>
      <c r="B472" t="str">
        <f t="shared" si="194"/>
        <v>ENTRADA</v>
      </c>
      <c r="C472" t="str">
        <f t="shared" si="195"/>
        <v>NFSE</v>
      </c>
      <c r="D472" t="str">
        <f>"3781"</f>
        <v>3781</v>
      </c>
      <c r="E472" t="str">
        <f t="shared" si="193"/>
        <v>COM</v>
      </c>
      <c r="F472" t="str">
        <f>"PENSE FARMA 15 (10195)"</f>
        <v>PENSE FARMA 15 (10195)</v>
      </c>
      <c r="G472" t="str">
        <f>"Serv.Prest. 03/11/2025 a 09/11/2025 - RPS: 1544 - NFSe: 3781"</f>
        <v>Serv.Prest. 03/11/2025 a 09/11/2025 - RPS: 1544 - NFSe: 3781</v>
      </c>
      <c r="H472" t="str">
        <f t="shared" si="196"/>
        <v>12/11/2025</v>
      </c>
      <c r="I472" t="str">
        <f t="shared" si="200"/>
        <v>10/11/2025</v>
      </c>
      <c r="J472" t="str">
        <f t="shared" si="192"/>
        <v>13/11/2025</v>
      </c>
      <c r="M472">
        <v>303</v>
      </c>
      <c r="N472" t="str">
        <f t="shared" si="198"/>
        <v>RECEITAS COM ENTREGAS</v>
      </c>
      <c r="P472">
        <v>133.88</v>
      </c>
      <c r="Q472" t="str">
        <f>"PENSE FARMA 61 (10243)"</f>
        <v>PENSE FARMA 61 (10243)</v>
      </c>
      <c r="R472" t="str">
        <f t="shared" si="199"/>
        <v>RECEITAS COM ENTREGAS (303)</v>
      </c>
      <c r="S472">
        <v>2961</v>
      </c>
      <c r="T472">
        <v>2490</v>
      </c>
      <c r="U472" t="s">
        <v>21</v>
      </c>
    </row>
    <row r="473" spans="1:21">
      <c r="A473" t="str">
        <f t="shared" si="191"/>
        <v>13/11/2025</v>
      </c>
      <c r="B473" t="str">
        <f t="shared" si="194"/>
        <v>ENTRADA</v>
      </c>
      <c r="C473" t="str">
        <f t="shared" si="195"/>
        <v>NFSE</v>
      </c>
      <c r="D473" t="str">
        <f>"3769"</f>
        <v>3769</v>
      </c>
      <c r="E473" t="str">
        <f t="shared" si="193"/>
        <v>COM</v>
      </c>
      <c r="F473" t="str">
        <f>"PENSE FARMA 44 (10231)"</f>
        <v>PENSE FARMA 44 (10231)</v>
      </c>
      <c r="G473" t="str">
        <f>"Serv.Prest. 03/11/2025 a 09/11/2025 - RPS: 1532 - NFSe: 3769"</f>
        <v>Serv.Prest. 03/11/2025 a 09/11/2025 - RPS: 1532 - NFSe: 3769</v>
      </c>
      <c r="H473" t="str">
        <f t="shared" si="196"/>
        <v>12/11/2025</v>
      </c>
      <c r="I473" t="str">
        <f t="shared" si="200"/>
        <v>10/11/2025</v>
      </c>
      <c r="J473" t="str">
        <f t="shared" si="192"/>
        <v>13/11/2025</v>
      </c>
      <c r="K473">
        <v>589.04</v>
      </c>
      <c r="L473">
        <v>589.04</v>
      </c>
      <c r="M473">
        <v>303</v>
      </c>
      <c r="N473" t="str">
        <f t="shared" si="198"/>
        <v>RECEITAS COM ENTREGAS</v>
      </c>
      <c r="O473">
        <v>589.04</v>
      </c>
      <c r="R473" t="str">
        <f t="shared" si="199"/>
        <v>RECEITAS COM ENTREGAS (303)</v>
      </c>
      <c r="S473">
        <v>2962</v>
      </c>
      <c r="T473">
        <v>2478</v>
      </c>
      <c r="U473" t="s">
        <v>21</v>
      </c>
    </row>
    <row r="474" spans="1:21">
      <c r="A474" t="str">
        <f t="shared" si="191"/>
        <v>13/11/2025</v>
      </c>
      <c r="B474" t="str">
        <f t="shared" si="194"/>
        <v>ENTRADA</v>
      </c>
      <c r="C474" t="str">
        <f t="shared" si="195"/>
        <v>NFSE</v>
      </c>
      <c r="D474" t="str">
        <f>"3769"</f>
        <v>3769</v>
      </c>
      <c r="E474" t="str">
        <f t="shared" si="193"/>
        <v>COM</v>
      </c>
      <c r="F474" t="str">
        <f>"PENSE FARMA 44 (10231)"</f>
        <v>PENSE FARMA 44 (10231)</v>
      </c>
      <c r="G474" t="str">
        <f>"Serv.Prest. 03/11/2025 a 09/11/2025 - RPS: 1532 - NFSe: 3769"</f>
        <v>Serv.Prest. 03/11/2025 a 09/11/2025 - RPS: 1532 - NFSe: 3769</v>
      </c>
      <c r="H474" t="str">
        <f t="shared" si="196"/>
        <v>12/11/2025</v>
      </c>
      <c r="I474" t="str">
        <f t="shared" si="200"/>
        <v>10/11/2025</v>
      </c>
      <c r="J474" t="str">
        <f t="shared" si="192"/>
        <v>13/11/2025</v>
      </c>
      <c r="M474">
        <v>303</v>
      </c>
      <c r="N474" t="str">
        <f t="shared" si="198"/>
        <v>RECEITAS COM ENTREGAS</v>
      </c>
      <c r="P474">
        <v>294.52</v>
      </c>
      <c r="Q474" t="str">
        <f>"PENSE FARMA 44 (10231)"</f>
        <v>PENSE FARMA 44 (10231)</v>
      </c>
      <c r="R474" t="str">
        <f t="shared" si="199"/>
        <v>RECEITAS COM ENTREGAS (303)</v>
      </c>
      <c r="S474">
        <v>2962</v>
      </c>
      <c r="T474">
        <v>2478</v>
      </c>
      <c r="U474" t="s">
        <v>21</v>
      </c>
    </row>
    <row r="475" spans="1:21">
      <c r="A475" t="str">
        <f t="shared" ref="A475:A506" si="201">("13/11/2025")</f>
        <v>13/11/2025</v>
      </c>
      <c r="B475" t="str">
        <f t="shared" si="194"/>
        <v>ENTRADA</v>
      </c>
      <c r="C475" t="str">
        <f t="shared" si="195"/>
        <v>NFSE</v>
      </c>
      <c r="D475" t="str">
        <f>"3769"</f>
        <v>3769</v>
      </c>
      <c r="E475" t="str">
        <f t="shared" si="193"/>
        <v>COM</v>
      </c>
      <c r="F475" t="str">
        <f>"PENSE FARMA 44 (10231)"</f>
        <v>PENSE FARMA 44 (10231)</v>
      </c>
      <c r="G475" t="str">
        <f>"Serv.Prest. 03/11/2025 a 09/11/2025 - RPS: 1532 - NFSe: 3769"</f>
        <v>Serv.Prest. 03/11/2025 a 09/11/2025 - RPS: 1532 - NFSe: 3769</v>
      </c>
      <c r="H475" t="str">
        <f t="shared" si="196"/>
        <v>12/11/2025</v>
      </c>
      <c r="I475" t="str">
        <f t="shared" si="200"/>
        <v>10/11/2025</v>
      </c>
      <c r="J475" t="str">
        <f t="shared" ref="J475:J506" si="202">("13/11/2025")</f>
        <v>13/11/2025</v>
      </c>
      <c r="M475">
        <v>303</v>
      </c>
      <c r="N475" t="str">
        <f t="shared" si="198"/>
        <v>RECEITAS COM ENTREGAS</v>
      </c>
      <c r="P475">
        <v>294.52</v>
      </c>
      <c r="Q475" t="str">
        <f>"PENSE FARMA 48 (10233)"</f>
        <v>PENSE FARMA 48 (10233)</v>
      </c>
      <c r="R475" t="str">
        <f t="shared" si="199"/>
        <v>RECEITAS COM ENTREGAS (303)</v>
      </c>
      <c r="S475">
        <v>2962</v>
      </c>
      <c r="T475">
        <v>2478</v>
      </c>
      <c r="U475" t="s">
        <v>21</v>
      </c>
    </row>
    <row r="476" spans="1:21">
      <c r="A476" t="str">
        <f t="shared" si="201"/>
        <v>13/11/2025</v>
      </c>
      <c r="B476" t="str">
        <f t="shared" si="194"/>
        <v>ENTRADA</v>
      </c>
      <c r="C476" t="str">
        <f t="shared" si="195"/>
        <v>NFSE</v>
      </c>
      <c r="D476" t="str">
        <f>"3774"</f>
        <v>3774</v>
      </c>
      <c r="E476" t="str">
        <f t="shared" si="193"/>
        <v>COM</v>
      </c>
      <c r="F476" t="str">
        <f>"PENSE FARMA 35 (10227)"</f>
        <v>PENSE FARMA 35 (10227)</v>
      </c>
      <c r="G476" t="str">
        <f>"Serv.Prest. 03/11/2025 a 09/11/2025 - RPS: 1537 - NFSe: 3774"</f>
        <v>Serv.Prest. 03/11/2025 a 09/11/2025 - RPS: 1537 - NFSe: 3774</v>
      </c>
      <c r="H476" t="str">
        <f t="shared" si="196"/>
        <v>12/11/2025</v>
      </c>
      <c r="I476" t="str">
        <f t="shared" si="200"/>
        <v>10/11/2025</v>
      </c>
      <c r="J476" t="str">
        <f t="shared" si="202"/>
        <v>13/11/2025</v>
      </c>
      <c r="K476">
        <v>171.45</v>
      </c>
      <c r="L476">
        <v>171.45</v>
      </c>
      <c r="M476">
        <v>303</v>
      </c>
      <c r="N476" t="str">
        <f t="shared" si="198"/>
        <v>RECEITAS COM ENTREGAS</v>
      </c>
      <c r="O476">
        <v>171.45</v>
      </c>
      <c r="R476" t="str">
        <f t="shared" si="199"/>
        <v>RECEITAS COM ENTREGAS (303)</v>
      </c>
      <c r="S476">
        <v>2963</v>
      </c>
      <c r="T476">
        <v>2483</v>
      </c>
      <c r="U476" t="s">
        <v>21</v>
      </c>
    </row>
    <row r="477" spans="1:21">
      <c r="A477" t="str">
        <f t="shared" si="201"/>
        <v>13/11/2025</v>
      </c>
      <c r="B477" t="str">
        <f t="shared" si="194"/>
        <v>ENTRADA</v>
      </c>
      <c r="C477" t="str">
        <f t="shared" si="195"/>
        <v>NFSE</v>
      </c>
      <c r="D477" t="str">
        <f>"3774"</f>
        <v>3774</v>
      </c>
      <c r="E477" t="str">
        <f t="shared" si="193"/>
        <v>COM</v>
      </c>
      <c r="F477" t="str">
        <f>"PENSE FARMA 35 (10227)"</f>
        <v>PENSE FARMA 35 (10227)</v>
      </c>
      <c r="G477" t="str">
        <f>"Serv.Prest. 03/11/2025 a 09/11/2025 - RPS: 1537 - NFSe: 3774"</f>
        <v>Serv.Prest. 03/11/2025 a 09/11/2025 - RPS: 1537 - NFSe: 3774</v>
      </c>
      <c r="H477" t="str">
        <f t="shared" si="196"/>
        <v>12/11/2025</v>
      </c>
      <c r="I477" t="str">
        <f t="shared" si="200"/>
        <v>10/11/2025</v>
      </c>
      <c r="J477" t="str">
        <f t="shared" si="202"/>
        <v>13/11/2025</v>
      </c>
      <c r="M477">
        <v>303</v>
      </c>
      <c r="N477" t="str">
        <f t="shared" si="198"/>
        <v>RECEITAS COM ENTREGAS</v>
      </c>
      <c r="P477">
        <v>171.45</v>
      </c>
      <c r="Q477" t="str">
        <f>"PENSE FARMA 35 (10227)"</f>
        <v>PENSE FARMA 35 (10227)</v>
      </c>
      <c r="R477" t="str">
        <f t="shared" si="199"/>
        <v>RECEITAS COM ENTREGAS (303)</v>
      </c>
      <c r="S477">
        <v>2963</v>
      </c>
      <c r="T477">
        <v>2483</v>
      </c>
      <c r="U477" t="s">
        <v>21</v>
      </c>
    </row>
    <row r="478" spans="1:21">
      <c r="A478" t="str">
        <f t="shared" si="201"/>
        <v>13/11/2025</v>
      </c>
      <c r="B478" t="str">
        <f t="shared" si="194"/>
        <v>ENTRADA</v>
      </c>
      <c r="C478" t="str">
        <f t="shared" si="195"/>
        <v>NFSE</v>
      </c>
      <c r="D478" t="str">
        <f>"3767"</f>
        <v>3767</v>
      </c>
      <c r="E478" t="str">
        <f t="shared" si="193"/>
        <v>COM</v>
      </c>
      <c r="F478" t="str">
        <f>"PENSE FARMA 51 (10235)"</f>
        <v>PENSE FARMA 51 (10235)</v>
      </c>
      <c r="G478" t="str">
        <f>"Serv.Prest. 03/11/2025 a 09/11/2025 - RPS: 1530 - NFSe: 3767"</f>
        <v>Serv.Prest. 03/11/2025 a 09/11/2025 - RPS: 1530 - NFSe: 3767</v>
      </c>
      <c r="H478" t="str">
        <f t="shared" si="196"/>
        <v>12/11/2025</v>
      </c>
      <c r="I478" t="str">
        <f t="shared" si="200"/>
        <v>10/11/2025</v>
      </c>
      <c r="J478" t="str">
        <f t="shared" si="202"/>
        <v>13/11/2025</v>
      </c>
      <c r="K478">
        <v>171.36</v>
      </c>
      <c r="L478">
        <v>171.36</v>
      </c>
      <c r="M478">
        <v>303</v>
      </c>
      <c r="N478" t="str">
        <f t="shared" si="198"/>
        <v>RECEITAS COM ENTREGAS</v>
      </c>
      <c r="O478">
        <v>171.36</v>
      </c>
      <c r="R478" t="str">
        <f t="shared" si="199"/>
        <v>RECEITAS COM ENTREGAS (303)</v>
      </c>
      <c r="S478">
        <v>2964</v>
      </c>
      <c r="T478">
        <v>2476</v>
      </c>
      <c r="U478" t="s">
        <v>21</v>
      </c>
    </row>
    <row r="479" spans="1:21">
      <c r="A479" t="str">
        <f t="shared" si="201"/>
        <v>13/11/2025</v>
      </c>
      <c r="B479" t="str">
        <f t="shared" si="194"/>
        <v>ENTRADA</v>
      </c>
      <c r="C479" t="str">
        <f t="shared" si="195"/>
        <v>NFSE</v>
      </c>
      <c r="D479" t="str">
        <f>"3767"</f>
        <v>3767</v>
      </c>
      <c r="E479" t="str">
        <f t="shared" si="193"/>
        <v>COM</v>
      </c>
      <c r="F479" t="str">
        <f>"PENSE FARMA 51 (10235)"</f>
        <v>PENSE FARMA 51 (10235)</v>
      </c>
      <c r="G479" t="str">
        <f>"Serv.Prest. 03/11/2025 a 09/11/2025 - RPS: 1530 - NFSe: 3767"</f>
        <v>Serv.Prest. 03/11/2025 a 09/11/2025 - RPS: 1530 - NFSe: 3767</v>
      </c>
      <c r="H479" t="str">
        <f t="shared" si="196"/>
        <v>12/11/2025</v>
      </c>
      <c r="I479" t="str">
        <f t="shared" si="200"/>
        <v>10/11/2025</v>
      </c>
      <c r="J479" t="str">
        <f t="shared" si="202"/>
        <v>13/11/2025</v>
      </c>
      <c r="M479">
        <v>303</v>
      </c>
      <c r="N479" t="str">
        <f t="shared" si="198"/>
        <v>RECEITAS COM ENTREGAS</v>
      </c>
      <c r="P479">
        <v>171.36</v>
      </c>
      <c r="Q479" t="str">
        <f>"PENSE FARMA 51 (10235)"</f>
        <v>PENSE FARMA 51 (10235)</v>
      </c>
      <c r="R479" t="str">
        <f t="shared" si="199"/>
        <v>RECEITAS COM ENTREGAS (303)</v>
      </c>
      <c r="S479">
        <v>2964</v>
      </c>
      <c r="T479">
        <v>2476</v>
      </c>
      <c r="U479" t="s">
        <v>21</v>
      </c>
    </row>
    <row r="480" spans="1:21">
      <c r="A480" t="str">
        <f t="shared" si="201"/>
        <v>13/11/2025</v>
      </c>
      <c r="B480" t="str">
        <f t="shared" si="194"/>
        <v>ENTRADA</v>
      </c>
      <c r="C480" t="str">
        <f t="shared" si="195"/>
        <v>NFSE</v>
      </c>
      <c r="D480" t="str">
        <f>"3776"</f>
        <v>3776</v>
      </c>
      <c r="E480" t="str">
        <f t="shared" si="193"/>
        <v>COM</v>
      </c>
      <c r="F480" t="str">
        <f>"PENSE FARMA 09 (10218)"</f>
        <v>PENSE FARMA 09 (10218)</v>
      </c>
      <c r="G480" t="str">
        <f>"Serv.Prest. 03/11/2025 a 09/11/2025 - RPS: 1539 - NFSe: 3776"</f>
        <v>Serv.Prest. 03/11/2025 a 09/11/2025 - RPS: 1539 - NFSe: 3776</v>
      </c>
      <c r="H480" t="str">
        <f t="shared" si="196"/>
        <v>12/11/2025</v>
      </c>
      <c r="I480" t="str">
        <f t="shared" si="200"/>
        <v>10/11/2025</v>
      </c>
      <c r="J480" t="str">
        <f t="shared" si="202"/>
        <v>13/11/2025</v>
      </c>
      <c r="K480">
        <v>294.58999999999997</v>
      </c>
      <c r="L480">
        <v>294.58999999999997</v>
      </c>
      <c r="M480">
        <v>303</v>
      </c>
      <c r="N480" t="str">
        <f t="shared" si="198"/>
        <v>RECEITAS COM ENTREGAS</v>
      </c>
      <c r="O480">
        <v>294.58999999999997</v>
      </c>
      <c r="R480" t="str">
        <f t="shared" si="199"/>
        <v>RECEITAS COM ENTREGAS (303)</v>
      </c>
      <c r="S480">
        <v>2965</v>
      </c>
      <c r="T480">
        <v>2485</v>
      </c>
      <c r="U480" t="s">
        <v>21</v>
      </c>
    </row>
    <row r="481" spans="1:21">
      <c r="A481" t="str">
        <f t="shared" si="201"/>
        <v>13/11/2025</v>
      </c>
      <c r="B481" t="str">
        <f t="shared" si="194"/>
        <v>ENTRADA</v>
      </c>
      <c r="C481" t="str">
        <f t="shared" si="195"/>
        <v>NFSE</v>
      </c>
      <c r="D481" t="str">
        <f>"3776"</f>
        <v>3776</v>
      </c>
      <c r="E481" t="str">
        <f t="shared" si="193"/>
        <v>COM</v>
      </c>
      <c r="F481" t="str">
        <f>"PENSE FARMA 09 (10218)"</f>
        <v>PENSE FARMA 09 (10218)</v>
      </c>
      <c r="G481" t="str">
        <f>"Serv.Prest. 03/11/2025 a 09/11/2025 - RPS: 1539 - NFSe: 3776"</f>
        <v>Serv.Prest. 03/11/2025 a 09/11/2025 - RPS: 1539 - NFSe: 3776</v>
      </c>
      <c r="H481" t="str">
        <f t="shared" si="196"/>
        <v>12/11/2025</v>
      </c>
      <c r="I481" t="str">
        <f t="shared" si="200"/>
        <v>10/11/2025</v>
      </c>
      <c r="J481" t="str">
        <f t="shared" si="202"/>
        <v>13/11/2025</v>
      </c>
      <c r="M481">
        <v>303</v>
      </c>
      <c r="N481" t="str">
        <f t="shared" si="198"/>
        <v>RECEITAS COM ENTREGAS</v>
      </c>
      <c r="P481">
        <v>147.83000000000001</v>
      </c>
      <c r="Q481" t="str">
        <f>"PENSE FARMA 09 (10218)"</f>
        <v>PENSE FARMA 09 (10218)</v>
      </c>
      <c r="R481" t="str">
        <f t="shared" si="199"/>
        <v>RECEITAS COM ENTREGAS (303)</v>
      </c>
      <c r="S481">
        <v>2965</v>
      </c>
      <c r="T481">
        <v>2485</v>
      </c>
      <c r="U481" t="s">
        <v>21</v>
      </c>
    </row>
    <row r="482" spans="1:21">
      <c r="A482" t="str">
        <f t="shared" si="201"/>
        <v>13/11/2025</v>
      </c>
      <c r="B482" t="str">
        <f t="shared" si="194"/>
        <v>ENTRADA</v>
      </c>
      <c r="C482" t="str">
        <f t="shared" si="195"/>
        <v>NFSE</v>
      </c>
      <c r="D482" t="str">
        <f>"3776"</f>
        <v>3776</v>
      </c>
      <c r="E482" t="str">
        <f t="shared" si="193"/>
        <v>COM</v>
      </c>
      <c r="F482" t="str">
        <f>"PENSE FARMA 09 (10218)"</f>
        <v>PENSE FARMA 09 (10218)</v>
      </c>
      <c r="G482" t="str">
        <f>"Serv.Prest. 03/11/2025 a 09/11/2025 - RPS: 1539 - NFSe: 3776"</f>
        <v>Serv.Prest. 03/11/2025 a 09/11/2025 - RPS: 1539 - NFSe: 3776</v>
      </c>
      <c r="H482" t="str">
        <f t="shared" si="196"/>
        <v>12/11/2025</v>
      </c>
      <c r="I482" t="str">
        <f t="shared" si="200"/>
        <v>10/11/2025</v>
      </c>
      <c r="J482" t="str">
        <f t="shared" si="202"/>
        <v>13/11/2025</v>
      </c>
      <c r="M482">
        <v>303</v>
      </c>
      <c r="N482" t="str">
        <f t="shared" si="198"/>
        <v>RECEITAS COM ENTREGAS</v>
      </c>
      <c r="P482">
        <v>146.76</v>
      </c>
      <c r="Q482" t="str">
        <f>"PENSE FARMA 10 (10219)"</f>
        <v>PENSE FARMA 10 (10219)</v>
      </c>
      <c r="R482" t="str">
        <f t="shared" si="199"/>
        <v>RECEITAS COM ENTREGAS (303)</v>
      </c>
      <c r="S482">
        <v>2965</v>
      </c>
      <c r="T482">
        <v>2485</v>
      </c>
      <c r="U482" t="s">
        <v>21</v>
      </c>
    </row>
    <row r="483" spans="1:21">
      <c r="A483" t="str">
        <f t="shared" si="201"/>
        <v>13/11/2025</v>
      </c>
      <c r="B483" t="str">
        <f t="shared" ref="B483:B514" si="203">"ENTRADA"</f>
        <v>ENTRADA</v>
      </c>
      <c r="C483" t="str">
        <f t="shared" ref="C483:C514" si="204">"NFSE"</f>
        <v>NFSE</v>
      </c>
      <c r="D483" t="str">
        <f>"3786"</f>
        <v>3786</v>
      </c>
      <c r="E483" t="str">
        <f t="shared" si="193"/>
        <v>COM</v>
      </c>
      <c r="F483" t="str">
        <f>"DROGARIA ANA VISCONDE DO RIO BRANCO (10182)"</f>
        <v>DROGARIA ANA VISCONDE DO RIO BRANCO (10182)</v>
      </c>
      <c r="G483" t="str">
        <f>"Serv.Prest. 03/11/2025 a 09/11/2025 - RPS: 1549 - NFSe: 3786"</f>
        <v>Serv.Prest. 03/11/2025 a 09/11/2025 - RPS: 1549 - NFSe: 3786</v>
      </c>
      <c r="H483" t="str">
        <f t="shared" ref="H483:H514" si="205">("12/11/2025")</f>
        <v>12/11/2025</v>
      </c>
      <c r="I483" t="str">
        <f t="shared" si="200"/>
        <v>10/11/2025</v>
      </c>
      <c r="J483" t="str">
        <f t="shared" si="202"/>
        <v>13/11/2025</v>
      </c>
      <c r="K483">
        <v>792.45</v>
      </c>
      <c r="L483">
        <v>792.45</v>
      </c>
      <c r="M483">
        <v>303</v>
      </c>
      <c r="N483" t="str">
        <f t="shared" ref="N483:N514" si="206">"RECEITAS COM ENTREGAS"</f>
        <v>RECEITAS COM ENTREGAS</v>
      </c>
      <c r="O483">
        <v>792.45</v>
      </c>
      <c r="R483" t="str">
        <f t="shared" ref="R483:R514" si="207">"RECEITAS COM ENTREGAS (303)"</f>
        <v>RECEITAS COM ENTREGAS (303)</v>
      </c>
      <c r="S483">
        <v>2966</v>
      </c>
      <c r="T483">
        <v>2495</v>
      </c>
      <c r="U483" t="s">
        <v>21</v>
      </c>
    </row>
    <row r="484" spans="1:21">
      <c r="A484" t="str">
        <f t="shared" si="201"/>
        <v>13/11/2025</v>
      </c>
      <c r="B484" t="str">
        <f t="shared" si="203"/>
        <v>ENTRADA</v>
      </c>
      <c r="C484" t="str">
        <f t="shared" si="204"/>
        <v>NFSE</v>
      </c>
      <c r="D484" t="str">
        <f>"3786"</f>
        <v>3786</v>
      </c>
      <c r="E484" t="str">
        <f t="shared" si="193"/>
        <v>COM</v>
      </c>
      <c r="F484" t="str">
        <f>"DROGARIA ANA VISCONDE DO RIO BRANCO (10182)"</f>
        <v>DROGARIA ANA VISCONDE DO RIO BRANCO (10182)</v>
      </c>
      <c r="G484" t="str">
        <f>"Serv.Prest. 03/11/2025 a 09/11/2025 - RPS: 1549 - NFSe: 3786"</f>
        <v>Serv.Prest. 03/11/2025 a 09/11/2025 - RPS: 1549 - NFSe: 3786</v>
      </c>
      <c r="H484" t="str">
        <f t="shared" si="205"/>
        <v>12/11/2025</v>
      </c>
      <c r="I484" t="str">
        <f t="shared" si="200"/>
        <v>10/11/2025</v>
      </c>
      <c r="J484" t="str">
        <f t="shared" si="202"/>
        <v>13/11/2025</v>
      </c>
      <c r="M484">
        <v>303</v>
      </c>
      <c r="N484" t="str">
        <f t="shared" si="206"/>
        <v>RECEITAS COM ENTREGAS</v>
      </c>
      <c r="P484">
        <v>792.45</v>
      </c>
      <c r="Q484" t="str">
        <f>"DROGARIA ANA VISCONDE DO RIO BRANCO (10182)"</f>
        <v>DROGARIA ANA VISCONDE DO RIO BRANCO (10182)</v>
      </c>
      <c r="R484" t="str">
        <f t="shared" si="207"/>
        <v>RECEITAS COM ENTREGAS (303)</v>
      </c>
      <c r="S484">
        <v>2966</v>
      </c>
      <c r="T484">
        <v>2495</v>
      </c>
      <c r="U484" t="s">
        <v>21</v>
      </c>
    </row>
    <row r="485" spans="1:21">
      <c r="A485" t="str">
        <f t="shared" si="201"/>
        <v>13/11/2025</v>
      </c>
      <c r="B485" t="str">
        <f t="shared" si="203"/>
        <v>ENTRADA</v>
      </c>
      <c r="C485" t="str">
        <f t="shared" si="204"/>
        <v>NFSE</v>
      </c>
      <c r="D485" t="str">
        <f>"3770"</f>
        <v>3770</v>
      </c>
      <c r="E485" t="str">
        <f t="shared" si="193"/>
        <v>COM</v>
      </c>
      <c r="F485" t="str">
        <f>"PENSE FARMA 49 (10234)"</f>
        <v>PENSE FARMA 49 (10234)</v>
      </c>
      <c r="G485" t="str">
        <f>"Serv.Prest. 03/11/2025 a 09/11/2025 - RPS: 1533 - NFSe: 3770"</f>
        <v>Serv.Prest. 03/11/2025 a 09/11/2025 - RPS: 1533 - NFSe: 3770</v>
      </c>
      <c r="H485" t="str">
        <f t="shared" si="205"/>
        <v>12/11/2025</v>
      </c>
      <c r="I485" t="str">
        <f t="shared" si="200"/>
        <v>10/11/2025</v>
      </c>
      <c r="J485" t="str">
        <f t="shared" si="202"/>
        <v>13/11/2025</v>
      </c>
      <c r="K485">
        <v>171.36</v>
      </c>
      <c r="L485">
        <v>171.36</v>
      </c>
      <c r="M485">
        <v>303</v>
      </c>
      <c r="N485" t="str">
        <f t="shared" si="206"/>
        <v>RECEITAS COM ENTREGAS</v>
      </c>
      <c r="O485">
        <v>171.36</v>
      </c>
      <c r="R485" t="str">
        <f t="shared" si="207"/>
        <v>RECEITAS COM ENTREGAS (303)</v>
      </c>
      <c r="S485">
        <v>2967</v>
      </c>
      <c r="T485">
        <v>2479</v>
      </c>
      <c r="U485" t="s">
        <v>21</v>
      </c>
    </row>
    <row r="486" spans="1:21">
      <c r="A486" t="str">
        <f t="shared" si="201"/>
        <v>13/11/2025</v>
      </c>
      <c r="B486" t="str">
        <f t="shared" si="203"/>
        <v>ENTRADA</v>
      </c>
      <c r="C486" t="str">
        <f t="shared" si="204"/>
        <v>NFSE</v>
      </c>
      <c r="D486" t="str">
        <f>"3770"</f>
        <v>3770</v>
      </c>
      <c r="E486" t="str">
        <f t="shared" si="193"/>
        <v>COM</v>
      </c>
      <c r="F486" t="str">
        <f>"PENSE FARMA 49 (10234)"</f>
        <v>PENSE FARMA 49 (10234)</v>
      </c>
      <c r="G486" t="str">
        <f>"Serv.Prest. 03/11/2025 a 09/11/2025 - RPS: 1533 - NFSe: 3770"</f>
        <v>Serv.Prest. 03/11/2025 a 09/11/2025 - RPS: 1533 - NFSe: 3770</v>
      </c>
      <c r="H486" t="str">
        <f t="shared" si="205"/>
        <v>12/11/2025</v>
      </c>
      <c r="I486" t="str">
        <f t="shared" si="200"/>
        <v>10/11/2025</v>
      </c>
      <c r="J486" t="str">
        <f t="shared" si="202"/>
        <v>13/11/2025</v>
      </c>
      <c r="M486">
        <v>303</v>
      </c>
      <c r="N486" t="str">
        <f t="shared" si="206"/>
        <v>RECEITAS COM ENTREGAS</v>
      </c>
      <c r="P486">
        <v>171.36</v>
      </c>
      <c r="Q486" t="str">
        <f>"PENSE FARMA 49 (10234)"</f>
        <v>PENSE FARMA 49 (10234)</v>
      </c>
      <c r="R486" t="str">
        <f t="shared" si="207"/>
        <v>RECEITAS COM ENTREGAS (303)</v>
      </c>
      <c r="S486">
        <v>2967</v>
      </c>
      <c r="T486">
        <v>2479</v>
      </c>
      <c r="U486" t="s">
        <v>21</v>
      </c>
    </row>
    <row r="487" spans="1:21">
      <c r="A487" t="str">
        <f t="shared" si="201"/>
        <v>13/11/2025</v>
      </c>
      <c r="B487" t="str">
        <f t="shared" si="203"/>
        <v>ENTRADA</v>
      </c>
      <c r="C487" t="str">
        <f t="shared" si="204"/>
        <v>NFSE</v>
      </c>
      <c r="D487" t="str">
        <f>"3782"</f>
        <v>3782</v>
      </c>
      <c r="E487" t="str">
        <f t="shared" si="193"/>
        <v>COM</v>
      </c>
      <c r="F487" t="str">
        <f>"PENSE FARMA 22 (10198)"</f>
        <v>PENSE FARMA 22 (10198)</v>
      </c>
      <c r="G487" t="str">
        <f>"Serv.Prest. 03/11/2025 a 09/11/2025 - RPS: 1545 - NFSe: 3782"</f>
        <v>Serv.Prest. 03/11/2025 a 09/11/2025 - RPS: 1545 - NFSe: 3782</v>
      </c>
      <c r="H487" t="str">
        <f t="shared" si="205"/>
        <v>12/11/2025</v>
      </c>
      <c r="I487" t="str">
        <f t="shared" si="200"/>
        <v>10/11/2025</v>
      </c>
      <c r="J487" t="str">
        <f t="shared" si="202"/>
        <v>13/11/2025</v>
      </c>
      <c r="K487">
        <v>573.88</v>
      </c>
      <c r="L487">
        <v>573.88</v>
      </c>
      <c r="M487">
        <v>303</v>
      </c>
      <c r="N487" t="str">
        <f t="shared" si="206"/>
        <v>RECEITAS COM ENTREGAS</v>
      </c>
      <c r="O487">
        <v>573.88</v>
      </c>
      <c r="R487" t="str">
        <f t="shared" si="207"/>
        <v>RECEITAS COM ENTREGAS (303)</v>
      </c>
      <c r="S487">
        <v>2968</v>
      </c>
      <c r="T487">
        <v>2491</v>
      </c>
      <c r="U487" t="s">
        <v>21</v>
      </c>
    </row>
    <row r="488" spans="1:21">
      <c r="A488" t="str">
        <f t="shared" si="201"/>
        <v>13/11/2025</v>
      </c>
      <c r="B488" t="str">
        <f t="shared" si="203"/>
        <v>ENTRADA</v>
      </c>
      <c r="C488" t="str">
        <f t="shared" si="204"/>
        <v>NFSE</v>
      </c>
      <c r="D488" t="str">
        <f>"3782"</f>
        <v>3782</v>
      </c>
      <c r="E488" t="str">
        <f t="shared" si="193"/>
        <v>COM</v>
      </c>
      <c r="F488" t="str">
        <f>"PENSE FARMA 22 (10198)"</f>
        <v>PENSE FARMA 22 (10198)</v>
      </c>
      <c r="G488" t="str">
        <f>"Serv.Prest. 03/11/2025 a 09/11/2025 - RPS: 1545 - NFSe: 3782"</f>
        <v>Serv.Prest. 03/11/2025 a 09/11/2025 - RPS: 1545 - NFSe: 3782</v>
      </c>
      <c r="H488" t="str">
        <f t="shared" si="205"/>
        <v>12/11/2025</v>
      </c>
      <c r="I488" t="str">
        <f t="shared" si="200"/>
        <v>10/11/2025</v>
      </c>
      <c r="J488" t="str">
        <f t="shared" si="202"/>
        <v>13/11/2025</v>
      </c>
      <c r="M488">
        <v>303</v>
      </c>
      <c r="N488" t="str">
        <f t="shared" si="206"/>
        <v>RECEITAS COM ENTREGAS</v>
      </c>
      <c r="P488">
        <v>573.88</v>
      </c>
      <c r="Q488" t="str">
        <f>"PENSE FARMA 22 (10198)"</f>
        <v>PENSE FARMA 22 (10198)</v>
      </c>
      <c r="R488" t="str">
        <f t="shared" si="207"/>
        <v>RECEITAS COM ENTREGAS (303)</v>
      </c>
      <c r="S488">
        <v>2968</v>
      </c>
      <c r="T488">
        <v>2491</v>
      </c>
      <c r="U488" t="s">
        <v>21</v>
      </c>
    </row>
    <row r="489" spans="1:21">
      <c r="A489" t="str">
        <f t="shared" si="201"/>
        <v>13/11/2025</v>
      </c>
      <c r="B489" t="str">
        <f t="shared" si="203"/>
        <v>ENTRADA</v>
      </c>
      <c r="C489" t="str">
        <f t="shared" si="204"/>
        <v>NFSE</v>
      </c>
      <c r="D489" t="str">
        <f>"3768"</f>
        <v>3768</v>
      </c>
      <c r="E489" t="str">
        <f t="shared" si="193"/>
        <v>COM</v>
      </c>
      <c r="F489" t="str">
        <f>"PENSE FARMA 31 (10205)"</f>
        <v>PENSE FARMA 31 (10205)</v>
      </c>
      <c r="G489" t="str">
        <f>"Serv.Prest. 03/11/2025 a 09/11/2025 - RPS: 1531 - NFSe: 3768"</f>
        <v>Serv.Prest. 03/11/2025 a 09/11/2025 - RPS: 1531 - NFSe: 3768</v>
      </c>
      <c r="H489" t="str">
        <f t="shared" si="205"/>
        <v>12/11/2025</v>
      </c>
      <c r="I489" t="str">
        <f t="shared" si="200"/>
        <v>10/11/2025</v>
      </c>
      <c r="J489" t="str">
        <f t="shared" si="202"/>
        <v>13/11/2025</v>
      </c>
      <c r="K489">
        <v>283.94</v>
      </c>
      <c r="L489">
        <v>283.94</v>
      </c>
      <c r="M489">
        <v>303</v>
      </c>
      <c r="N489" t="str">
        <f t="shared" si="206"/>
        <v>RECEITAS COM ENTREGAS</v>
      </c>
      <c r="O489">
        <v>283.94</v>
      </c>
      <c r="R489" t="str">
        <f t="shared" si="207"/>
        <v>RECEITAS COM ENTREGAS (303)</v>
      </c>
      <c r="S489">
        <v>2969</v>
      </c>
      <c r="T489">
        <v>2477</v>
      </c>
      <c r="U489" t="s">
        <v>21</v>
      </c>
    </row>
    <row r="490" spans="1:21">
      <c r="A490" t="str">
        <f t="shared" si="201"/>
        <v>13/11/2025</v>
      </c>
      <c r="B490" t="str">
        <f t="shared" si="203"/>
        <v>ENTRADA</v>
      </c>
      <c r="C490" t="str">
        <f t="shared" si="204"/>
        <v>NFSE</v>
      </c>
      <c r="D490" t="str">
        <f>"3768"</f>
        <v>3768</v>
      </c>
      <c r="E490" t="str">
        <f t="shared" si="193"/>
        <v>COM</v>
      </c>
      <c r="F490" t="str">
        <f>"PENSE FARMA 31 (10205)"</f>
        <v>PENSE FARMA 31 (10205)</v>
      </c>
      <c r="G490" t="str">
        <f>"Serv.Prest. 03/11/2025 a 09/11/2025 - RPS: 1531 - NFSe: 3768"</f>
        <v>Serv.Prest. 03/11/2025 a 09/11/2025 - RPS: 1531 - NFSe: 3768</v>
      </c>
      <c r="H490" t="str">
        <f t="shared" si="205"/>
        <v>12/11/2025</v>
      </c>
      <c r="I490" t="str">
        <f t="shared" si="200"/>
        <v>10/11/2025</v>
      </c>
      <c r="J490" t="str">
        <f t="shared" si="202"/>
        <v>13/11/2025</v>
      </c>
      <c r="M490">
        <v>303</v>
      </c>
      <c r="N490" t="str">
        <f t="shared" si="206"/>
        <v>RECEITAS COM ENTREGAS</v>
      </c>
      <c r="P490">
        <v>94.24</v>
      </c>
      <c r="Q490" t="str">
        <f>"PENSE FARMA 31 (10205)"</f>
        <v>PENSE FARMA 31 (10205)</v>
      </c>
      <c r="R490" t="str">
        <f t="shared" si="207"/>
        <v>RECEITAS COM ENTREGAS (303)</v>
      </c>
      <c r="S490">
        <v>2969</v>
      </c>
      <c r="T490">
        <v>2477</v>
      </c>
      <c r="U490" t="s">
        <v>21</v>
      </c>
    </row>
    <row r="491" spans="1:21">
      <c r="A491" t="str">
        <f t="shared" si="201"/>
        <v>13/11/2025</v>
      </c>
      <c r="B491" t="str">
        <f t="shared" si="203"/>
        <v>ENTRADA</v>
      </c>
      <c r="C491" t="str">
        <f t="shared" si="204"/>
        <v>NFSE</v>
      </c>
      <c r="D491" t="str">
        <f>"3768"</f>
        <v>3768</v>
      </c>
      <c r="E491" t="str">
        <f t="shared" si="193"/>
        <v>COM</v>
      </c>
      <c r="F491" t="str">
        <f>"PENSE FARMA 31 (10205)"</f>
        <v>PENSE FARMA 31 (10205)</v>
      </c>
      <c r="G491" t="str">
        <f>"Serv.Prest. 03/11/2025 a 09/11/2025 - RPS: 1531 - NFSe: 3768"</f>
        <v>Serv.Prest. 03/11/2025 a 09/11/2025 - RPS: 1531 - NFSe: 3768</v>
      </c>
      <c r="H491" t="str">
        <f t="shared" si="205"/>
        <v>12/11/2025</v>
      </c>
      <c r="I491" t="str">
        <f t="shared" si="200"/>
        <v>10/11/2025</v>
      </c>
      <c r="J491" t="str">
        <f t="shared" si="202"/>
        <v>13/11/2025</v>
      </c>
      <c r="M491">
        <v>303</v>
      </c>
      <c r="N491" t="str">
        <f t="shared" si="206"/>
        <v>RECEITAS COM ENTREGAS</v>
      </c>
      <c r="P491">
        <v>95.43</v>
      </c>
      <c r="Q491" t="str">
        <f>"PENSE FARMA 16 (10221)"</f>
        <v>PENSE FARMA 16 (10221)</v>
      </c>
      <c r="R491" t="str">
        <f t="shared" si="207"/>
        <v>RECEITAS COM ENTREGAS (303)</v>
      </c>
      <c r="S491">
        <v>2969</v>
      </c>
      <c r="T491">
        <v>2477</v>
      </c>
      <c r="U491" t="s">
        <v>21</v>
      </c>
    </row>
    <row r="492" spans="1:21">
      <c r="A492" t="str">
        <f t="shared" si="201"/>
        <v>13/11/2025</v>
      </c>
      <c r="B492" t="str">
        <f t="shared" si="203"/>
        <v>ENTRADA</v>
      </c>
      <c r="C492" t="str">
        <f t="shared" si="204"/>
        <v>NFSE</v>
      </c>
      <c r="D492" t="str">
        <f>"3768"</f>
        <v>3768</v>
      </c>
      <c r="E492" t="str">
        <f t="shared" si="193"/>
        <v>COM</v>
      </c>
      <c r="F492" t="str">
        <f>"PENSE FARMA 31 (10205)"</f>
        <v>PENSE FARMA 31 (10205)</v>
      </c>
      <c r="G492" t="str">
        <f>"Serv.Prest. 03/11/2025 a 09/11/2025 - RPS: 1531 - NFSe: 3768"</f>
        <v>Serv.Prest. 03/11/2025 a 09/11/2025 - RPS: 1531 - NFSe: 3768</v>
      </c>
      <c r="H492" t="str">
        <f t="shared" si="205"/>
        <v>12/11/2025</v>
      </c>
      <c r="I492" t="str">
        <f t="shared" si="200"/>
        <v>10/11/2025</v>
      </c>
      <c r="J492" t="str">
        <f t="shared" si="202"/>
        <v>13/11/2025</v>
      </c>
      <c r="M492">
        <v>303</v>
      </c>
      <c r="N492" t="str">
        <f t="shared" si="206"/>
        <v>RECEITAS COM ENTREGAS</v>
      </c>
      <c r="P492">
        <v>94.27</v>
      </c>
      <c r="Q492" t="str">
        <f>"PENSE FARMA 17 (10222)"</f>
        <v>PENSE FARMA 17 (10222)</v>
      </c>
      <c r="R492" t="str">
        <f t="shared" si="207"/>
        <v>RECEITAS COM ENTREGAS (303)</v>
      </c>
      <c r="S492">
        <v>2969</v>
      </c>
      <c r="T492">
        <v>2477</v>
      </c>
      <c r="U492" t="s">
        <v>21</v>
      </c>
    </row>
    <row r="493" spans="1:21">
      <c r="A493" t="str">
        <f t="shared" si="201"/>
        <v>13/11/2025</v>
      </c>
      <c r="B493" t="str">
        <f t="shared" si="203"/>
        <v>ENTRADA</v>
      </c>
      <c r="C493" t="str">
        <f t="shared" si="204"/>
        <v>NFSE</v>
      </c>
      <c r="D493" t="str">
        <f t="shared" ref="D493:D499" si="208">"3783"</f>
        <v>3783</v>
      </c>
      <c r="E493" t="str">
        <f t="shared" si="193"/>
        <v>COM</v>
      </c>
      <c r="F493" t="str">
        <f t="shared" ref="F493:F499" si="209">"PENSE FARMA 36 (10206)"</f>
        <v>PENSE FARMA 36 (10206)</v>
      </c>
      <c r="G493" t="str">
        <f t="shared" ref="G493:G499" si="210">"Serv.Prest. 03/11/2025 a 09/11/2025 - RPS: 1546 - NFSe: 3783"</f>
        <v>Serv.Prest. 03/11/2025 a 09/11/2025 - RPS: 1546 - NFSe: 3783</v>
      </c>
      <c r="H493" t="str">
        <f t="shared" si="205"/>
        <v>12/11/2025</v>
      </c>
      <c r="I493" t="str">
        <f t="shared" si="200"/>
        <v>10/11/2025</v>
      </c>
      <c r="J493" t="str">
        <f t="shared" si="202"/>
        <v>13/11/2025</v>
      </c>
      <c r="K493">
        <v>851.64</v>
      </c>
      <c r="L493">
        <v>851.64</v>
      </c>
      <c r="M493">
        <v>303</v>
      </c>
      <c r="N493" t="str">
        <f t="shared" si="206"/>
        <v>RECEITAS COM ENTREGAS</v>
      </c>
      <c r="O493">
        <v>851.64</v>
      </c>
      <c r="R493" t="str">
        <f t="shared" si="207"/>
        <v>RECEITAS COM ENTREGAS (303)</v>
      </c>
      <c r="S493">
        <v>2970</v>
      </c>
      <c r="T493">
        <v>2492</v>
      </c>
      <c r="U493" t="s">
        <v>21</v>
      </c>
    </row>
    <row r="494" spans="1:21">
      <c r="A494" t="str">
        <f t="shared" si="201"/>
        <v>13/11/2025</v>
      </c>
      <c r="B494" t="str">
        <f t="shared" si="203"/>
        <v>ENTRADA</v>
      </c>
      <c r="C494" t="str">
        <f t="shared" si="204"/>
        <v>NFSE</v>
      </c>
      <c r="D494" t="str">
        <f t="shared" si="208"/>
        <v>3783</v>
      </c>
      <c r="E494" t="str">
        <f t="shared" si="193"/>
        <v>COM</v>
      </c>
      <c r="F494" t="str">
        <f t="shared" si="209"/>
        <v>PENSE FARMA 36 (10206)</v>
      </c>
      <c r="G494" t="str">
        <f t="shared" si="210"/>
        <v>Serv.Prest. 03/11/2025 a 09/11/2025 - RPS: 1546 - NFSe: 3783</v>
      </c>
      <c r="H494" t="str">
        <f t="shared" si="205"/>
        <v>12/11/2025</v>
      </c>
      <c r="I494" t="str">
        <f t="shared" si="200"/>
        <v>10/11/2025</v>
      </c>
      <c r="J494" t="str">
        <f t="shared" si="202"/>
        <v>13/11/2025</v>
      </c>
      <c r="M494">
        <v>303</v>
      </c>
      <c r="N494" t="str">
        <f t="shared" si="206"/>
        <v>RECEITAS COM ENTREGAS</v>
      </c>
      <c r="P494">
        <v>141.79</v>
      </c>
      <c r="Q494" t="str">
        <f>"PENSE FARMA 20 (10203)"</f>
        <v>PENSE FARMA 20 (10203)</v>
      </c>
      <c r="R494" t="str">
        <f t="shared" si="207"/>
        <v>RECEITAS COM ENTREGAS (303)</v>
      </c>
      <c r="S494">
        <v>2970</v>
      </c>
      <c r="T494">
        <v>2492</v>
      </c>
      <c r="U494" t="s">
        <v>21</v>
      </c>
    </row>
    <row r="495" spans="1:21">
      <c r="A495" t="str">
        <f t="shared" si="201"/>
        <v>13/11/2025</v>
      </c>
      <c r="B495" t="str">
        <f t="shared" si="203"/>
        <v>ENTRADA</v>
      </c>
      <c r="C495" t="str">
        <f t="shared" si="204"/>
        <v>NFSE</v>
      </c>
      <c r="D495" t="str">
        <f t="shared" si="208"/>
        <v>3783</v>
      </c>
      <c r="E495" t="str">
        <f t="shared" si="193"/>
        <v>COM</v>
      </c>
      <c r="F495" t="str">
        <f t="shared" si="209"/>
        <v>PENSE FARMA 36 (10206)</v>
      </c>
      <c r="G495" t="str">
        <f t="shared" si="210"/>
        <v>Serv.Prest. 03/11/2025 a 09/11/2025 - RPS: 1546 - NFSe: 3783</v>
      </c>
      <c r="H495" t="str">
        <f t="shared" si="205"/>
        <v>12/11/2025</v>
      </c>
      <c r="I495" t="str">
        <f t="shared" si="200"/>
        <v>10/11/2025</v>
      </c>
      <c r="J495" t="str">
        <f t="shared" si="202"/>
        <v>13/11/2025</v>
      </c>
      <c r="M495">
        <v>303</v>
      </c>
      <c r="N495" t="str">
        <f t="shared" si="206"/>
        <v>RECEITAS COM ENTREGAS</v>
      </c>
      <c r="P495">
        <v>141.80000000000001</v>
      </c>
      <c r="Q495" t="str">
        <f>"PENSE FARMA 36 (10206)"</f>
        <v>PENSE FARMA 36 (10206)</v>
      </c>
      <c r="R495" t="str">
        <f t="shared" si="207"/>
        <v>RECEITAS COM ENTREGAS (303)</v>
      </c>
      <c r="S495">
        <v>2970</v>
      </c>
      <c r="T495">
        <v>2492</v>
      </c>
      <c r="U495" t="s">
        <v>21</v>
      </c>
    </row>
    <row r="496" spans="1:21">
      <c r="A496" t="str">
        <f t="shared" si="201"/>
        <v>13/11/2025</v>
      </c>
      <c r="B496" t="str">
        <f t="shared" si="203"/>
        <v>ENTRADA</v>
      </c>
      <c r="C496" t="str">
        <f t="shared" si="204"/>
        <v>NFSE</v>
      </c>
      <c r="D496" t="str">
        <f t="shared" si="208"/>
        <v>3783</v>
      </c>
      <c r="E496" t="str">
        <f t="shared" si="193"/>
        <v>COM</v>
      </c>
      <c r="F496" t="str">
        <f t="shared" si="209"/>
        <v>PENSE FARMA 36 (10206)</v>
      </c>
      <c r="G496" t="str">
        <f t="shared" si="210"/>
        <v>Serv.Prest. 03/11/2025 a 09/11/2025 - RPS: 1546 - NFSe: 3783</v>
      </c>
      <c r="H496" t="str">
        <f t="shared" si="205"/>
        <v>12/11/2025</v>
      </c>
      <c r="I496" t="str">
        <f t="shared" si="200"/>
        <v>10/11/2025</v>
      </c>
      <c r="J496" t="str">
        <f t="shared" si="202"/>
        <v>13/11/2025</v>
      </c>
      <c r="M496">
        <v>303</v>
      </c>
      <c r="N496" t="str">
        <f t="shared" si="206"/>
        <v>RECEITAS COM ENTREGAS</v>
      </c>
      <c r="P496">
        <v>141.80000000000001</v>
      </c>
      <c r="Q496" t="str">
        <f>"PENSE FARMA 40 (10207)"</f>
        <v>PENSE FARMA 40 (10207)</v>
      </c>
      <c r="R496" t="str">
        <f t="shared" si="207"/>
        <v>RECEITAS COM ENTREGAS (303)</v>
      </c>
      <c r="S496">
        <v>2970</v>
      </c>
      <c r="T496">
        <v>2492</v>
      </c>
      <c r="U496" t="s">
        <v>21</v>
      </c>
    </row>
    <row r="497" spans="1:21">
      <c r="A497" t="str">
        <f t="shared" si="201"/>
        <v>13/11/2025</v>
      </c>
      <c r="B497" t="str">
        <f t="shared" si="203"/>
        <v>ENTRADA</v>
      </c>
      <c r="C497" t="str">
        <f t="shared" si="204"/>
        <v>NFSE</v>
      </c>
      <c r="D497" t="str">
        <f t="shared" si="208"/>
        <v>3783</v>
      </c>
      <c r="E497" t="str">
        <f t="shared" si="193"/>
        <v>COM</v>
      </c>
      <c r="F497" t="str">
        <f t="shared" si="209"/>
        <v>PENSE FARMA 36 (10206)</v>
      </c>
      <c r="G497" t="str">
        <f t="shared" si="210"/>
        <v>Serv.Prest. 03/11/2025 a 09/11/2025 - RPS: 1546 - NFSe: 3783</v>
      </c>
      <c r="H497" t="str">
        <f t="shared" si="205"/>
        <v>12/11/2025</v>
      </c>
      <c r="I497" t="str">
        <f t="shared" si="200"/>
        <v>10/11/2025</v>
      </c>
      <c r="J497" t="str">
        <f t="shared" si="202"/>
        <v>13/11/2025</v>
      </c>
      <c r="M497">
        <v>303</v>
      </c>
      <c r="N497" t="str">
        <f t="shared" si="206"/>
        <v>RECEITAS COM ENTREGAS</v>
      </c>
      <c r="P497">
        <v>141.80000000000001</v>
      </c>
      <c r="Q497" t="str">
        <f>"PENSE FARMA 43 (10208)"</f>
        <v>PENSE FARMA 43 (10208)</v>
      </c>
      <c r="R497" t="str">
        <f t="shared" si="207"/>
        <v>RECEITAS COM ENTREGAS (303)</v>
      </c>
      <c r="S497">
        <v>2970</v>
      </c>
      <c r="T497">
        <v>2492</v>
      </c>
      <c r="U497" t="s">
        <v>21</v>
      </c>
    </row>
    <row r="498" spans="1:21">
      <c r="A498" t="str">
        <f t="shared" si="201"/>
        <v>13/11/2025</v>
      </c>
      <c r="B498" t="str">
        <f t="shared" si="203"/>
        <v>ENTRADA</v>
      </c>
      <c r="C498" t="str">
        <f t="shared" si="204"/>
        <v>NFSE</v>
      </c>
      <c r="D498" t="str">
        <f t="shared" si="208"/>
        <v>3783</v>
      </c>
      <c r="E498" t="str">
        <f t="shared" si="193"/>
        <v>COM</v>
      </c>
      <c r="F498" t="str">
        <f t="shared" si="209"/>
        <v>PENSE FARMA 36 (10206)</v>
      </c>
      <c r="G498" t="str">
        <f t="shared" si="210"/>
        <v>Serv.Prest. 03/11/2025 a 09/11/2025 - RPS: 1546 - NFSe: 3783</v>
      </c>
      <c r="H498" t="str">
        <f t="shared" si="205"/>
        <v>12/11/2025</v>
      </c>
      <c r="I498" t="str">
        <f t="shared" si="200"/>
        <v>10/11/2025</v>
      </c>
      <c r="J498" t="str">
        <f t="shared" si="202"/>
        <v>13/11/2025</v>
      </c>
      <c r="M498">
        <v>303</v>
      </c>
      <c r="N498" t="str">
        <f t="shared" si="206"/>
        <v>RECEITAS COM ENTREGAS</v>
      </c>
      <c r="P498">
        <v>141.80000000000001</v>
      </c>
      <c r="Q498" t="str">
        <f>"PENSE FARMA 59 (10211)"</f>
        <v>PENSE FARMA 59 (10211)</v>
      </c>
      <c r="R498" t="str">
        <f t="shared" si="207"/>
        <v>RECEITAS COM ENTREGAS (303)</v>
      </c>
      <c r="S498">
        <v>2970</v>
      </c>
      <c r="T498">
        <v>2492</v>
      </c>
      <c r="U498" t="s">
        <v>21</v>
      </c>
    </row>
    <row r="499" spans="1:21">
      <c r="A499" t="str">
        <f t="shared" si="201"/>
        <v>13/11/2025</v>
      </c>
      <c r="B499" t="str">
        <f t="shared" si="203"/>
        <v>ENTRADA</v>
      </c>
      <c r="C499" t="str">
        <f t="shared" si="204"/>
        <v>NFSE</v>
      </c>
      <c r="D499" t="str">
        <f t="shared" si="208"/>
        <v>3783</v>
      </c>
      <c r="E499" t="str">
        <f t="shared" si="193"/>
        <v>COM</v>
      </c>
      <c r="F499" t="str">
        <f t="shared" si="209"/>
        <v>PENSE FARMA 36 (10206)</v>
      </c>
      <c r="G499" t="str">
        <f t="shared" si="210"/>
        <v>Serv.Prest. 03/11/2025 a 09/11/2025 - RPS: 1546 - NFSe: 3783</v>
      </c>
      <c r="H499" t="str">
        <f t="shared" si="205"/>
        <v>12/11/2025</v>
      </c>
      <c r="I499" t="str">
        <f t="shared" si="200"/>
        <v>10/11/2025</v>
      </c>
      <c r="J499" t="str">
        <f t="shared" si="202"/>
        <v>13/11/2025</v>
      </c>
      <c r="M499">
        <v>303</v>
      </c>
      <c r="N499" t="str">
        <f t="shared" si="206"/>
        <v>RECEITAS COM ENTREGAS</v>
      </c>
      <c r="P499">
        <v>142.65</v>
      </c>
      <c r="Q499" t="str">
        <f>"PENSE FARMA DARK STORE 361 (10212)"</f>
        <v>PENSE FARMA DARK STORE 361 (10212)</v>
      </c>
      <c r="R499" t="str">
        <f t="shared" si="207"/>
        <v>RECEITAS COM ENTREGAS (303)</v>
      </c>
      <c r="S499">
        <v>2970</v>
      </c>
      <c r="T499">
        <v>2492</v>
      </c>
      <c r="U499" t="s">
        <v>21</v>
      </c>
    </row>
    <row r="500" spans="1:21">
      <c r="A500" t="str">
        <f t="shared" si="201"/>
        <v>13/11/2025</v>
      </c>
      <c r="B500" t="str">
        <f t="shared" si="203"/>
        <v>ENTRADA</v>
      </c>
      <c r="C500" t="str">
        <f t="shared" si="204"/>
        <v>NFSE</v>
      </c>
      <c r="D500" t="str">
        <f>"3763"</f>
        <v>3763</v>
      </c>
      <c r="E500" t="str">
        <f t="shared" si="193"/>
        <v>COM</v>
      </c>
      <c r="F500" t="str">
        <f>"AC FARMA - FLEMINFARMA (10160)"</f>
        <v>AC FARMA - FLEMINFARMA (10160)</v>
      </c>
      <c r="G500" t="str">
        <f>"Serv.Prest. 27/10/2025 a 02/11/2025 - RPS: 1526 - NFSe: 3763"</f>
        <v>Serv.Prest. 27/10/2025 a 02/11/2025 - RPS: 1526 - NFSe: 3763</v>
      </c>
      <c r="H500" t="str">
        <f t="shared" si="205"/>
        <v>12/11/2025</v>
      </c>
      <c r="I500" t="str">
        <f>("05/11/2025")</f>
        <v>05/11/2025</v>
      </c>
      <c r="J500" t="str">
        <f t="shared" si="202"/>
        <v>13/11/2025</v>
      </c>
      <c r="K500">
        <v>241.65</v>
      </c>
      <c r="L500">
        <v>241.65</v>
      </c>
      <c r="M500">
        <v>303</v>
      </c>
      <c r="N500" t="str">
        <f t="shared" si="206"/>
        <v>RECEITAS COM ENTREGAS</v>
      </c>
      <c r="O500">
        <v>241.65</v>
      </c>
      <c r="R500" t="str">
        <f t="shared" si="207"/>
        <v>RECEITAS COM ENTREGAS (303)</v>
      </c>
      <c r="S500">
        <v>2971</v>
      </c>
      <c r="T500">
        <v>2458</v>
      </c>
      <c r="U500" t="s">
        <v>21</v>
      </c>
    </row>
    <row r="501" spans="1:21">
      <c r="A501" t="str">
        <f t="shared" si="201"/>
        <v>13/11/2025</v>
      </c>
      <c r="B501" t="str">
        <f t="shared" si="203"/>
        <v>ENTRADA</v>
      </c>
      <c r="C501" t="str">
        <f t="shared" si="204"/>
        <v>NFSE</v>
      </c>
      <c r="D501" t="str">
        <f>"3763"</f>
        <v>3763</v>
      </c>
      <c r="E501" t="str">
        <f t="shared" si="193"/>
        <v>COM</v>
      </c>
      <c r="F501" t="str">
        <f>"AC FARMA - FLEMINFARMA (10160)"</f>
        <v>AC FARMA - FLEMINFARMA (10160)</v>
      </c>
      <c r="G501" t="str">
        <f>"Serv.Prest. 27/10/2025 a 02/11/2025 - RPS: 1526 - NFSe: 3763"</f>
        <v>Serv.Prest. 27/10/2025 a 02/11/2025 - RPS: 1526 - NFSe: 3763</v>
      </c>
      <c r="H501" t="str">
        <f t="shared" si="205"/>
        <v>12/11/2025</v>
      </c>
      <c r="I501" t="str">
        <f>("05/11/2025")</f>
        <v>05/11/2025</v>
      </c>
      <c r="J501" t="str">
        <f t="shared" si="202"/>
        <v>13/11/2025</v>
      </c>
      <c r="M501">
        <v>303</v>
      </c>
      <c r="N501" t="str">
        <f t="shared" si="206"/>
        <v>RECEITAS COM ENTREGAS</v>
      </c>
      <c r="P501">
        <v>234.91</v>
      </c>
      <c r="Q501" t="str">
        <f>"AC FARMA -  FLEMINFARMA (10159)"</f>
        <v>AC FARMA -  FLEMINFARMA (10159)</v>
      </c>
      <c r="R501" t="str">
        <f t="shared" si="207"/>
        <v>RECEITAS COM ENTREGAS (303)</v>
      </c>
      <c r="S501">
        <v>2971</v>
      </c>
      <c r="T501">
        <v>2458</v>
      </c>
      <c r="U501" t="s">
        <v>21</v>
      </c>
    </row>
    <row r="502" spans="1:21">
      <c r="A502" t="str">
        <f t="shared" si="201"/>
        <v>13/11/2025</v>
      </c>
      <c r="B502" t="str">
        <f t="shared" si="203"/>
        <v>ENTRADA</v>
      </c>
      <c r="C502" t="str">
        <f t="shared" si="204"/>
        <v>NFSE</v>
      </c>
      <c r="D502" t="str">
        <f>"3763"</f>
        <v>3763</v>
      </c>
      <c r="E502" t="str">
        <f t="shared" si="193"/>
        <v>COM</v>
      </c>
      <c r="F502" t="str">
        <f>"AC FARMA - FLEMINFARMA (10160)"</f>
        <v>AC FARMA - FLEMINFARMA (10160)</v>
      </c>
      <c r="G502" t="str">
        <f>"Serv.Prest. 27/10/2025 a 02/11/2025 - RPS: 1526 - NFSe: 3763"</f>
        <v>Serv.Prest. 27/10/2025 a 02/11/2025 - RPS: 1526 - NFSe: 3763</v>
      </c>
      <c r="H502" t="str">
        <f t="shared" si="205"/>
        <v>12/11/2025</v>
      </c>
      <c r="I502" t="str">
        <f>("05/11/2025")</f>
        <v>05/11/2025</v>
      </c>
      <c r="J502" t="str">
        <f t="shared" si="202"/>
        <v>13/11/2025</v>
      </c>
      <c r="M502">
        <v>303</v>
      </c>
      <c r="N502" t="str">
        <f t="shared" si="206"/>
        <v>RECEITAS COM ENTREGAS</v>
      </c>
      <c r="P502">
        <v>6.74</v>
      </c>
      <c r="Q502" t="str">
        <f>"AC FARMA - FLEMINFARMA (10160)"</f>
        <v>AC FARMA - FLEMINFARMA (10160)</v>
      </c>
      <c r="R502" t="str">
        <f t="shared" si="207"/>
        <v>RECEITAS COM ENTREGAS (303)</v>
      </c>
      <c r="S502">
        <v>2971</v>
      </c>
      <c r="T502">
        <v>2458</v>
      </c>
      <c r="U502" t="s">
        <v>21</v>
      </c>
    </row>
    <row r="503" spans="1:21">
      <c r="A503" t="str">
        <f t="shared" si="201"/>
        <v>13/11/2025</v>
      </c>
      <c r="B503" t="str">
        <f t="shared" si="203"/>
        <v>ENTRADA</v>
      </c>
      <c r="C503" t="str">
        <f t="shared" si="204"/>
        <v>NFSE</v>
      </c>
      <c r="D503" t="str">
        <f>"3771"</f>
        <v>3771</v>
      </c>
      <c r="E503" t="str">
        <f t="shared" si="193"/>
        <v>COM</v>
      </c>
      <c r="F503" t="str">
        <f>"PENSE FARMA 39 (10228)"</f>
        <v>PENSE FARMA 39 (10228)</v>
      </c>
      <c r="G503" t="str">
        <f>"Serv.Prest. 03/11/2025 a 09/11/2025 - RPS: 1534 - NFSe: 3771"</f>
        <v>Serv.Prest. 03/11/2025 a 09/11/2025 - RPS: 1534 - NFSe: 3771</v>
      </c>
      <c r="H503" t="str">
        <f t="shared" si="205"/>
        <v>12/11/2025</v>
      </c>
      <c r="I503" t="str">
        <f t="shared" ref="I503:I527" si="211">("10/11/2025")</f>
        <v>10/11/2025</v>
      </c>
      <c r="J503" t="str">
        <f t="shared" si="202"/>
        <v>13/11/2025</v>
      </c>
      <c r="K503">
        <v>557.12</v>
      </c>
      <c r="L503">
        <v>557.12</v>
      </c>
      <c r="M503">
        <v>303</v>
      </c>
      <c r="N503" t="str">
        <f t="shared" si="206"/>
        <v>RECEITAS COM ENTREGAS</v>
      </c>
      <c r="O503">
        <v>557.12</v>
      </c>
      <c r="R503" t="str">
        <f t="shared" si="207"/>
        <v>RECEITAS COM ENTREGAS (303)</v>
      </c>
      <c r="S503">
        <v>2972</v>
      </c>
      <c r="T503">
        <v>2480</v>
      </c>
      <c r="U503" t="s">
        <v>21</v>
      </c>
    </row>
    <row r="504" spans="1:21">
      <c r="A504" t="str">
        <f t="shared" si="201"/>
        <v>13/11/2025</v>
      </c>
      <c r="B504" t="str">
        <f t="shared" si="203"/>
        <v>ENTRADA</v>
      </c>
      <c r="C504" t="str">
        <f t="shared" si="204"/>
        <v>NFSE</v>
      </c>
      <c r="D504" t="str">
        <f>"3771"</f>
        <v>3771</v>
      </c>
      <c r="E504" t="str">
        <f t="shared" si="193"/>
        <v>COM</v>
      </c>
      <c r="F504" t="str">
        <f>"PENSE FARMA 39 (10228)"</f>
        <v>PENSE FARMA 39 (10228)</v>
      </c>
      <c r="G504" t="str">
        <f>"Serv.Prest. 03/11/2025 a 09/11/2025 - RPS: 1534 - NFSe: 3771"</f>
        <v>Serv.Prest. 03/11/2025 a 09/11/2025 - RPS: 1534 - NFSe: 3771</v>
      </c>
      <c r="H504" t="str">
        <f t="shared" si="205"/>
        <v>12/11/2025</v>
      </c>
      <c r="I504" t="str">
        <f t="shared" si="211"/>
        <v>10/11/2025</v>
      </c>
      <c r="J504" t="str">
        <f t="shared" si="202"/>
        <v>13/11/2025</v>
      </c>
      <c r="M504">
        <v>303</v>
      </c>
      <c r="N504" t="str">
        <f t="shared" si="206"/>
        <v>RECEITAS COM ENTREGAS</v>
      </c>
      <c r="P504">
        <v>139.22999999999999</v>
      </c>
      <c r="Q504" t="str">
        <f>"PENSE FARMA 02 (10199)"</f>
        <v>PENSE FARMA 02 (10199)</v>
      </c>
      <c r="R504" t="str">
        <f t="shared" si="207"/>
        <v>RECEITAS COM ENTREGAS (303)</v>
      </c>
      <c r="S504">
        <v>2972</v>
      </c>
      <c r="T504">
        <v>2480</v>
      </c>
      <c r="U504" t="s">
        <v>21</v>
      </c>
    </row>
    <row r="505" spans="1:21">
      <c r="A505" t="str">
        <f t="shared" si="201"/>
        <v>13/11/2025</v>
      </c>
      <c r="B505" t="str">
        <f t="shared" si="203"/>
        <v>ENTRADA</v>
      </c>
      <c r="C505" t="str">
        <f t="shared" si="204"/>
        <v>NFSE</v>
      </c>
      <c r="D505" t="str">
        <f>"3771"</f>
        <v>3771</v>
      </c>
      <c r="E505" t="str">
        <f t="shared" si="193"/>
        <v>COM</v>
      </c>
      <c r="F505" t="str">
        <f>"PENSE FARMA 39 (10228)"</f>
        <v>PENSE FARMA 39 (10228)</v>
      </c>
      <c r="G505" t="str">
        <f>"Serv.Prest. 03/11/2025 a 09/11/2025 - RPS: 1534 - NFSe: 3771"</f>
        <v>Serv.Prest. 03/11/2025 a 09/11/2025 - RPS: 1534 - NFSe: 3771</v>
      </c>
      <c r="H505" t="str">
        <f t="shared" si="205"/>
        <v>12/11/2025</v>
      </c>
      <c r="I505" t="str">
        <f t="shared" si="211"/>
        <v>10/11/2025</v>
      </c>
      <c r="J505" t="str">
        <f t="shared" si="202"/>
        <v>13/11/2025</v>
      </c>
      <c r="M505">
        <v>303</v>
      </c>
      <c r="N505" t="str">
        <f t="shared" si="206"/>
        <v>RECEITAS COM ENTREGAS</v>
      </c>
      <c r="P505">
        <v>139.22</v>
      </c>
      <c r="Q505" t="str">
        <f>"PENSE FARMA 01 (10215)"</f>
        <v>PENSE FARMA 01 (10215)</v>
      </c>
      <c r="R505" t="str">
        <f t="shared" si="207"/>
        <v>RECEITAS COM ENTREGAS (303)</v>
      </c>
      <c r="S505">
        <v>2972</v>
      </c>
      <c r="T505">
        <v>2480</v>
      </c>
      <c r="U505" t="s">
        <v>21</v>
      </c>
    </row>
    <row r="506" spans="1:21">
      <c r="A506" t="str">
        <f t="shared" si="201"/>
        <v>13/11/2025</v>
      </c>
      <c r="B506" t="str">
        <f t="shared" si="203"/>
        <v>ENTRADA</v>
      </c>
      <c r="C506" t="str">
        <f t="shared" si="204"/>
        <v>NFSE</v>
      </c>
      <c r="D506" t="str">
        <f>"3771"</f>
        <v>3771</v>
      </c>
      <c r="E506" t="str">
        <f t="shared" si="193"/>
        <v>COM</v>
      </c>
      <c r="F506" t="str">
        <f>"PENSE FARMA 39 (10228)"</f>
        <v>PENSE FARMA 39 (10228)</v>
      </c>
      <c r="G506" t="str">
        <f>"Serv.Prest. 03/11/2025 a 09/11/2025 - RPS: 1534 - NFSe: 3771"</f>
        <v>Serv.Prest. 03/11/2025 a 09/11/2025 - RPS: 1534 - NFSe: 3771</v>
      </c>
      <c r="H506" t="str">
        <f t="shared" si="205"/>
        <v>12/11/2025</v>
      </c>
      <c r="I506" t="str">
        <f t="shared" si="211"/>
        <v>10/11/2025</v>
      </c>
      <c r="J506" t="str">
        <f t="shared" si="202"/>
        <v>13/11/2025</v>
      </c>
      <c r="M506">
        <v>303</v>
      </c>
      <c r="N506" t="str">
        <f t="shared" si="206"/>
        <v>RECEITAS COM ENTREGAS</v>
      </c>
      <c r="P506">
        <v>139.22</v>
      </c>
      <c r="Q506" t="str">
        <f>"PENSE FARMA 03 (10216)"</f>
        <v>PENSE FARMA 03 (10216)</v>
      </c>
      <c r="R506" t="str">
        <f t="shared" si="207"/>
        <v>RECEITAS COM ENTREGAS (303)</v>
      </c>
      <c r="S506">
        <v>2972</v>
      </c>
      <c r="T506">
        <v>2480</v>
      </c>
      <c r="U506" t="s">
        <v>21</v>
      </c>
    </row>
    <row r="507" spans="1:21">
      <c r="A507" t="str">
        <f t="shared" ref="A507:A538" si="212">("13/11/2025")</f>
        <v>13/11/2025</v>
      </c>
      <c r="B507" t="str">
        <f t="shared" si="203"/>
        <v>ENTRADA</v>
      </c>
      <c r="C507" t="str">
        <f t="shared" si="204"/>
        <v>NFSE</v>
      </c>
      <c r="D507" t="str">
        <f>"3771"</f>
        <v>3771</v>
      </c>
      <c r="E507" t="str">
        <f t="shared" si="193"/>
        <v>COM</v>
      </c>
      <c r="F507" t="str">
        <f>"PENSE FARMA 39 (10228)"</f>
        <v>PENSE FARMA 39 (10228)</v>
      </c>
      <c r="G507" t="str">
        <f>"Serv.Prest. 03/11/2025 a 09/11/2025 - RPS: 1534 - NFSe: 3771"</f>
        <v>Serv.Prest. 03/11/2025 a 09/11/2025 - RPS: 1534 - NFSe: 3771</v>
      </c>
      <c r="H507" t="str">
        <f t="shared" si="205"/>
        <v>12/11/2025</v>
      </c>
      <c r="I507" t="str">
        <f t="shared" si="211"/>
        <v>10/11/2025</v>
      </c>
      <c r="J507" t="str">
        <f t="shared" ref="J507:J538" si="213">("13/11/2025")</f>
        <v>13/11/2025</v>
      </c>
      <c r="M507">
        <v>303</v>
      </c>
      <c r="N507" t="str">
        <f t="shared" si="206"/>
        <v>RECEITAS COM ENTREGAS</v>
      </c>
      <c r="P507">
        <v>139.44999999999999</v>
      </c>
      <c r="Q507" t="str">
        <f>"PENSE FARMA 39 (10228)"</f>
        <v>PENSE FARMA 39 (10228)</v>
      </c>
      <c r="R507" t="str">
        <f t="shared" si="207"/>
        <v>RECEITAS COM ENTREGAS (303)</v>
      </c>
      <c r="S507">
        <v>2972</v>
      </c>
      <c r="T507">
        <v>2480</v>
      </c>
      <c r="U507" t="s">
        <v>21</v>
      </c>
    </row>
    <row r="508" spans="1:21">
      <c r="A508" t="str">
        <f t="shared" si="212"/>
        <v>13/11/2025</v>
      </c>
      <c r="B508" t="str">
        <f t="shared" si="203"/>
        <v>ENTRADA</v>
      </c>
      <c r="C508" t="str">
        <f t="shared" si="204"/>
        <v>NFSE</v>
      </c>
      <c r="D508" t="str">
        <f>"3773"</f>
        <v>3773</v>
      </c>
      <c r="E508" t="str">
        <f t="shared" si="193"/>
        <v>COM</v>
      </c>
      <c r="F508" t="str">
        <f>"PENSE FARMA 25 (10224)"</f>
        <v>PENSE FARMA 25 (10224)</v>
      </c>
      <c r="G508" t="str">
        <f>"Serv.Prest. 03/11/2025 a 09/11/2025 - RPS: 1536 - NFSe: 3773"</f>
        <v>Serv.Prest. 03/11/2025 a 09/11/2025 - RPS: 1536 - NFSe: 3773</v>
      </c>
      <c r="H508" t="str">
        <f t="shared" si="205"/>
        <v>12/11/2025</v>
      </c>
      <c r="I508" t="str">
        <f t="shared" si="211"/>
        <v>10/11/2025</v>
      </c>
      <c r="J508" t="str">
        <f t="shared" si="213"/>
        <v>13/11/2025</v>
      </c>
      <c r="K508">
        <v>557.11</v>
      </c>
      <c r="L508">
        <v>557.11</v>
      </c>
      <c r="M508">
        <v>303</v>
      </c>
      <c r="N508" t="str">
        <f t="shared" si="206"/>
        <v>RECEITAS COM ENTREGAS</v>
      </c>
      <c r="O508">
        <v>557.11</v>
      </c>
      <c r="R508" t="str">
        <f t="shared" si="207"/>
        <v>RECEITAS COM ENTREGAS (303)</v>
      </c>
      <c r="S508">
        <v>2973</v>
      </c>
      <c r="T508">
        <v>2482</v>
      </c>
      <c r="U508" t="s">
        <v>21</v>
      </c>
    </row>
    <row r="509" spans="1:21">
      <c r="A509" t="str">
        <f t="shared" si="212"/>
        <v>13/11/2025</v>
      </c>
      <c r="B509" t="str">
        <f t="shared" si="203"/>
        <v>ENTRADA</v>
      </c>
      <c r="C509" t="str">
        <f t="shared" si="204"/>
        <v>NFSE</v>
      </c>
      <c r="D509" t="str">
        <f>"3773"</f>
        <v>3773</v>
      </c>
      <c r="E509" t="str">
        <f t="shared" si="193"/>
        <v>COM</v>
      </c>
      <c r="F509" t="str">
        <f>"PENSE FARMA 25 (10224)"</f>
        <v>PENSE FARMA 25 (10224)</v>
      </c>
      <c r="G509" t="str">
        <f>"Serv.Prest. 03/11/2025 a 09/11/2025 - RPS: 1536 - NFSe: 3773"</f>
        <v>Serv.Prest. 03/11/2025 a 09/11/2025 - RPS: 1536 - NFSe: 3773</v>
      </c>
      <c r="H509" t="str">
        <f t="shared" si="205"/>
        <v>12/11/2025</v>
      </c>
      <c r="I509" t="str">
        <f t="shared" si="211"/>
        <v>10/11/2025</v>
      </c>
      <c r="J509" t="str">
        <f t="shared" si="213"/>
        <v>13/11/2025</v>
      </c>
      <c r="M509">
        <v>303</v>
      </c>
      <c r="N509" t="str">
        <f t="shared" si="206"/>
        <v>RECEITAS COM ENTREGAS</v>
      </c>
      <c r="P509">
        <v>557.11</v>
      </c>
      <c r="Q509" t="str">
        <f>"PENSE FARMA 25 (10224)"</f>
        <v>PENSE FARMA 25 (10224)</v>
      </c>
      <c r="R509" t="str">
        <f t="shared" si="207"/>
        <v>RECEITAS COM ENTREGAS (303)</v>
      </c>
      <c r="S509">
        <v>2973</v>
      </c>
      <c r="T509">
        <v>2482</v>
      </c>
      <c r="U509" t="s">
        <v>21</v>
      </c>
    </row>
    <row r="510" spans="1:21">
      <c r="A510" t="str">
        <f t="shared" si="212"/>
        <v>13/11/2025</v>
      </c>
      <c r="B510" t="str">
        <f t="shared" si="203"/>
        <v>ENTRADA</v>
      </c>
      <c r="C510" t="str">
        <f t="shared" si="204"/>
        <v>NFSE</v>
      </c>
      <c r="D510" t="str">
        <f>"3772"</f>
        <v>3772</v>
      </c>
      <c r="E510" t="str">
        <f t="shared" ref="E510:E558" si="214">"COM"</f>
        <v>COM</v>
      </c>
      <c r="F510" t="str">
        <f>"PENSE FARMA 47 (10232)"</f>
        <v>PENSE FARMA 47 (10232)</v>
      </c>
      <c r="G510" t="str">
        <f>"Serv.Prest. 03/11/2025 a 09/11/2025 - RPS: 1535 - NFSe: 3772"</f>
        <v>Serv.Prest. 03/11/2025 a 09/11/2025 - RPS: 1535 - NFSe: 3772</v>
      </c>
      <c r="H510" t="str">
        <f t="shared" si="205"/>
        <v>12/11/2025</v>
      </c>
      <c r="I510" t="str">
        <f t="shared" si="211"/>
        <v>10/11/2025</v>
      </c>
      <c r="J510" t="str">
        <f t="shared" si="213"/>
        <v>13/11/2025</v>
      </c>
      <c r="K510">
        <v>278.45999999999998</v>
      </c>
      <c r="L510">
        <v>278.45999999999998</v>
      </c>
      <c r="M510">
        <v>303</v>
      </c>
      <c r="N510" t="str">
        <f t="shared" si="206"/>
        <v>RECEITAS COM ENTREGAS</v>
      </c>
      <c r="O510">
        <v>278.45999999999998</v>
      </c>
      <c r="R510" t="str">
        <f t="shared" si="207"/>
        <v>RECEITAS COM ENTREGAS (303)</v>
      </c>
      <c r="S510">
        <v>2974</v>
      </c>
      <c r="T510">
        <v>2481</v>
      </c>
      <c r="U510" t="s">
        <v>21</v>
      </c>
    </row>
    <row r="511" spans="1:21">
      <c r="A511" t="str">
        <f t="shared" si="212"/>
        <v>13/11/2025</v>
      </c>
      <c r="B511" t="str">
        <f t="shared" si="203"/>
        <v>ENTRADA</v>
      </c>
      <c r="C511" t="str">
        <f t="shared" si="204"/>
        <v>NFSE</v>
      </c>
      <c r="D511" t="str">
        <f>"3772"</f>
        <v>3772</v>
      </c>
      <c r="E511" t="str">
        <f t="shared" si="214"/>
        <v>COM</v>
      </c>
      <c r="F511" t="str">
        <f>"PENSE FARMA 47 (10232)"</f>
        <v>PENSE FARMA 47 (10232)</v>
      </c>
      <c r="G511" t="str">
        <f>"Serv.Prest. 03/11/2025 a 09/11/2025 - RPS: 1535 - NFSe: 3772"</f>
        <v>Serv.Prest. 03/11/2025 a 09/11/2025 - RPS: 1535 - NFSe: 3772</v>
      </c>
      <c r="H511" t="str">
        <f t="shared" si="205"/>
        <v>12/11/2025</v>
      </c>
      <c r="I511" t="str">
        <f t="shared" si="211"/>
        <v>10/11/2025</v>
      </c>
      <c r="J511" t="str">
        <f t="shared" si="213"/>
        <v>13/11/2025</v>
      </c>
      <c r="M511">
        <v>303</v>
      </c>
      <c r="N511" t="str">
        <f t="shared" si="206"/>
        <v>RECEITAS COM ENTREGAS</v>
      </c>
      <c r="P511">
        <v>278.45999999999998</v>
      </c>
      <c r="Q511" t="str">
        <f>"PENSE FARMA 47 (10232)"</f>
        <v>PENSE FARMA 47 (10232)</v>
      </c>
      <c r="R511" t="str">
        <f t="shared" si="207"/>
        <v>RECEITAS COM ENTREGAS (303)</v>
      </c>
      <c r="S511">
        <v>2974</v>
      </c>
      <c r="T511">
        <v>2481</v>
      </c>
      <c r="U511" t="s">
        <v>21</v>
      </c>
    </row>
    <row r="512" spans="1:21">
      <c r="A512" t="str">
        <f t="shared" si="212"/>
        <v>13/11/2025</v>
      </c>
      <c r="B512" t="str">
        <f t="shared" si="203"/>
        <v>ENTRADA</v>
      </c>
      <c r="C512" t="str">
        <f t="shared" si="204"/>
        <v>NFSE</v>
      </c>
      <c r="D512" t="str">
        <f>"3778"</f>
        <v>3778</v>
      </c>
      <c r="E512" t="str">
        <f t="shared" si="214"/>
        <v>COM</v>
      </c>
      <c r="F512" t="str">
        <f>"PENSE FARMA 27 (10204)"</f>
        <v>PENSE FARMA 27 (10204)</v>
      </c>
      <c r="G512" t="str">
        <f>"Serv.Prest. 03/11/2025 a 09/11/2025 - RPS: 1541 - NFSe: 3778"</f>
        <v>Serv.Prest. 03/11/2025 a 09/11/2025 - RPS: 1541 - NFSe: 3778</v>
      </c>
      <c r="H512" t="str">
        <f t="shared" si="205"/>
        <v>12/11/2025</v>
      </c>
      <c r="I512" t="str">
        <f t="shared" si="211"/>
        <v>10/11/2025</v>
      </c>
      <c r="J512" t="str">
        <f t="shared" si="213"/>
        <v>13/11/2025</v>
      </c>
      <c r="K512">
        <v>535.5</v>
      </c>
      <c r="L512">
        <v>535.5</v>
      </c>
      <c r="M512">
        <v>303</v>
      </c>
      <c r="N512" t="str">
        <f t="shared" si="206"/>
        <v>RECEITAS COM ENTREGAS</v>
      </c>
      <c r="O512">
        <v>535.5</v>
      </c>
      <c r="R512" t="str">
        <f t="shared" si="207"/>
        <v>RECEITAS COM ENTREGAS (303)</v>
      </c>
      <c r="S512">
        <v>2975</v>
      </c>
      <c r="T512">
        <v>2487</v>
      </c>
      <c r="U512" t="s">
        <v>21</v>
      </c>
    </row>
    <row r="513" spans="1:21">
      <c r="A513" t="str">
        <f t="shared" si="212"/>
        <v>13/11/2025</v>
      </c>
      <c r="B513" t="str">
        <f t="shared" si="203"/>
        <v>ENTRADA</v>
      </c>
      <c r="C513" t="str">
        <f t="shared" si="204"/>
        <v>NFSE</v>
      </c>
      <c r="D513" t="str">
        <f>"3778"</f>
        <v>3778</v>
      </c>
      <c r="E513" t="str">
        <f t="shared" si="214"/>
        <v>COM</v>
      </c>
      <c r="F513" t="str">
        <f>"PENSE FARMA 27 (10204)"</f>
        <v>PENSE FARMA 27 (10204)</v>
      </c>
      <c r="G513" t="str">
        <f>"Serv.Prest. 03/11/2025 a 09/11/2025 - RPS: 1541 - NFSe: 3778"</f>
        <v>Serv.Prest. 03/11/2025 a 09/11/2025 - RPS: 1541 - NFSe: 3778</v>
      </c>
      <c r="H513" t="str">
        <f t="shared" si="205"/>
        <v>12/11/2025</v>
      </c>
      <c r="I513" t="str">
        <f t="shared" si="211"/>
        <v>10/11/2025</v>
      </c>
      <c r="J513" t="str">
        <f t="shared" si="213"/>
        <v>13/11/2025</v>
      </c>
      <c r="M513">
        <v>303</v>
      </c>
      <c r="N513" t="str">
        <f t="shared" si="206"/>
        <v>RECEITAS COM ENTREGAS</v>
      </c>
      <c r="P513">
        <v>178.48</v>
      </c>
      <c r="Q513" t="str">
        <f>"PENSE FARMA 05 (10200)"</f>
        <v>PENSE FARMA 05 (10200)</v>
      </c>
      <c r="R513" t="str">
        <f t="shared" si="207"/>
        <v>RECEITAS COM ENTREGAS (303)</v>
      </c>
      <c r="S513">
        <v>2975</v>
      </c>
      <c r="T513">
        <v>2487</v>
      </c>
      <c r="U513" t="s">
        <v>21</v>
      </c>
    </row>
    <row r="514" spans="1:21">
      <c r="A514" t="str">
        <f t="shared" si="212"/>
        <v>13/11/2025</v>
      </c>
      <c r="B514" t="str">
        <f t="shared" si="203"/>
        <v>ENTRADA</v>
      </c>
      <c r="C514" t="str">
        <f t="shared" si="204"/>
        <v>NFSE</v>
      </c>
      <c r="D514" t="str">
        <f>"3778"</f>
        <v>3778</v>
      </c>
      <c r="E514" t="str">
        <f t="shared" si="214"/>
        <v>COM</v>
      </c>
      <c r="F514" t="str">
        <f>"PENSE FARMA 27 (10204)"</f>
        <v>PENSE FARMA 27 (10204)</v>
      </c>
      <c r="G514" t="str">
        <f>"Serv.Prest. 03/11/2025 a 09/11/2025 - RPS: 1541 - NFSe: 3778"</f>
        <v>Serv.Prest. 03/11/2025 a 09/11/2025 - RPS: 1541 - NFSe: 3778</v>
      </c>
      <c r="H514" t="str">
        <f t="shared" si="205"/>
        <v>12/11/2025</v>
      </c>
      <c r="I514" t="str">
        <f t="shared" si="211"/>
        <v>10/11/2025</v>
      </c>
      <c r="J514" t="str">
        <f t="shared" si="213"/>
        <v>13/11/2025</v>
      </c>
      <c r="M514">
        <v>303</v>
      </c>
      <c r="N514" t="str">
        <f t="shared" si="206"/>
        <v>RECEITAS COM ENTREGAS</v>
      </c>
      <c r="P514">
        <v>178.48</v>
      </c>
      <c r="Q514" t="str">
        <f>"PENSE FARMA 13 (10202)"</f>
        <v>PENSE FARMA 13 (10202)</v>
      </c>
      <c r="R514" t="str">
        <f t="shared" si="207"/>
        <v>RECEITAS COM ENTREGAS (303)</v>
      </c>
      <c r="S514">
        <v>2975</v>
      </c>
      <c r="T514">
        <v>2487</v>
      </c>
      <c r="U514" t="s">
        <v>21</v>
      </c>
    </row>
    <row r="515" spans="1:21">
      <c r="A515" t="str">
        <f t="shared" si="212"/>
        <v>13/11/2025</v>
      </c>
      <c r="B515" t="str">
        <f t="shared" ref="B515:B529" si="215">"ENTRADA"</f>
        <v>ENTRADA</v>
      </c>
      <c r="C515" t="str">
        <f t="shared" ref="C515:C529" si="216">"NFSE"</f>
        <v>NFSE</v>
      </c>
      <c r="D515" t="str">
        <f>"3778"</f>
        <v>3778</v>
      </c>
      <c r="E515" t="str">
        <f t="shared" si="214"/>
        <v>COM</v>
      </c>
      <c r="F515" t="str">
        <f>"PENSE FARMA 27 (10204)"</f>
        <v>PENSE FARMA 27 (10204)</v>
      </c>
      <c r="G515" t="str">
        <f>"Serv.Prest. 03/11/2025 a 09/11/2025 - RPS: 1541 - NFSe: 3778"</f>
        <v>Serv.Prest. 03/11/2025 a 09/11/2025 - RPS: 1541 - NFSe: 3778</v>
      </c>
      <c r="H515" t="str">
        <f t="shared" ref="H515:H529" si="217">("12/11/2025")</f>
        <v>12/11/2025</v>
      </c>
      <c r="I515" t="str">
        <f t="shared" si="211"/>
        <v>10/11/2025</v>
      </c>
      <c r="J515" t="str">
        <f t="shared" si="213"/>
        <v>13/11/2025</v>
      </c>
      <c r="M515">
        <v>303</v>
      </c>
      <c r="N515" t="str">
        <f t="shared" ref="N515:N529" si="218">"RECEITAS COM ENTREGAS"</f>
        <v>RECEITAS COM ENTREGAS</v>
      </c>
      <c r="P515">
        <v>178.54</v>
      </c>
      <c r="Q515" t="str">
        <f>"PENSE FARMA 27 (10204)"</f>
        <v>PENSE FARMA 27 (10204)</v>
      </c>
      <c r="R515" t="str">
        <f t="shared" ref="R515:R529" si="219">"RECEITAS COM ENTREGAS (303)"</f>
        <v>RECEITAS COM ENTREGAS (303)</v>
      </c>
      <c r="S515">
        <v>2975</v>
      </c>
      <c r="T515">
        <v>2487</v>
      </c>
      <c r="U515" t="s">
        <v>21</v>
      </c>
    </row>
    <row r="516" spans="1:21">
      <c r="A516" t="str">
        <f t="shared" si="212"/>
        <v>13/11/2025</v>
      </c>
      <c r="B516" t="str">
        <f t="shared" si="215"/>
        <v>ENTRADA</v>
      </c>
      <c r="C516" t="str">
        <f t="shared" si="216"/>
        <v>NFSE</v>
      </c>
      <c r="D516" t="str">
        <f>"3779"</f>
        <v>3779</v>
      </c>
      <c r="E516" t="str">
        <f t="shared" si="214"/>
        <v>COM</v>
      </c>
      <c r="F516" t="str">
        <f>"PENSE FARMA 07 (10201)"</f>
        <v>PENSE FARMA 07 (10201)</v>
      </c>
      <c r="G516" t="str">
        <f>"Serv.Prest. 03/11/2025 a 09/11/2025 - RPS: 1542 - NFSe: 3779"</f>
        <v>Serv.Prest. 03/11/2025 a 09/11/2025 - RPS: 1542 - NFSe: 3779</v>
      </c>
      <c r="H516" t="str">
        <f t="shared" si="217"/>
        <v>12/11/2025</v>
      </c>
      <c r="I516" t="str">
        <f t="shared" si="211"/>
        <v>10/11/2025</v>
      </c>
      <c r="J516" t="str">
        <f t="shared" si="213"/>
        <v>13/11/2025</v>
      </c>
      <c r="K516">
        <v>267.75</v>
      </c>
      <c r="L516">
        <v>267.75</v>
      </c>
      <c r="M516">
        <v>303</v>
      </c>
      <c r="N516" t="str">
        <f t="shared" si="218"/>
        <v>RECEITAS COM ENTREGAS</v>
      </c>
      <c r="O516">
        <v>267.75</v>
      </c>
      <c r="R516" t="str">
        <f t="shared" si="219"/>
        <v>RECEITAS COM ENTREGAS (303)</v>
      </c>
      <c r="S516">
        <v>2976</v>
      </c>
      <c r="T516">
        <v>2488</v>
      </c>
      <c r="U516" t="s">
        <v>21</v>
      </c>
    </row>
    <row r="517" spans="1:21">
      <c r="A517" t="str">
        <f t="shared" si="212"/>
        <v>13/11/2025</v>
      </c>
      <c r="B517" t="str">
        <f t="shared" si="215"/>
        <v>ENTRADA</v>
      </c>
      <c r="C517" t="str">
        <f t="shared" si="216"/>
        <v>NFSE</v>
      </c>
      <c r="D517" t="str">
        <f>"3779"</f>
        <v>3779</v>
      </c>
      <c r="E517" t="str">
        <f t="shared" si="214"/>
        <v>COM</v>
      </c>
      <c r="F517" t="str">
        <f>"PENSE FARMA 07 (10201)"</f>
        <v>PENSE FARMA 07 (10201)</v>
      </c>
      <c r="G517" t="str">
        <f>"Serv.Prest. 03/11/2025 a 09/11/2025 - RPS: 1542 - NFSe: 3779"</f>
        <v>Serv.Prest. 03/11/2025 a 09/11/2025 - RPS: 1542 - NFSe: 3779</v>
      </c>
      <c r="H517" t="str">
        <f t="shared" si="217"/>
        <v>12/11/2025</v>
      </c>
      <c r="I517" t="str">
        <f t="shared" si="211"/>
        <v>10/11/2025</v>
      </c>
      <c r="J517" t="str">
        <f t="shared" si="213"/>
        <v>13/11/2025</v>
      </c>
      <c r="M517">
        <v>303</v>
      </c>
      <c r="N517" t="str">
        <f t="shared" si="218"/>
        <v>RECEITAS COM ENTREGAS</v>
      </c>
      <c r="P517">
        <v>89.24</v>
      </c>
      <c r="Q517" t="str">
        <f>"PENSE FARMA 07 (10201)"</f>
        <v>PENSE FARMA 07 (10201)</v>
      </c>
      <c r="R517" t="str">
        <f t="shared" si="219"/>
        <v>RECEITAS COM ENTREGAS (303)</v>
      </c>
      <c r="S517">
        <v>2976</v>
      </c>
      <c r="T517">
        <v>2488</v>
      </c>
      <c r="U517" t="s">
        <v>21</v>
      </c>
    </row>
    <row r="518" spans="1:21">
      <c r="A518" t="str">
        <f t="shared" si="212"/>
        <v>13/11/2025</v>
      </c>
      <c r="B518" t="str">
        <f t="shared" si="215"/>
        <v>ENTRADA</v>
      </c>
      <c r="C518" t="str">
        <f t="shared" si="216"/>
        <v>NFSE</v>
      </c>
      <c r="D518" t="str">
        <f>"3779"</f>
        <v>3779</v>
      </c>
      <c r="E518" t="str">
        <f t="shared" si="214"/>
        <v>COM</v>
      </c>
      <c r="F518" t="str">
        <f>"PENSE FARMA 07 (10201)"</f>
        <v>PENSE FARMA 07 (10201)</v>
      </c>
      <c r="G518" t="str">
        <f>"Serv.Prest. 03/11/2025 a 09/11/2025 - RPS: 1542 - NFSe: 3779"</f>
        <v>Serv.Prest. 03/11/2025 a 09/11/2025 - RPS: 1542 - NFSe: 3779</v>
      </c>
      <c r="H518" t="str">
        <f t="shared" si="217"/>
        <v>12/11/2025</v>
      </c>
      <c r="I518" t="str">
        <f t="shared" si="211"/>
        <v>10/11/2025</v>
      </c>
      <c r="J518" t="str">
        <f t="shared" si="213"/>
        <v>13/11/2025</v>
      </c>
      <c r="M518">
        <v>303</v>
      </c>
      <c r="N518" t="str">
        <f t="shared" si="218"/>
        <v>RECEITAS COM ENTREGAS</v>
      </c>
      <c r="P518">
        <v>89.24</v>
      </c>
      <c r="Q518" t="str">
        <f>"PENSE FARMA 45 (10209)"</f>
        <v>PENSE FARMA 45 (10209)</v>
      </c>
      <c r="R518" t="str">
        <f t="shared" si="219"/>
        <v>RECEITAS COM ENTREGAS (303)</v>
      </c>
      <c r="S518">
        <v>2976</v>
      </c>
      <c r="T518">
        <v>2488</v>
      </c>
      <c r="U518" t="s">
        <v>21</v>
      </c>
    </row>
    <row r="519" spans="1:21">
      <c r="A519" t="str">
        <f t="shared" si="212"/>
        <v>13/11/2025</v>
      </c>
      <c r="B519" t="str">
        <f t="shared" si="215"/>
        <v>ENTRADA</v>
      </c>
      <c r="C519" t="str">
        <f t="shared" si="216"/>
        <v>NFSE</v>
      </c>
      <c r="D519" t="str">
        <f>"3779"</f>
        <v>3779</v>
      </c>
      <c r="E519" t="str">
        <f t="shared" si="214"/>
        <v>COM</v>
      </c>
      <c r="F519" t="str">
        <f>"PENSE FARMA 07 (10201)"</f>
        <v>PENSE FARMA 07 (10201)</v>
      </c>
      <c r="G519" t="str">
        <f>"Serv.Prest. 03/11/2025 a 09/11/2025 - RPS: 1542 - NFSe: 3779"</f>
        <v>Serv.Prest. 03/11/2025 a 09/11/2025 - RPS: 1542 - NFSe: 3779</v>
      </c>
      <c r="H519" t="str">
        <f t="shared" si="217"/>
        <v>12/11/2025</v>
      </c>
      <c r="I519" t="str">
        <f t="shared" si="211"/>
        <v>10/11/2025</v>
      </c>
      <c r="J519" t="str">
        <f t="shared" si="213"/>
        <v>13/11/2025</v>
      </c>
      <c r="M519">
        <v>303</v>
      </c>
      <c r="N519" t="str">
        <f t="shared" si="218"/>
        <v>RECEITAS COM ENTREGAS</v>
      </c>
      <c r="P519">
        <v>89.27</v>
      </c>
      <c r="Q519" t="str">
        <f>"PENSE FARMA 50 (10210)"</f>
        <v>PENSE FARMA 50 (10210)</v>
      </c>
      <c r="R519" t="str">
        <f t="shared" si="219"/>
        <v>RECEITAS COM ENTREGAS (303)</v>
      </c>
      <c r="S519">
        <v>2976</v>
      </c>
      <c r="T519">
        <v>2488</v>
      </c>
      <c r="U519" t="s">
        <v>21</v>
      </c>
    </row>
    <row r="520" spans="1:21">
      <c r="A520" t="str">
        <f t="shared" si="212"/>
        <v>13/11/2025</v>
      </c>
      <c r="B520" t="str">
        <f t="shared" si="215"/>
        <v>ENTRADA</v>
      </c>
      <c r="C520" t="str">
        <f t="shared" si="216"/>
        <v>NFSE</v>
      </c>
      <c r="D520" t="str">
        <f t="shared" ref="D520:D525" si="220">"3775"</f>
        <v>3775</v>
      </c>
      <c r="E520" t="str">
        <f t="shared" si="214"/>
        <v>COM</v>
      </c>
      <c r="F520" t="str">
        <f t="shared" ref="F520:F525" si="221">"PENSE FARMA 08 (10217)"</f>
        <v>PENSE FARMA 08 (10217)</v>
      </c>
      <c r="G520" t="str">
        <f t="shared" ref="G520:G525" si="222">"Serv.Prest. 03/11/2025 a 09/11/2025 - RPS: 1538 - NFSe: 3775"</f>
        <v>Serv.Prest. 03/11/2025 a 09/11/2025 - RPS: 1538 - NFSe: 3775</v>
      </c>
      <c r="H520" t="str">
        <f t="shared" si="217"/>
        <v>12/11/2025</v>
      </c>
      <c r="I520" t="str">
        <f t="shared" si="211"/>
        <v>10/11/2025</v>
      </c>
      <c r="J520" t="str">
        <f t="shared" si="213"/>
        <v>13/11/2025</v>
      </c>
      <c r="K520">
        <v>589.5</v>
      </c>
      <c r="L520">
        <v>589.5</v>
      </c>
      <c r="M520">
        <v>303</v>
      </c>
      <c r="N520" t="str">
        <f t="shared" si="218"/>
        <v>RECEITAS COM ENTREGAS</v>
      </c>
      <c r="O520">
        <v>589.5</v>
      </c>
      <c r="R520" t="str">
        <f t="shared" si="219"/>
        <v>RECEITAS COM ENTREGAS (303)</v>
      </c>
      <c r="S520">
        <v>2977</v>
      </c>
      <c r="T520">
        <v>2484</v>
      </c>
      <c r="U520" t="s">
        <v>21</v>
      </c>
    </row>
    <row r="521" spans="1:21">
      <c r="A521" t="str">
        <f t="shared" si="212"/>
        <v>13/11/2025</v>
      </c>
      <c r="B521" t="str">
        <f t="shared" si="215"/>
        <v>ENTRADA</v>
      </c>
      <c r="C521" t="str">
        <f t="shared" si="216"/>
        <v>NFSE</v>
      </c>
      <c r="D521" t="str">
        <f t="shared" si="220"/>
        <v>3775</v>
      </c>
      <c r="E521" t="str">
        <f t="shared" si="214"/>
        <v>COM</v>
      </c>
      <c r="F521" t="str">
        <f t="shared" si="221"/>
        <v>PENSE FARMA 08 (10217)</v>
      </c>
      <c r="G521" t="str">
        <f t="shared" si="222"/>
        <v>Serv.Prest. 03/11/2025 a 09/11/2025 - RPS: 1538 - NFSe: 3775</v>
      </c>
      <c r="H521" t="str">
        <f t="shared" si="217"/>
        <v>12/11/2025</v>
      </c>
      <c r="I521" t="str">
        <f t="shared" si="211"/>
        <v>10/11/2025</v>
      </c>
      <c r="J521" t="str">
        <f t="shared" si="213"/>
        <v>13/11/2025</v>
      </c>
      <c r="M521">
        <v>303</v>
      </c>
      <c r="N521" t="str">
        <f t="shared" si="218"/>
        <v>RECEITAS COM ENTREGAS</v>
      </c>
      <c r="P521">
        <v>117.9</v>
      </c>
      <c r="Q521" t="str">
        <f>"PENSE FARMA 08 (10217)"</f>
        <v>PENSE FARMA 08 (10217)</v>
      </c>
      <c r="R521" t="str">
        <f t="shared" si="219"/>
        <v>RECEITAS COM ENTREGAS (303)</v>
      </c>
      <c r="S521">
        <v>2977</v>
      </c>
      <c r="T521">
        <v>2484</v>
      </c>
      <c r="U521" t="s">
        <v>21</v>
      </c>
    </row>
    <row r="522" spans="1:21">
      <c r="A522" t="str">
        <f t="shared" si="212"/>
        <v>13/11/2025</v>
      </c>
      <c r="B522" t="str">
        <f t="shared" si="215"/>
        <v>ENTRADA</v>
      </c>
      <c r="C522" t="str">
        <f t="shared" si="216"/>
        <v>NFSE</v>
      </c>
      <c r="D522" t="str">
        <f t="shared" si="220"/>
        <v>3775</v>
      </c>
      <c r="E522" t="str">
        <f t="shared" si="214"/>
        <v>COM</v>
      </c>
      <c r="F522" t="str">
        <f t="shared" si="221"/>
        <v>PENSE FARMA 08 (10217)</v>
      </c>
      <c r="G522" t="str">
        <f t="shared" si="222"/>
        <v>Serv.Prest. 03/11/2025 a 09/11/2025 - RPS: 1538 - NFSe: 3775</v>
      </c>
      <c r="H522" t="str">
        <f t="shared" si="217"/>
        <v>12/11/2025</v>
      </c>
      <c r="I522" t="str">
        <f t="shared" si="211"/>
        <v>10/11/2025</v>
      </c>
      <c r="J522" t="str">
        <f t="shared" si="213"/>
        <v>13/11/2025</v>
      </c>
      <c r="M522">
        <v>303</v>
      </c>
      <c r="N522" t="str">
        <f t="shared" si="218"/>
        <v>RECEITAS COM ENTREGAS</v>
      </c>
      <c r="P522">
        <v>117.9</v>
      </c>
      <c r="Q522" t="str">
        <f>"PENSE FARMA 11 (10220)"</f>
        <v>PENSE FARMA 11 (10220)</v>
      </c>
      <c r="R522" t="str">
        <f t="shared" si="219"/>
        <v>RECEITAS COM ENTREGAS (303)</v>
      </c>
      <c r="S522">
        <v>2977</v>
      </c>
      <c r="T522">
        <v>2484</v>
      </c>
      <c r="U522" t="s">
        <v>21</v>
      </c>
    </row>
    <row r="523" spans="1:21">
      <c r="A523" t="str">
        <f t="shared" si="212"/>
        <v>13/11/2025</v>
      </c>
      <c r="B523" t="str">
        <f t="shared" si="215"/>
        <v>ENTRADA</v>
      </c>
      <c r="C523" t="str">
        <f t="shared" si="216"/>
        <v>NFSE</v>
      </c>
      <c r="D523" t="str">
        <f t="shared" si="220"/>
        <v>3775</v>
      </c>
      <c r="E523" t="str">
        <f t="shared" si="214"/>
        <v>COM</v>
      </c>
      <c r="F523" t="str">
        <f t="shared" si="221"/>
        <v>PENSE FARMA 08 (10217)</v>
      </c>
      <c r="G523" t="str">
        <f t="shared" si="222"/>
        <v>Serv.Prest. 03/11/2025 a 09/11/2025 - RPS: 1538 - NFSe: 3775</v>
      </c>
      <c r="H523" t="str">
        <f t="shared" si="217"/>
        <v>12/11/2025</v>
      </c>
      <c r="I523" t="str">
        <f t="shared" si="211"/>
        <v>10/11/2025</v>
      </c>
      <c r="J523" t="str">
        <f t="shared" si="213"/>
        <v>13/11/2025</v>
      </c>
      <c r="M523">
        <v>303</v>
      </c>
      <c r="N523" t="str">
        <f t="shared" si="218"/>
        <v>RECEITAS COM ENTREGAS</v>
      </c>
      <c r="P523">
        <v>117.9</v>
      </c>
      <c r="Q523" t="str">
        <f>"PENSE FARMA 41 (10229)"</f>
        <v>PENSE FARMA 41 (10229)</v>
      </c>
      <c r="R523" t="str">
        <f t="shared" si="219"/>
        <v>RECEITAS COM ENTREGAS (303)</v>
      </c>
      <c r="S523">
        <v>2977</v>
      </c>
      <c r="T523">
        <v>2484</v>
      </c>
      <c r="U523" t="s">
        <v>21</v>
      </c>
    </row>
    <row r="524" spans="1:21">
      <c r="A524" t="str">
        <f t="shared" si="212"/>
        <v>13/11/2025</v>
      </c>
      <c r="B524" t="str">
        <f t="shared" si="215"/>
        <v>ENTRADA</v>
      </c>
      <c r="C524" t="str">
        <f t="shared" si="216"/>
        <v>NFSE</v>
      </c>
      <c r="D524" t="str">
        <f t="shared" si="220"/>
        <v>3775</v>
      </c>
      <c r="E524" t="str">
        <f t="shared" si="214"/>
        <v>COM</v>
      </c>
      <c r="F524" t="str">
        <f t="shared" si="221"/>
        <v>PENSE FARMA 08 (10217)</v>
      </c>
      <c r="G524" t="str">
        <f t="shared" si="222"/>
        <v>Serv.Prest. 03/11/2025 a 09/11/2025 - RPS: 1538 - NFSe: 3775</v>
      </c>
      <c r="H524" t="str">
        <f t="shared" si="217"/>
        <v>12/11/2025</v>
      </c>
      <c r="I524" t="str">
        <f t="shared" si="211"/>
        <v>10/11/2025</v>
      </c>
      <c r="J524" t="str">
        <f t="shared" si="213"/>
        <v>13/11/2025</v>
      </c>
      <c r="M524">
        <v>303</v>
      </c>
      <c r="N524" t="str">
        <f t="shared" si="218"/>
        <v>RECEITAS COM ENTREGAS</v>
      </c>
      <c r="P524">
        <v>117.9</v>
      </c>
      <c r="Q524" t="str">
        <f>"PENSE FARMA 42 (10230)"</f>
        <v>PENSE FARMA 42 (10230)</v>
      </c>
      <c r="R524" t="str">
        <f t="shared" si="219"/>
        <v>RECEITAS COM ENTREGAS (303)</v>
      </c>
      <c r="S524">
        <v>2977</v>
      </c>
      <c r="T524">
        <v>2484</v>
      </c>
      <c r="U524" t="s">
        <v>21</v>
      </c>
    </row>
    <row r="525" spans="1:21">
      <c r="A525" t="str">
        <f t="shared" si="212"/>
        <v>13/11/2025</v>
      </c>
      <c r="B525" t="str">
        <f t="shared" si="215"/>
        <v>ENTRADA</v>
      </c>
      <c r="C525" t="str">
        <f t="shared" si="216"/>
        <v>NFSE</v>
      </c>
      <c r="D525" t="str">
        <f t="shared" si="220"/>
        <v>3775</v>
      </c>
      <c r="E525" t="str">
        <f t="shared" si="214"/>
        <v>COM</v>
      </c>
      <c r="F525" t="str">
        <f t="shared" si="221"/>
        <v>PENSE FARMA 08 (10217)</v>
      </c>
      <c r="G525" t="str">
        <f t="shared" si="222"/>
        <v>Serv.Prest. 03/11/2025 a 09/11/2025 - RPS: 1538 - NFSe: 3775</v>
      </c>
      <c r="H525" t="str">
        <f t="shared" si="217"/>
        <v>12/11/2025</v>
      </c>
      <c r="I525" t="str">
        <f t="shared" si="211"/>
        <v>10/11/2025</v>
      </c>
      <c r="J525" t="str">
        <f t="shared" si="213"/>
        <v>13/11/2025</v>
      </c>
      <c r="M525">
        <v>303</v>
      </c>
      <c r="N525" t="str">
        <f t="shared" si="218"/>
        <v>RECEITAS COM ENTREGAS</v>
      </c>
      <c r="P525">
        <v>117.9</v>
      </c>
      <c r="Q525" t="str">
        <f>"PENSE FARMA 52 (10236)"</f>
        <v>PENSE FARMA 52 (10236)</v>
      </c>
      <c r="R525" t="str">
        <f t="shared" si="219"/>
        <v>RECEITAS COM ENTREGAS (303)</v>
      </c>
      <c r="S525">
        <v>2977</v>
      </c>
      <c r="T525">
        <v>2484</v>
      </c>
      <c r="U525" t="s">
        <v>21</v>
      </c>
    </row>
    <row r="526" spans="1:21">
      <c r="A526" t="str">
        <f t="shared" si="212"/>
        <v>13/11/2025</v>
      </c>
      <c r="B526" t="str">
        <f t="shared" si="215"/>
        <v>ENTRADA</v>
      </c>
      <c r="C526" t="str">
        <f t="shared" si="216"/>
        <v>NFSE</v>
      </c>
      <c r="D526" t="str">
        <f>"3780"</f>
        <v>3780</v>
      </c>
      <c r="E526" t="str">
        <f t="shared" si="214"/>
        <v>COM</v>
      </c>
      <c r="F526" t="str">
        <f>"PENSE FARMA 19 (10223)"</f>
        <v>PENSE FARMA 19 (10223)</v>
      </c>
      <c r="G526" t="str">
        <f>"Serv.Prest. 03/11/2025 a 09/11/2025 - RPS: 1543 - NFSe: 3780"</f>
        <v>Serv.Prest. 03/11/2025 a 09/11/2025 - RPS: 1543 - NFSe: 3780</v>
      </c>
      <c r="H526" t="str">
        <f t="shared" si="217"/>
        <v>12/11/2025</v>
      </c>
      <c r="I526" t="str">
        <f t="shared" si="211"/>
        <v>10/11/2025</v>
      </c>
      <c r="J526" t="str">
        <f t="shared" si="213"/>
        <v>13/11/2025</v>
      </c>
      <c r="K526">
        <v>220.63</v>
      </c>
      <c r="L526">
        <v>220.63</v>
      </c>
      <c r="M526">
        <v>303</v>
      </c>
      <c r="N526" t="str">
        <f t="shared" si="218"/>
        <v>RECEITAS COM ENTREGAS</v>
      </c>
      <c r="O526">
        <v>220.63</v>
      </c>
      <c r="R526" t="str">
        <f t="shared" si="219"/>
        <v>RECEITAS COM ENTREGAS (303)</v>
      </c>
      <c r="S526">
        <v>2978</v>
      </c>
      <c r="T526">
        <v>2489</v>
      </c>
      <c r="U526" t="s">
        <v>21</v>
      </c>
    </row>
    <row r="527" spans="1:21">
      <c r="A527" t="str">
        <f t="shared" si="212"/>
        <v>13/11/2025</v>
      </c>
      <c r="B527" t="str">
        <f t="shared" si="215"/>
        <v>ENTRADA</v>
      </c>
      <c r="C527" t="str">
        <f t="shared" si="216"/>
        <v>NFSE</v>
      </c>
      <c r="D527" t="str">
        <f>"3780"</f>
        <v>3780</v>
      </c>
      <c r="E527" t="str">
        <f t="shared" si="214"/>
        <v>COM</v>
      </c>
      <c r="F527" t="str">
        <f>"PENSE FARMA 19 (10223)"</f>
        <v>PENSE FARMA 19 (10223)</v>
      </c>
      <c r="G527" t="str">
        <f>"Serv.Prest. 03/11/2025 a 09/11/2025 - RPS: 1543 - NFSe: 3780"</f>
        <v>Serv.Prest. 03/11/2025 a 09/11/2025 - RPS: 1543 - NFSe: 3780</v>
      </c>
      <c r="H527" t="str">
        <f t="shared" si="217"/>
        <v>12/11/2025</v>
      </c>
      <c r="I527" t="str">
        <f t="shared" si="211"/>
        <v>10/11/2025</v>
      </c>
      <c r="J527" t="str">
        <f t="shared" si="213"/>
        <v>13/11/2025</v>
      </c>
      <c r="M527">
        <v>303</v>
      </c>
      <c r="N527" t="str">
        <f t="shared" si="218"/>
        <v>RECEITAS COM ENTREGAS</v>
      </c>
      <c r="P527">
        <v>220.63</v>
      </c>
      <c r="Q527" t="str">
        <f>"PENSE FARMA 19 (10223)"</f>
        <v>PENSE FARMA 19 (10223)</v>
      </c>
      <c r="R527" t="str">
        <f t="shared" si="219"/>
        <v>RECEITAS COM ENTREGAS (303)</v>
      </c>
      <c r="S527">
        <v>2978</v>
      </c>
      <c r="T527">
        <v>2489</v>
      </c>
      <c r="U527" t="s">
        <v>21</v>
      </c>
    </row>
    <row r="528" spans="1:21">
      <c r="A528" t="str">
        <f t="shared" si="212"/>
        <v>13/11/2025</v>
      </c>
      <c r="B528" t="str">
        <f t="shared" si="215"/>
        <v>ENTRADA</v>
      </c>
      <c r="C528" t="str">
        <f t="shared" si="216"/>
        <v>NFSE</v>
      </c>
      <c r="D528" t="str">
        <f>"3762"</f>
        <v>3762</v>
      </c>
      <c r="E528" t="str">
        <f t="shared" si="214"/>
        <v>COM</v>
      </c>
      <c r="F528" t="str">
        <f>"AC FARMA - CID.ALTA (10166)"</f>
        <v>AC FARMA - CID.ALTA (10166)</v>
      </c>
      <c r="G528" t="str">
        <f>"Serv.Prest. 27/10/2025 a 02/11/2025 - RPS: 1525 - NFSe: 3762"</f>
        <v>Serv.Prest. 27/10/2025 a 02/11/2025 - RPS: 1525 - NFSe: 3762</v>
      </c>
      <c r="H528" t="str">
        <f t="shared" si="217"/>
        <v>12/11/2025</v>
      </c>
      <c r="I528" t="str">
        <f>("05/11/2025")</f>
        <v>05/11/2025</v>
      </c>
      <c r="J528" t="str">
        <f t="shared" si="213"/>
        <v>13/11/2025</v>
      </c>
      <c r="K528">
        <v>1042.2</v>
      </c>
      <c r="L528">
        <v>1042.2</v>
      </c>
      <c r="M528">
        <v>303</v>
      </c>
      <c r="N528" t="str">
        <f t="shared" si="218"/>
        <v>RECEITAS COM ENTREGAS</v>
      </c>
      <c r="O528">
        <v>1042.2</v>
      </c>
      <c r="R528" t="str">
        <f t="shared" si="219"/>
        <v>RECEITAS COM ENTREGAS (303)</v>
      </c>
      <c r="S528">
        <v>2979</v>
      </c>
      <c r="T528">
        <v>2457</v>
      </c>
      <c r="U528" t="s">
        <v>21</v>
      </c>
    </row>
    <row r="529" spans="1:21">
      <c r="A529" t="str">
        <f t="shared" si="212"/>
        <v>13/11/2025</v>
      </c>
      <c r="B529" t="str">
        <f t="shared" si="215"/>
        <v>ENTRADA</v>
      </c>
      <c r="C529" t="str">
        <f t="shared" si="216"/>
        <v>NFSE</v>
      </c>
      <c r="D529" t="str">
        <f>"3762"</f>
        <v>3762</v>
      </c>
      <c r="E529" t="str">
        <f t="shared" si="214"/>
        <v>COM</v>
      </c>
      <c r="F529" t="str">
        <f>"AC FARMA - CID.ALTA (10166)"</f>
        <v>AC FARMA - CID.ALTA (10166)</v>
      </c>
      <c r="G529" t="str">
        <f>"Serv.Prest. 27/10/2025 a 02/11/2025 - RPS: 1525 - NFSe: 3762"</f>
        <v>Serv.Prest. 27/10/2025 a 02/11/2025 - RPS: 1525 - NFSe: 3762</v>
      </c>
      <c r="H529" t="str">
        <f t="shared" si="217"/>
        <v>12/11/2025</v>
      </c>
      <c r="I529" t="str">
        <f>("05/11/2025")</f>
        <v>05/11/2025</v>
      </c>
      <c r="J529" t="str">
        <f t="shared" si="213"/>
        <v>13/11/2025</v>
      </c>
      <c r="M529">
        <v>303</v>
      </c>
      <c r="N529" t="str">
        <f t="shared" si="218"/>
        <v>RECEITAS COM ENTREGAS</v>
      </c>
      <c r="P529">
        <v>1042.2</v>
      </c>
      <c r="Q529" t="str">
        <f>"AC FARMA - CID.ALTA (10166)"</f>
        <v>AC FARMA - CID.ALTA (10166)</v>
      </c>
      <c r="R529" t="str">
        <f t="shared" si="219"/>
        <v>RECEITAS COM ENTREGAS (303)</v>
      </c>
      <c r="S529">
        <v>2979</v>
      </c>
      <c r="T529">
        <v>2457</v>
      </c>
      <c r="U529" t="s">
        <v>21</v>
      </c>
    </row>
    <row r="530" spans="1:21">
      <c r="A530" t="str">
        <f t="shared" si="212"/>
        <v>13/11/2025</v>
      </c>
      <c r="B530" t="str">
        <f t="shared" ref="B530:B558" si="223">"SAÍDA"</f>
        <v>SAÍDA</v>
      </c>
      <c r="C530" t="str">
        <f t="shared" ref="C530:C558" si="224">"BOLETO"</f>
        <v>BOLETO</v>
      </c>
      <c r="D530" t="str">
        <f t="shared" ref="D530:D558" si="225">"01112025"</f>
        <v>01112025</v>
      </c>
      <c r="E530" t="str">
        <f t="shared" si="214"/>
        <v>COM</v>
      </c>
      <c r="F530" t="str">
        <f t="shared" ref="F530:F558" si="226">"CORA SOCIEDADE DE CREDITO, FINANCIAMENTO E INVESTIMENTO (20035)"</f>
        <v>CORA SOCIEDADE DE CREDITO, FINANCIAMENTO E INVESTIMENTO (20035)</v>
      </c>
      <c r="G530" t="str">
        <f t="shared" ref="G530:G558" si="227">"TAXA BOLETO CORA "</f>
        <v xml:space="preserve">TAXA BOLETO CORA </v>
      </c>
      <c r="H530" t="str">
        <f t="shared" ref="H530:I559" si="228">("13/11/2025")</f>
        <v>13/11/2025</v>
      </c>
      <c r="I530" t="str">
        <f t="shared" si="228"/>
        <v>13/11/2025</v>
      </c>
      <c r="J530" t="str">
        <f t="shared" si="213"/>
        <v>13/11/2025</v>
      </c>
      <c r="K530">
        <v>1.7</v>
      </c>
      <c r="L530">
        <v>1.7</v>
      </c>
      <c r="M530">
        <v>401</v>
      </c>
      <c r="N530" t="str">
        <f t="shared" ref="N530:N558" si="229">"IOF/JUROS/DESP.FINANCEIRA"</f>
        <v>IOF/JUROS/DESP.FINANCEIRA</v>
      </c>
      <c r="O530">
        <v>1.7</v>
      </c>
      <c r="R530" t="str">
        <f t="shared" ref="R530:R558" si="230">"BANCO CORA (102)"</f>
        <v>BANCO CORA (102)</v>
      </c>
      <c r="S530">
        <v>3071</v>
      </c>
      <c r="T530">
        <v>2587</v>
      </c>
      <c r="U530" t="s">
        <v>21</v>
      </c>
    </row>
    <row r="531" spans="1:21">
      <c r="A531" t="str">
        <f t="shared" si="212"/>
        <v>13/11/2025</v>
      </c>
      <c r="B531" t="str">
        <f t="shared" si="223"/>
        <v>SAÍDA</v>
      </c>
      <c r="C531" t="str">
        <f t="shared" si="224"/>
        <v>BOLETO</v>
      </c>
      <c r="D531" t="str">
        <f t="shared" si="225"/>
        <v>01112025</v>
      </c>
      <c r="E531" t="str">
        <f t="shared" si="214"/>
        <v>COM</v>
      </c>
      <c r="F531" t="str">
        <f t="shared" si="226"/>
        <v>CORA SOCIEDADE DE CREDITO, FINANCIAMENTO E INVESTIMENTO (20035)</v>
      </c>
      <c r="G531" t="str">
        <f t="shared" si="227"/>
        <v xml:space="preserve">TAXA BOLETO CORA </v>
      </c>
      <c r="H531" t="str">
        <f t="shared" si="228"/>
        <v>13/11/2025</v>
      </c>
      <c r="I531" t="str">
        <f t="shared" si="228"/>
        <v>13/11/2025</v>
      </c>
      <c r="J531" t="str">
        <f t="shared" si="213"/>
        <v>13/11/2025</v>
      </c>
      <c r="K531">
        <v>1.7</v>
      </c>
      <c r="L531">
        <v>1.7</v>
      </c>
      <c r="M531">
        <v>401</v>
      </c>
      <c r="N531" t="str">
        <f t="shared" si="229"/>
        <v>IOF/JUROS/DESP.FINANCEIRA</v>
      </c>
      <c r="O531">
        <v>1.7</v>
      </c>
      <c r="R531" t="str">
        <f t="shared" si="230"/>
        <v>BANCO CORA (102)</v>
      </c>
      <c r="S531">
        <v>3072</v>
      </c>
      <c r="T531">
        <v>2588</v>
      </c>
      <c r="U531" t="s">
        <v>21</v>
      </c>
    </row>
    <row r="532" spans="1:21">
      <c r="A532" t="str">
        <f t="shared" si="212"/>
        <v>13/11/2025</v>
      </c>
      <c r="B532" t="str">
        <f t="shared" si="223"/>
        <v>SAÍDA</v>
      </c>
      <c r="C532" t="str">
        <f t="shared" si="224"/>
        <v>BOLETO</v>
      </c>
      <c r="D532" t="str">
        <f t="shared" si="225"/>
        <v>01112025</v>
      </c>
      <c r="E532" t="str">
        <f t="shared" si="214"/>
        <v>COM</v>
      </c>
      <c r="F532" t="str">
        <f t="shared" si="226"/>
        <v>CORA SOCIEDADE DE CREDITO, FINANCIAMENTO E INVESTIMENTO (20035)</v>
      </c>
      <c r="G532" t="str">
        <f t="shared" si="227"/>
        <v xml:space="preserve">TAXA BOLETO CORA </v>
      </c>
      <c r="H532" t="str">
        <f t="shared" si="228"/>
        <v>13/11/2025</v>
      </c>
      <c r="I532" t="str">
        <f t="shared" si="228"/>
        <v>13/11/2025</v>
      </c>
      <c r="J532" t="str">
        <f t="shared" si="213"/>
        <v>13/11/2025</v>
      </c>
      <c r="K532">
        <v>1.7</v>
      </c>
      <c r="L532">
        <v>1.7</v>
      </c>
      <c r="M532">
        <v>401</v>
      </c>
      <c r="N532" t="str">
        <f t="shared" si="229"/>
        <v>IOF/JUROS/DESP.FINANCEIRA</v>
      </c>
      <c r="O532">
        <v>1.7</v>
      </c>
      <c r="R532" t="str">
        <f t="shared" si="230"/>
        <v>BANCO CORA (102)</v>
      </c>
      <c r="S532">
        <v>3073</v>
      </c>
      <c r="T532">
        <v>2589</v>
      </c>
      <c r="U532" t="s">
        <v>21</v>
      </c>
    </row>
    <row r="533" spans="1:21">
      <c r="A533" t="str">
        <f t="shared" si="212"/>
        <v>13/11/2025</v>
      </c>
      <c r="B533" t="str">
        <f t="shared" si="223"/>
        <v>SAÍDA</v>
      </c>
      <c r="C533" t="str">
        <f t="shared" si="224"/>
        <v>BOLETO</v>
      </c>
      <c r="D533" t="str">
        <f t="shared" si="225"/>
        <v>01112025</v>
      </c>
      <c r="E533" t="str">
        <f t="shared" si="214"/>
        <v>COM</v>
      </c>
      <c r="F533" t="str">
        <f t="shared" si="226"/>
        <v>CORA SOCIEDADE DE CREDITO, FINANCIAMENTO E INVESTIMENTO (20035)</v>
      </c>
      <c r="G533" t="str">
        <f t="shared" si="227"/>
        <v xml:space="preserve">TAXA BOLETO CORA </v>
      </c>
      <c r="H533" t="str">
        <f t="shared" si="228"/>
        <v>13/11/2025</v>
      </c>
      <c r="I533" t="str">
        <f t="shared" si="228"/>
        <v>13/11/2025</v>
      </c>
      <c r="J533" t="str">
        <f t="shared" si="213"/>
        <v>13/11/2025</v>
      </c>
      <c r="K533">
        <v>1.7</v>
      </c>
      <c r="L533">
        <v>1.7</v>
      </c>
      <c r="M533">
        <v>401</v>
      </c>
      <c r="N533" t="str">
        <f t="shared" si="229"/>
        <v>IOF/JUROS/DESP.FINANCEIRA</v>
      </c>
      <c r="O533">
        <v>1.7</v>
      </c>
      <c r="R533" t="str">
        <f t="shared" si="230"/>
        <v>BANCO CORA (102)</v>
      </c>
      <c r="S533">
        <v>3074</v>
      </c>
      <c r="T533">
        <v>2590</v>
      </c>
      <c r="U533" t="s">
        <v>21</v>
      </c>
    </row>
    <row r="534" spans="1:21">
      <c r="A534" t="str">
        <f t="shared" si="212"/>
        <v>13/11/2025</v>
      </c>
      <c r="B534" t="str">
        <f t="shared" si="223"/>
        <v>SAÍDA</v>
      </c>
      <c r="C534" t="str">
        <f t="shared" si="224"/>
        <v>BOLETO</v>
      </c>
      <c r="D534" t="str">
        <f t="shared" si="225"/>
        <v>01112025</v>
      </c>
      <c r="E534" t="str">
        <f t="shared" si="214"/>
        <v>COM</v>
      </c>
      <c r="F534" t="str">
        <f t="shared" si="226"/>
        <v>CORA SOCIEDADE DE CREDITO, FINANCIAMENTO E INVESTIMENTO (20035)</v>
      </c>
      <c r="G534" t="str">
        <f t="shared" si="227"/>
        <v xml:space="preserve">TAXA BOLETO CORA </v>
      </c>
      <c r="H534" t="str">
        <f t="shared" si="228"/>
        <v>13/11/2025</v>
      </c>
      <c r="I534" t="str">
        <f t="shared" si="228"/>
        <v>13/11/2025</v>
      </c>
      <c r="J534" t="str">
        <f t="shared" si="213"/>
        <v>13/11/2025</v>
      </c>
      <c r="K534">
        <v>1.7</v>
      </c>
      <c r="L534">
        <v>1.7</v>
      </c>
      <c r="M534">
        <v>401</v>
      </c>
      <c r="N534" t="str">
        <f t="shared" si="229"/>
        <v>IOF/JUROS/DESP.FINANCEIRA</v>
      </c>
      <c r="O534">
        <v>1.7</v>
      </c>
      <c r="R534" t="str">
        <f t="shared" si="230"/>
        <v>BANCO CORA (102)</v>
      </c>
      <c r="S534">
        <v>3075</v>
      </c>
      <c r="T534">
        <v>2591</v>
      </c>
      <c r="U534" t="s">
        <v>21</v>
      </c>
    </row>
    <row r="535" spans="1:21">
      <c r="A535" t="str">
        <f t="shared" si="212"/>
        <v>13/11/2025</v>
      </c>
      <c r="B535" t="str">
        <f t="shared" si="223"/>
        <v>SAÍDA</v>
      </c>
      <c r="C535" t="str">
        <f t="shared" si="224"/>
        <v>BOLETO</v>
      </c>
      <c r="D535" t="str">
        <f t="shared" si="225"/>
        <v>01112025</v>
      </c>
      <c r="E535" t="str">
        <f t="shared" si="214"/>
        <v>COM</v>
      </c>
      <c r="F535" t="str">
        <f t="shared" si="226"/>
        <v>CORA SOCIEDADE DE CREDITO, FINANCIAMENTO E INVESTIMENTO (20035)</v>
      </c>
      <c r="G535" t="str">
        <f t="shared" si="227"/>
        <v xml:space="preserve">TAXA BOLETO CORA </v>
      </c>
      <c r="H535" t="str">
        <f t="shared" si="228"/>
        <v>13/11/2025</v>
      </c>
      <c r="I535" t="str">
        <f t="shared" si="228"/>
        <v>13/11/2025</v>
      </c>
      <c r="J535" t="str">
        <f t="shared" si="213"/>
        <v>13/11/2025</v>
      </c>
      <c r="K535">
        <v>1.7</v>
      </c>
      <c r="L535">
        <v>1.7</v>
      </c>
      <c r="M535">
        <v>401</v>
      </c>
      <c r="N535" t="str">
        <f t="shared" si="229"/>
        <v>IOF/JUROS/DESP.FINANCEIRA</v>
      </c>
      <c r="O535">
        <v>1.7</v>
      </c>
      <c r="R535" t="str">
        <f t="shared" si="230"/>
        <v>BANCO CORA (102)</v>
      </c>
      <c r="S535">
        <v>3076</v>
      </c>
      <c r="T535">
        <v>2592</v>
      </c>
      <c r="U535" t="s">
        <v>21</v>
      </c>
    </row>
    <row r="536" spans="1:21">
      <c r="A536" t="str">
        <f t="shared" si="212"/>
        <v>13/11/2025</v>
      </c>
      <c r="B536" t="str">
        <f t="shared" si="223"/>
        <v>SAÍDA</v>
      </c>
      <c r="C536" t="str">
        <f t="shared" si="224"/>
        <v>BOLETO</v>
      </c>
      <c r="D536" t="str">
        <f t="shared" si="225"/>
        <v>01112025</v>
      </c>
      <c r="E536" t="str">
        <f t="shared" si="214"/>
        <v>COM</v>
      </c>
      <c r="F536" t="str">
        <f t="shared" si="226"/>
        <v>CORA SOCIEDADE DE CREDITO, FINANCIAMENTO E INVESTIMENTO (20035)</v>
      </c>
      <c r="G536" t="str">
        <f t="shared" si="227"/>
        <v xml:space="preserve">TAXA BOLETO CORA </v>
      </c>
      <c r="H536" t="str">
        <f t="shared" si="228"/>
        <v>13/11/2025</v>
      </c>
      <c r="I536" t="str">
        <f t="shared" si="228"/>
        <v>13/11/2025</v>
      </c>
      <c r="J536" t="str">
        <f t="shared" si="213"/>
        <v>13/11/2025</v>
      </c>
      <c r="K536">
        <v>1.7</v>
      </c>
      <c r="L536">
        <v>1.7</v>
      </c>
      <c r="M536">
        <v>401</v>
      </c>
      <c r="N536" t="str">
        <f t="shared" si="229"/>
        <v>IOF/JUROS/DESP.FINANCEIRA</v>
      </c>
      <c r="O536">
        <v>1.7</v>
      </c>
      <c r="R536" t="str">
        <f t="shared" si="230"/>
        <v>BANCO CORA (102)</v>
      </c>
      <c r="S536">
        <v>3077</v>
      </c>
      <c r="T536">
        <v>2593</v>
      </c>
      <c r="U536" t="s">
        <v>21</v>
      </c>
    </row>
    <row r="537" spans="1:21">
      <c r="A537" t="str">
        <f t="shared" si="212"/>
        <v>13/11/2025</v>
      </c>
      <c r="B537" t="str">
        <f t="shared" si="223"/>
        <v>SAÍDA</v>
      </c>
      <c r="C537" t="str">
        <f t="shared" si="224"/>
        <v>BOLETO</v>
      </c>
      <c r="D537" t="str">
        <f t="shared" si="225"/>
        <v>01112025</v>
      </c>
      <c r="E537" t="str">
        <f t="shared" si="214"/>
        <v>COM</v>
      </c>
      <c r="F537" t="str">
        <f t="shared" si="226"/>
        <v>CORA SOCIEDADE DE CREDITO, FINANCIAMENTO E INVESTIMENTO (20035)</v>
      </c>
      <c r="G537" t="str">
        <f t="shared" si="227"/>
        <v xml:space="preserve">TAXA BOLETO CORA </v>
      </c>
      <c r="H537" t="str">
        <f t="shared" si="228"/>
        <v>13/11/2025</v>
      </c>
      <c r="I537" t="str">
        <f t="shared" si="228"/>
        <v>13/11/2025</v>
      </c>
      <c r="J537" t="str">
        <f t="shared" si="213"/>
        <v>13/11/2025</v>
      </c>
      <c r="K537">
        <v>1.7</v>
      </c>
      <c r="L537">
        <v>1.7</v>
      </c>
      <c r="M537">
        <v>401</v>
      </c>
      <c r="N537" t="str">
        <f t="shared" si="229"/>
        <v>IOF/JUROS/DESP.FINANCEIRA</v>
      </c>
      <c r="O537">
        <v>1.7</v>
      </c>
      <c r="R537" t="str">
        <f t="shared" si="230"/>
        <v>BANCO CORA (102)</v>
      </c>
      <c r="S537">
        <v>3078</v>
      </c>
      <c r="T537">
        <v>2594</v>
      </c>
      <c r="U537" t="s">
        <v>21</v>
      </c>
    </row>
    <row r="538" spans="1:21">
      <c r="A538" t="str">
        <f t="shared" si="212"/>
        <v>13/11/2025</v>
      </c>
      <c r="B538" t="str">
        <f t="shared" si="223"/>
        <v>SAÍDA</v>
      </c>
      <c r="C538" t="str">
        <f t="shared" si="224"/>
        <v>BOLETO</v>
      </c>
      <c r="D538" t="str">
        <f t="shared" si="225"/>
        <v>01112025</v>
      </c>
      <c r="E538" t="str">
        <f t="shared" si="214"/>
        <v>COM</v>
      </c>
      <c r="F538" t="str">
        <f t="shared" si="226"/>
        <v>CORA SOCIEDADE DE CREDITO, FINANCIAMENTO E INVESTIMENTO (20035)</v>
      </c>
      <c r="G538" t="str">
        <f t="shared" si="227"/>
        <v xml:space="preserve">TAXA BOLETO CORA </v>
      </c>
      <c r="H538" t="str">
        <f t="shared" si="228"/>
        <v>13/11/2025</v>
      </c>
      <c r="I538" t="str">
        <f t="shared" si="228"/>
        <v>13/11/2025</v>
      </c>
      <c r="J538" t="str">
        <f t="shared" si="213"/>
        <v>13/11/2025</v>
      </c>
      <c r="K538">
        <v>1.7</v>
      </c>
      <c r="L538">
        <v>1.7</v>
      </c>
      <c r="M538">
        <v>401</v>
      </c>
      <c r="N538" t="str">
        <f t="shared" si="229"/>
        <v>IOF/JUROS/DESP.FINANCEIRA</v>
      </c>
      <c r="O538">
        <v>1.7</v>
      </c>
      <c r="R538" t="str">
        <f t="shared" si="230"/>
        <v>BANCO CORA (102)</v>
      </c>
      <c r="S538">
        <v>3079</v>
      </c>
      <c r="T538">
        <v>2595</v>
      </c>
      <c r="U538" t="s">
        <v>21</v>
      </c>
    </row>
    <row r="539" spans="1:21">
      <c r="A539" t="str">
        <f t="shared" ref="A539:A559" si="231">("13/11/2025")</f>
        <v>13/11/2025</v>
      </c>
      <c r="B539" t="str">
        <f t="shared" si="223"/>
        <v>SAÍDA</v>
      </c>
      <c r="C539" t="str">
        <f t="shared" si="224"/>
        <v>BOLETO</v>
      </c>
      <c r="D539" t="str">
        <f t="shared" si="225"/>
        <v>01112025</v>
      </c>
      <c r="E539" t="str">
        <f t="shared" si="214"/>
        <v>COM</v>
      </c>
      <c r="F539" t="str">
        <f t="shared" si="226"/>
        <v>CORA SOCIEDADE DE CREDITO, FINANCIAMENTO E INVESTIMENTO (20035)</v>
      </c>
      <c r="G539" t="str">
        <f t="shared" si="227"/>
        <v xml:space="preserve">TAXA BOLETO CORA </v>
      </c>
      <c r="H539" t="str">
        <f t="shared" si="228"/>
        <v>13/11/2025</v>
      </c>
      <c r="I539" t="str">
        <f t="shared" si="228"/>
        <v>13/11/2025</v>
      </c>
      <c r="J539" t="str">
        <f t="shared" ref="J539:J559" si="232">("13/11/2025")</f>
        <v>13/11/2025</v>
      </c>
      <c r="K539">
        <v>1.7</v>
      </c>
      <c r="L539">
        <v>1.7</v>
      </c>
      <c r="M539">
        <v>401</v>
      </c>
      <c r="N539" t="str">
        <f t="shared" si="229"/>
        <v>IOF/JUROS/DESP.FINANCEIRA</v>
      </c>
      <c r="O539">
        <v>1.7</v>
      </c>
      <c r="R539" t="str">
        <f t="shared" si="230"/>
        <v>BANCO CORA (102)</v>
      </c>
      <c r="S539">
        <v>3080</v>
      </c>
      <c r="T539">
        <v>2596</v>
      </c>
      <c r="U539" t="s">
        <v>21</v>
      </c>
    </row>
    <row r="540" spans="1:21">
      <c r="A540" t="str">
        <f t="shared" si="231"/>
        <v>13/11/2025</v>
      </c>
      <c r="B540" t="str">
        <f t="shared" si="223"/>
        <v>SAÍDA</v>
      </c>
      <c r="C540" t="str">
        <f t="shared" si="224"/>
        <v>BOLETO</v>
      </c>
      <c r="D540" t="str">
        <f t="shared" si="225"/>
        <v>01112025</v>
      </c>
      <c r="E540" t="str">
        <f t="shared" si="214"/>
        <v>COM</v>
      </c>
      <c r="F540" t="str">
        <f t="shared" si="226"/>
        <v>CORA SOCIEDADE DE CREDITO, FINANCIAMENTO E INVESTIMENTO (20035)</v>
      </c>
      <c r="G540" t="str">
        <f t="shared" si="227"/>
        <v xml:space="preserve">TAXA BOLETO CORA </v>
      </c>
      <c r="H540" t="str">
        <f t="shared" si="228"/>
        <v>13/11/2025</v>
      </c>
      <c r="I540" t="str">
        <f t="shared" si="228"/>
        <v>13/11/2025</v>
      </c>
      <c r="J540" t="str">
        <f t="shared" si="232"/>
        <v>13/11/2025</v>
      </c>
      <c r="K540">
        <v>0.5</v>
      </c>
      <c r="L540">
        <v>0.5</v>
      </c>
      <c r="M540">
        <v>401</v>
      </c>
      <c r="N540" t="str">
        <f t="shared" si="229"/>
        <v>IOF/JUROS/DESP.FINANCEIRA</v>
      </c>
      <c r="O540">
        <v>0.5</v>
      </c>
      <c r="R540" t="str">
        <f t="shared" si="230"/>
        <v>BANCO CORA (102)</v>
      </c>
      <c r="S540">
        <v>3081</v>
      </c>
      <c r="T540">
        <v>2597</v>
      </c>
      <c r="U540" t="s">
        <v>21</v>
      </c>
    </row>
    <row r="541" spans="1:21">
      <c r="A541" t="str">
        <f t="shared" si="231"/>
        <v>13/11/2025</v>
      </c>
      <c r="B541" t="str">
        <f t="shared" si="223"/>
        <v>SAÍDA</v>
      </c>
      <c r="C541" t="str">
        <f t="shared" si="224"/>
        <v>BOLETO</v>
      </c>
      <c r="D541" t="str">
        <f t="shared" si="225"/>
        <v>01112025</v>
      </c>
      <c r="E541" t="str">
        <f t="shared" si="214"/>
        <v>COM</v>
      </c>
      <c r="F541" t="str">
        <f t="shared" si="226"/>
        <v>CORA SOCIEDADE DE CREDITO, FINANCIAMENTO E INVESTIMENTO (20035)</v>
      </c>
      <c r="G541" t="str">
        <f t="shared" si="227"/>
        <v xml:space="preserve">TAXA BOLETO CORA </v>
      </c>
      <c r="H541" t="str">
        <f t="shared" si="228"/>
        <v>13/11/2025</v>
      </c>
      <c r="I541" t="str">
        <f t="shared" si="228"/>
        <v>13/11/2025</v>
      </c>
      <c r="J541" t="str">
        <f t="shared" si="232"/>
        <v>13/11/2025</v>
      </c>
      <c r="K541">
        <v>1.7</v>
      </c>
      <c r="L541">
        <v>1.7</v>
      </c>
      <c r="M541">
        <v>401</v>
      </c>
      <c r="N541" t="str">
        <f t="shared" si="229"/>
        <v>IOF/JUROS/DESP.FINANCEIRA</v>
      </c>
      <c r="O541">
        <v>1.7</v>
      </c>
      <c r="R541" t="str">
        <f t="shared" si="230"/>
        <v>BANCO CORA (102)</v>
      </c>
      <c r="S541">
        <v>3082</v>
      </c>
      <c r="T541">
        <v>2598</v>
      </c>
      <c r="U541" t="s">
        <v>21</v>
      </c>
    </row>
    <row r="542" spans="1:21">
      <c r="A542" t="str">
        <f t="shared" si="231"/>
        <v>13/11/2025</v>
      </c>
      <c r="B542" t="str">
        <f t="shared" si="223"/>
        <v>SAÍDA</v>
      </c>
      <c r="C542" t="str">
        <f t="shared" si="224"/>
        <v>BOLETO</v>
      </c>
      <c r="D542" t="str">
        <f t="shared" si="225"/>
        <v>01112025</v>
      </c>
      <c r="E542" t="str">
        <f t="shared" si="214"/>
        <v>COM</v>
      </c>
      <c r="F542" t="str">
        <f t="shared" si="226"/>
        <v>CORA SOCIEDADE DE CREDITO, FINANCIAMENTO E INVESTIMENTO (20035)</v>
      </c>
      <c r="G542" t="str">
        <f t="shared" si="227"/>
        <v xml:space="preserve">TAXA BOLETO CORA </v>
      </c>
      <c r="H542" t="str">
        <f t="shared" si="228"/>
        <v>13/11/2025</v>
      </c>
      <c r="I542" t="str">
        <f t="shared" si="228"/>
        <v>13/11/2025</v>
      </c>
      <c r="J542" t="str">
        <f t="shared" si="232"/>
        <v>13/11/2025</v>
      </c>
      <c r="K542">
        <v>1.7</v>
      </c>
      <c r="L542">
        <v>1.7</v>
      </c>
      <c r="M542">
        <v>401</v>
      </c>
      <c r="N542" t="str">
        <f t="shared" si="229"/>
        <v>IOF/JUROS/DESP.FINANCEIRA</v>
      </c>
      <c r="O542">
        <v>1.7</v>
      </c>
      <c r="R542" t="str">
        <f t="shared" si="230"/>
        <v>BANCO CORA (102)</v>
      </c>
      <c r="S542">
        <v>3083</v>
      </c>
      <c r="T542">
        <v>2599</v>
      </c>
      <c r="U542" t="s">
        <v>21</v>
      </c>
    </row>
    <row r="543" spans="1:21">
      <c r="A543" t="str">
        <f t="shared" si="231"/>
        <v>13/11/2025</v>
      </c>
      <c r="B543" t="str">
        <f t="shared" si="223"/>
        <v>SAÍDA</v>
      </c>
      <c r="C543" t="str">
        <f t="shared" si="224"/>
        <v>BOLETO</v>
      </c>
      <c r="D543" t="str">
        <f t="shared" si="225"/>
        <v>01112025</v>
      </c>
      <c r="E543" t="str">
        <f t="shared" si="214"/>
        <v>COM</v>
      </c>
      <c r="F543" t="str">
        <f t="shared" si="226"/>
        <v>CORA SOCIEDADE DE CREDITO, FINANCIAMENTO E INVESTIMENTO (20035)</v>
      </c>
      <c r="G543" t="str">
        <f t="shared" si="227"/>
        <v xml:space="preserve">TAXA BOLETO CORA </v>
      </c>
      <c r="H543" t="str">
        <f t="shared" si="228"/>
        <v>13/11/2025</v>
      </c>
      <c r="I543" t="str">
        <f t="shared" si="228"/>
        <v>13/11/2025</v>
      </c>
      <c r="J543" t="str">
        <f t="shared" si="232"/>
        <v>13/11/2025</v>
      </c>
      <c r="K543">
        <v>1.7</v>
      </c>
      <c r="L543">
        <v>1.7</v>
      </c>
      <c r="M543">
        <v>401</v>
      </c>
      <c r="N543" t="str">
        <f t="shared" si="229"/>
        <v>IOF/JUROS/DESP.FINANCEIRA</v>
      </c>
      <c r="O543">
        <v>1.7</v>
      </c>
      <c r="R543" t="str">
        <f t="shared" si="230"/>
        <v>BANCO CORA (102)</v>
      </c>
      <c r="S543">
        <v>3084</v>
      </c>
      <c r="T543">
        <v>2600</v>
      </c>
      <c r="U543" t="s">
        <v>21</v>
      </c>
    </row>
    <row r="544" spans="1:21">
      <c r="A544" t="str">
        <f t="shared" si="231"/>
        <v>13/11/2025</v>
      </c>
      <c r="B544" t="str">
        <f t="shared" si="223"/>
        <v>SAÍDA</v>
      </c>
      <c r="C544" t="str">
        <f t="shared" si="224"/>
        <v>BOLETO</v>
      </c>
      <c r="D544" t="str">
        <f t="shared" si="225"/>
        <v>01112025</v>
      </c>
      <c r="E544" t="str">
        <f t="shared" si="214"/>
        <v>COM</v>
      </c>
      <c r="F544" t="str">
        <f t="shared" si="226"/>
        <v>CORA SOCIEDADE DE CREDITO, FINANCIAMENTO E INVESTIMENTO (20035)</v>
      </c>
      <c r="G544" t="str">
        <f t="shared" si="227"/>
        <v xml:space="preserve">TAXA BOLETO CORA </v>
      </c>
      <c r="H544" t="str">
        <f t="shared" si="228"/>
        <v>13/11/2025</v>
      </c>
      <c r="I544" t="str">
        <f t="shared" si="228"/>
        <v>13/11/2025</v>
      </c>
      <c r="J544" t="str">
        <f t="shared" si="232"/>
        <v>13/11/2025</v>
      </c>
      <c r="K544">
        <v>1.7</v>
      </c>
      <c r="L544">
        <v>1.7</v>
      </c>
      <c r="M544">
        <v>401</v>
      </c>
      <c r="N544" t="str">
        <f t="shared" si="229"/>
        <v>IOF/JUROS/DESP.FINANCEIRA</v>
      </c>
      <c r="O544">
        <v>1.7</v>
      </c>
      <c r="R544" t="str">
        <f t="shared" si="230"/>
        <v>BANCO CORA (102)</v>
      </c>
      <c r="S544">
        <v>3085</v>
      </c>
      <c r="T544">
        <v>2601</v>
      </c>
      <c r="U544" t="s">
        <v>21</v>
      </c>
    </row>
    <row r="545" spans="1:21">
      <c r="A545" t="str">
        <f t="shared" si="231"/>
        <v>13/11/2025</v>
      </c>
      <c r="B545" t="str">
        <f t="shared" si="223"/>
        <v>SAÍDA</v>
      </c>
      <c r="C545" t="str">
        <f t="shared" si="224"/>
        <v>BOLETO</v>
      </c>
      <c r="D545" t="str">
        <f t="shared" si="225"/>
        <v>01112025</v>
      </c>
      <c r="E545" t="str">
        <f t="shared" si="214"/>
        <v>COM</v>
      </c>
      <c r="F545" t="str">
        <f t="shared" si="226"/>
        <v>CORA SOCIEDADE DE CREDITO, FINANCIAMENTO E INVESTIMENTO (20035)</v>
      </c>
      <c r="G545" t="str">
        <f t="shared" si="227"/>
        <v xml:space="preserve">TAXA BOLETO CORA </v>
      </c>
      <c r="H545" t="str">
        <f t="shared" si="228"/>
        <v>13/11/2025</v>
      </c>
      <c r="I545" t="str">
        <f t="shared" si="228"/>
        <v>13/11/2025</v>
      </c>
      <c r="J545" t="str">
        <f t="shared" si="232"/>
        <v>13/11/2025</v>
      </c>
      <c r="K545">
        <v>1.7</v>
      </c>
      <c r="L545">
        <v>1.7</v>
      </c>
      <c r="M545">
        <v>401</v>
      </c>
      <c r="N545" t="str">
        <f t="shared" si="229"/>
        <v>IOF/JUROS/DESP.FINANCEIRA</v>
      </c>
      <c r="O545">
        <v>1.7</v>
      </c>
      <c r="R545" t="str">
        <f t="shared" si="230"/>
        <v>BANCO CORA (102)</v>
      </c>
      <c r="S545">
        <v>3086</v>
      </c>
      <c r="T545">
        <v>2602</v>
      </c>
      <c r="U545" t="s">
        <v>21</v>
      </c>
    </row>
    <row r="546" spans="1:21">
      <c r="A546" t="str">
        <f t="shared" si="231"/>
        <v>13/11/2025</v>
      </c>
      <c r="B546" t="str">
        <f t="shared" si="223"/>
        <v>SAÍDA</v>
      </c>
      <c r="C546" t="str">
        <f t="shared" si="224"/>
        <v>BOLETO</v>
      </c>
      <c r="D546" t="str">
        <f t="shared" si="225"/>
        <v>01112025</v>
      </c>
      <c r="E546" t="str">
        <f t="shared" si="214"/>
        <v>COM</v>
      </c>
      <c r="F546" t="str">
        <f t="shared" si="226"/>
        <v>CORA SOCIEDADE DE CREDITO, FINANCIAMENTO E INVESTIMENTO (20035)</v>
      </c>
      <c r="G546" t="str">
        <f t="shared" si="227"/>
        <v xml:space="preserve">TAXA BOLETO CORA </v>
      </c>
      <c r="H546" t="str">
        <f t="shared" si="228"/>
        <v>13/11/2025</v>
      </c>
      <c r="I546" t="str">
        <f t="shared" si="228"/>
        <v>13/11/2025</v>
      </c>
      <c r="J546" t="str">
        <f t="shared" si="232"/>
        <v>13/11/2025</v>
      </c>
      <c r="K546">
        <v>1.7</v>
      </c>
      <c r="L546">
        <v>1.7</v>
      </c>
      <c r="M546">
        <v>401</v>
      </c>
      <c r="N546" t="str">
        <f t="shared" si="229"/>
        <v>IOF/JUROS/DESP.FINANCEIRA</v>
      </c>
      <c r="O546">
        <v>1.7</v>
      </c>
      <c r="R546" t="str">
        <f t="shared" si="230"/>
        <v>BANCO CORA (102)</v>
      </c>
      <c r="S546">
        <v>3087</v>
      </c>
      <c r="T546">
        <v>2603</v>
      </c>
      <c r="U546" t="s">
        <v>21</v>
      </c>
    </row>
    <row r="547" spans="1:21">
      <c r="A547" t="str">
        <f t="shared" si="231"/>
        <v>13/11/2025</v>
      </c>
      <c r="B547" t="str">
        <f t="shared" si="223"/>
        <v>SAÍDA</v>
      </c>
      <c r="C547" t="str">
        <f t="shared" si="224"/>
        <v>BOLETO</v>
      </c>
      <c r="D547" t="str">
        <f t="shared" si="225"/>
        <v>01112025</v>
      </c>
      <c r="E547" t="str">
        <f t="shared" si="214"/>
        <v>COM</v>
      </c>
      <c r="F547" t="str">
        <f t="shared" si="226"/>
        <v>CORA SOCIEDADE DE CREDITO, FINANCIAMENTO E INVESTIMENTO (20035)</v>
      </c>
      <c r="G547" t="str">
        <f t="shared" si="227"/>
        <v xml:space="preserve">TAXA BOLETO CORA </v>
      </c>
      <c r="H547" t="str">
        <f t="shared" si="228"/>
        <v>13/11/2025</v>
      </c>
      <c r="I547" t="str">
        <f t="shared" si="228"/>
        <v>13/11/2025</v>
      </c>
      <c r="J547" t="str">
        <f t="shared" si="232"/>
        <v>13/11/2025</v>
      </c>
      <c r="K547">
        <v>1.7</v>
      </c>
      <c r="L547">
        <v>1.7</v>
      </c>
      <c r="M547">
        <v>401</v>
      </c>
      <c r="N547" t="str">
        <f t="shared" si="229"/>
        <v>IOF/JUROS/DESP.FINANCEIRA</v>
      </c>
      <c r="O547">
        <v>1.7</v>
      </c>
      <c r="R547" t="str">
        <f t="shared" si="230"/>
        <v>BANCO CORA (102)</v>
      </c>
      <c r="S547">
        <v>3088</v>
      </c>
      <c r="T547">
        <v>2604</v>
      </c>
      <c r="U547" t="s">
        <v>21</v>
      </c>
    </row>
    <row r="548" spans="1:21">
      <c r="A548" t="str">
        <f t="shared" si="231"/>
        <v>13/11/2025</v>
      </c>
      <c r="B548" t="str">
        <f t="shared" si="223"/>
        <v>SAÍDA</v>
      </c>
      <c r="C548" t="str">
        <f t="shared" si="224"/>
        <v>BOLETO</v>
      </c>
      <c r="D548" t="str">
        <f t="shared" si="225"/>
        <v>01112025</v>
      </c>
      <c r="E548" t="str">
        <f t="shared" si="214"/>
        <v>COM</v>
      </c>
      <c r="F548" t="str">
        <f t="shared" si="226"/>
        <v>CORA SOCIEDADE DE CREDITO, FINANCIAMENTO E INVESTIMENTO (20035)</v>
      </c>
      <c r="G548" t="str">
        <f t="shared" si="227"/>
        <v xml:space="preserve">TAXA BOLETO CORA </v>
      </c>
      <c r="H548" t="str">
        <f t="shared" si="228"/>
        <v>13/11/2025</v>
      </c>
      <c r="I548" t="str">
        <f t="shared" si="228"/>
        <v>13/11/2025</v>
      </c>
      <c r="J548" t="str">
        <f t="shared" si="232"/>
        <v>13/11/2025</v>
      </c>
      <c r="K548">
        <v>1.7</v>
      </c>
      <c r="L548">
        <v>1.7</v>
      </c>
      <c r="M548">
        <v>401</v>
      </c>
      <c r="N548" t="str">
        <f t="shared" si="229"/>
        <v>IOF/JUROS/DESP.FINANCEIRA</v>
      </c>
      <c r="O548">
        <v>1.7</v>
      </c>
      <c r="R548" t="str">
        <f t="shared" si="230"/>
        <v>BANCO CORA (102)</v>
      </c>
      <c r="S548">
        <v>3089</v>
      </c>
      <c r="T548">
        <v>2605</v>
      </c>
      <c r="U548" t="s">
        <v>21</v>
      </c>
    </row>
    <row r="549" spans="1:21">
      <c r="A549" t="str">
        <f t="shared" si="231"/>
        <v>13/11/2025</v>
      </c>
      <c r="B549" t="str">
        <f t="shared" si="223"/>
        <v>SAÍDA</v>
      </c>
      <c r="C549" t="str">
        <f t="shared" si="224"/>
        <v>BOLETO</v>
      </c>
      <c r="D549" t="str">
        <f t="shared" si="225"/>
        <v>01112025</v>
      </c>
      <c r="E549" t="str">
        <f t="shared" si="214"/>
        <v>COM</v>
      </c>
      <c r="F549" t="str">
        <f t="shared" si="226"/>
        <v>CORA SOCIEDADE DE CREDITO, FINANCIAMENTO E INVESTIMENTO (20035)</v>
      </c>
      <c r="G549" t="str">
        <f t="shared" si="227"/>
        <v xml:space="preserve">TAXA BOLETO CORA </v>
      </c>
      <c r="H549" t="str">
        <f t="shared" si="228"/>
        <v>13/11/2025</v>
      </c>
      <c r="I549" t="str">
        <f t="shared" si="228"/>
        <v>13/11/2025</v>
      </c>
      <c r="J549" t="str">
        <f t="shared" si="232"/>
        <v>13/11/2025</v>
      </c>
      <c r="K549">
        <v>1.7</v>
      </c>
      <c r="L549">
        <v>1.7</v>
      </c>
      <c r="M549">
        <v>401</v>
      </c>
      <c r="N549" t="str">
        <f t="shared" si="229"/>
        <v>IOF/JUROS/DESP.FINANCEIRA</v>
      </c>
      <c r="O549">
        <v>1.7</v>
      </c>
      <c r="R549" t="str">
        <f t="shared" si="230"/>
        <v>BANCO CORA (102)</v>
      </c>
      <c r="S549">
        <v>3090</v>
      </c>
      <c r="T549">
        <v>2606</v>
      </c>
      <c r="U549" t="s">
        <v>21</v>
      </c>
    </row>
    <row r="550" spans="1:21">
      <c r="A550" t="str">
        <f t="shared" si="231"/>
        <v>13/11/2025</v>
      </c>
      <c r="B550" t="str">
        <f t="shared" si="223"/>
        <v>SAÍDA</v>
      </c>
      <c r="C550" t="str">
        <f t="shared" si="224"/>
        <v>BOLETO</v>
      </c>
      <c r="D550" t="str">
        <f t="shared" si="225"/>
        <v>01112025</v>
      </c>
      <c r="E550" t="str">
        <f t="shared" si="214"/>
        <v>COM</v>
      </c>
      <c r="F550" t="str">
        <f t="shared" si="226"/>
        <v>CORA SOCIEDADE DE CREDITO, FINANCIAMENTO E INVESTIMENTO (20035)</v>
      </c>
      <c r="G550" t="str">
        <f t="shared" si="227"/>
        <v xml:space="preserve">TAXA BOLETO CORA </v>
      </c>
      <c r="H550" t="str">
        <f t="shared" si="228"/>
        <v>13/11/2025</v>
      </c>
      <c r="I550" t="str">
        <f t="shared" si="228"/>
        <v>13/11/2025</v>
      </c>
      <c r="J550" t="str">
        <f t="shared" si="232"/>
        <v>13/11/2025</v>
      </c>
      <c r="K550">
        <v>1.7</v>
      </c>
      <c r="L550">
        <v>1.7</v>
      </c>
      <c r="M550">
        <v>401</v>
      </c>
      <c r="N550" t="str">
        <f t="shared" si="229"/>
        <v>IOF/JUROS/DESP.FINANCEIRA</v>
      </c>
      <c r="O550">
        <v>1.7</v>
      </c>
      <c r="R550" t="str">
        <f t="shared" si="230"/>
        <v>BANCO CORA (102)</v>
      </c>
      <c r="S550">
        <v>3091</v>
      </c>
      <c r="T550">
        <v>2607</v>
      </c>
      <c r="U550" t="s">
        <v>21</v>
      </c>
    </row>
    <row r="551" spans="1:21">
      <c r="A551" t="str">
        <f t="shared" si="231"/>
        <v>13/11/2025</v>
      </c>
      <c r="B551" t="str">
        <f t="shared" si="223"/>
        <v>SAÍDA</v>
      </c>
      <c r="C551" t="str">
        <f t="shared" si="224"/>
        <v>BOLETO</v>
      </c>
      <c r="D551" t="str">
        <f t="shared" si="225"/>
        <v>01112025</v>
      </c>
      <c r="E551" t="str">
        <f t="shared" si="214"/>
        <v>COM</v>
      </c>
      <c r="F551" t="str">
        <f t="shared" si="226"/>
        <v>CORA SOCIEDADE DE CREDITO, FINANCIAMENTO E INVESTIMENTO (20035)</v>
      </c>
      <c r="G551" t="str">
        <f t="shared" si="227"/>
        <v xml:space="preserve">TAXA BOLETO CORA </v>
      </c>
      <c r="H551" t="str">
        <f t="shared" si="228"/>
        <v>13/11/2025</v>
      </c>
      <c r="I551" t="str">
        <f t="shared" si="228"/>
        <v>13/11/2025</v>
      </c>
      <c r="J551" t="str">
        <f t="shared" si="232"/>
        <v>13/11/2025</v>
      </c>
      <c r="K551">
        <v>1.7</v>
      </c>
      <c r="L551">
        <v>1.7</v>
      </c>
      <c r="M551">
        <v>401</v>
      </c>
      <c r="N551" t="str">
        <f t="shared" si="229"/>
        <v>IOF/JUROS/DESP.FINANCEIRA</v>
      </c>
      <c r="O551">
        <v>1.7</v>
      </c>
      <c r="R551" t="str">
        <f t="shared" si="230"/>
        <v>BANCO CORA (102)</v>
      </c>
      <c r="S551">
        <v>3092</v>
      </c>
      <c r="T551">
        <v>2608</v>
      </c>
      <c r="U551" t="s">
        <v>21</v>
      </c>
    </row>
    <row r="552" spans="1:21">
      <c r="A552" t="str">
        <f t="shared" si="231"/>
        <v>13/11/2025</v>
      </c>
      <c r="B552" t="str">
        <f t="shared" si="223"/>
        <v>SAÍDA</v>
      </c>
      <c r="C552" t="str">
        <f t="shared" si="224"/>
        <v>BOLETO</v>
      </c>
      <c r="D552" t="str">
        <f t="shared" si="225"/>
        <v>01112025</v>
      </c>
      <c r="E552" t="str">
        <f t="shared" si="214"/>
        <v>COM</v>
      </c>
      <c r="F552" t="str">
        <f t="shared" si="226"/>
        <v>CORA SOCIEDADE DE CREDITO, FINANCIAMENTO E INVESTIMENTO (20035)</v>
      </c>
      <c r="G552" t="str">
        <f t="shared" si="227"/>
        <v xml:space="preserve">TAXA BOLETO CORA </v>
      </c>
      <c r="H552" t="str">
        <f t="shared" si="228"/>
        <v>13/11/2025</v>
      </c>
      <c r="I552" t="str">
        <f t="shared" si="228"/>
        <v>13/11/2025</v>
      </c>
      <c r="J552" t="str">
        <f t="shared" si="232"/>
        <v>13/11/2025</v>
      </c>
      <c r="K552">
        <v>1.7</v>
      </c>
      <c r="L552">
        <v>1.7</v>
      </c>
      <c r="M552">
        <v>401</v>
      </c>
      <c r="N552" t="str">
        <f t="shared" si="229"/>
        <v>IOF/JUROS/DESP.FINANCEIRA</v>
      </c>
      <c r="O552">
        <v>1.7</v>
      </c>
      <c r="R552" t="str">
        <f t="shared" si="230"/>
        <v>BANCO CORA (102)</v>
      </c>
      <c r="S552">
        <v>3093</v>
      </c>
      <c r="T552">
        <v>2609</v>
      </c>
      <c r="U552" t="s">
        <v>21</v>
      </c>
    </row>
    <row r="553" spans="1:21">
      <c r="A553" t="str">
        <f t="shared" si="231"/>
        <v>13/11/2025</v>
      </c>
      <c r="B553" t="str">
        <f t="shared" si="223"/>
        <v>SAÍDA</v>
      </c>
      <c r="C553" t="str">
        <f t="shared" si="224"/>
        <v>BOLETO</v>
      </c>
      <c r="D553" t="str">
        <f t="shared" si="225"/>
        <v>01112025</v>
      </c>
      <c r="E553" t="str">
        <f t="shared" si="214"/>
        <v>COM</v>
      </c>
      <c r="F553" t="str">
        <f t="shared" si="226"/>
        <v>CORA SOCIEDADE DE CREDITO, FINANCIAMENTO E INVESTIMENTO (20035)</v>
      </c>
      <c r="G553" t="str">
        <f t="shared" si="227"/>
        <v xml:space="preserve">TAXA BOLETO CORA </v>
      </c>
      <c r="H553" t="str">
        <f t="shared" si="228"/>
        <v>13/11/2025</v>
      </c>
      <c r="I553" t="str">
        <f t="shared" si="228"/>
        <v>13/11/2025</v>
      </c>
      <c r="J553" t="str">
        <f t="shared" si="232"/>
        <v>13/11/2025</v>
      </c>
      <c r="K553">
        <v>1.7</v>
      </c>
      <c r="L553">
        <v>1.7</v>
      </c>
      <c r="M553">
        <v>401</v>
      </c>
      <c r="N553" t="str">
        <f t="shared" si="229"/>
        <v>IOF/JUROS/DESP.FINANCEIRA</v>
      </c>
      <c r="O553">
        <v>1.7</v>
      </c>
      <c r="R553" t="str">
        <f t="shared" si="230"/>
        <v>BANCO CORA (102)</v>
      </c>
      <c r="S553">
        <v>3094</v>
      </c>
      <c r="T553">
        <v>2610</v>
      </c>
      <c r="U553" t="s">
        <v>21</v>
      </c>
    </row>
    <row r="554" spans="1:21">
      <c r="A554" t="str">
        <f t="shared" si="231"/>
        <v>13/11/2025</v>
      </c>
      <c r="B554" t="str">
        <f t="shared" si="223"/>
        <v>SAÍDA</v>
      </c>
      <c r="C554" t="str">
        <f t="shared" si="224"/>
        <v>BOLETO</v>
      </c>
      <c r="D554" t="str">
        <f t="shared" si="225"/>
        <v>01112025</v>
      </c>
      <c r="E554" t="str">
        <f t="shared" si="214"/>
        <v>COM</v>
      </c>
      <c r="F554" t="str">
        <f t="shared" si="226"/>
        <v>CORA SOCIEDADE DE CREDITO, FINANCIAMENTO E INVESTIMENTO (20035)</v>
      </c>
      <c r="G554" t="str">
        <f t="shared" si="227"/>
        <v xml:space="preserve">TAXA BOLETO CORA </v>
      </c>
      <c r="H554" t="str">
        <f t="shared" si="228"/>
        <v>13/11/2025</v>
      </c>
      <c r="I554" t="str">
        <f t="shared" si="228"/>
        <v>13/11/2025</v>
      </c>
      <c r="J554" t="str">
        <f t="shared" si="232"/>
        <v>13/11/2025</v>
      </c>
      <c r="K554">
        <v>1.7</v>
      </c>
      <c r="L554">
        <v>1.7</v>
      </c>
      <c r="M554">
        <v>401</v>
      </c>
      <c r="N554" t="str">
        <f t="shared" si="229"/>
        <v>IOF/JUROS/DESP.FINANCEIRA</v>
      </c>
      <c r="O554">
        <v>1.7</v>
      </c>
      <c r="R554" t="str">
        <f t="shared" si="230"/>
        <v>BANCO CORA (102)</v>
      </c>
      <c r="S554">
        <v>3095</v>
      </c>
      <c r="T554">
        <v>2611</v>
      </c>
      <c r="U554" t="s">
        <v>21</v>
      </c>
    </row>
    <row r="555" spans="1:21">
      <c r="A555" t="str">
        <f t="shared" si="231"/>
        <v>13/11/2025</v>
      </c>
      <c r="B555" t="str">
        <f t="shared" si="223"/>
        <v>SAÍDA</v>
      </c>
      <c r="C555" t="str">
        <f t="shared" si="224"/>
        <v>BOLETO</v>
      </c>
      <c r="D555" t="str">
        <f t="shared" si="225"/>
        <v>01112025</v>
      </c>
      <c r="E555" t="str">
        <f t="shared" si="214"/>
        <v>COM</v>
      </c>
      <c r="F555" t="str">
        <f t="shared" si="226"/>
        <v>CORA SOCIEDADE DE CREDITO, FINANCIAMENTO E INVESTIMENTO (20035)</v>
      </c>
      <c r="G555" t="str">
        <f t="shared" si="227"/>
        <v xml:space="preserve">TAXA BOLETO CORA </v>
      </c>
      <c r="H555" t="str">
        <f t="shared" si="228"/>
        <v>13/11/2025</v>
      </c>
      <c r="I555" t="str">
        <f t="shared" si="228"/>
        <v>13/11/2025</v>
      </c>
      <c r="J555" t="str">
        <f t="shared" si="232"/>
        <v>13/11/2025</v>
      </c>
      <c r="K555">
        <v>1.7</v>
      </c>
      <c r="L555">
        <v>1.7</v>
      </c>
      <c r="M555">
        <v>401</v>
      </c>
      <c r="N555" t="str">
        <f t="shared" si="229"/>
        <v>IOF/JUROS/DESP.FINANCEIRA</v>
      </c>
      <c r="O555">
        <v>1.7</v>
      </c>
      <c r="R555" t="str">
        <f t="shared" si="230"/>
        <v>BANCO CORA (102)</v>
      </c>
      <c r="S555">
        <v>3096</v>
      </c>
      <c r="T555">
        <v>2612</v>
      </c>
      <c r="U555" t="s">
        <v>21</v>
      </c>
    </row>
    <row r="556" spans="1:21">
      <c r="A556" t="str">
        <f t="shared" si="231"/>
        <v>13/11/2025</v>
      </c>
      <c r="B556" t="str">
        <f t="shared" si="223"/>
        <v>SAÍDA</v>
      </c>
      <c r="C556" t="str">
        <f t="shared" si="224"/>
        <v>BOLETO</v>
      </c>
      <c r="D556" t="str">
        <f t="shared" si="225"/>
        <v>01112025</v>
      </c>
      <c r="E556" t="str">
        <f t="shared" si="214"/>
        <v>COM</v>
      </c>
      <c r="F556" t="str">
        <f t="shared" si="226"/>
        <v>CORA SOCIEDADE DE CREDITO, FINANCIAMENTO E INVESTIMENTO (20035)</v>
      </c>
      <c r="G556" t="str">
        <f t="shared" si="227"/>
        <v xml:space="preserve">TAXA BOLETO CORA </v>
      </c>
      <c r="H556" t="str">
        <f t="shared" si="228"/>
        <v>13/11/2025</v>
      </c>
      <c r="I556" t="str">
        <f t="shared" si="228"/>
        <v>13/11/2025</v>
      </c>
      <c r="J556" t="str">
        <f t="shared" si="232"/>
        <v>13/11/2025</v>
      </c>
      <c r="K556">
        <v>1.7</v>
      </c>
      <c r="L556">
        <v>1.7</v>
      </c>
      <c r="M556">
        <v>401</v>
      </c>
      <c r="N556" t="str">
        <f t="shared" si="229"/>
        <v>IOF/JUROS/DESP.FINANCEIRA</v>
      </c>
      <c r="O556">
        <v>1.7</v>
      </c>
      <c r="R556" t="str">
        <f t="shared" si="230"/>
        <v>BANCO CORA (102)</v>
      </c>
      <c r="S556">
        <v>3097</v>
      </c>
      <c r="T556">
        <v>2613</v>
      </c>
      <c r="U556" t="s">
        <v>21</v>
      </c>
    </row>
    <row r="557" spans="1:21">
      <c r="A557" t="str">
        <f t="shared" si="231"/>
        <v>13/11/2025</v>
      </c>
      <c r="B557" t="str">
        <f t="shared" si="223"/>
        <v>SAÍDA</v>
      </c>
      <c r="C557" t="str">
        <f t="shared" si="224"/>
        <v>BOLETO</v>
      </c>
      <c r="D557" t="str">
        <f t="shared" si="225"/>
        <v>01112025</v>
      </c>
      <c r="E557" t="str">
        <f t="shared" si="214"/>
        <v>COM</v>
      </c>
      <c r="F557" t="str">
        <f t="shared" si="226"/>
        <v>CORA SOCIEDADE DE CREDITO, FINANCIAMENTO E INVESTIMENTO (20035)</v>
      </c>
      <c r="G557" t="str">
        <f t="shared" si="227"/>
        <v xml:space="preserve">TAXA BOLETO CORA </v>
      </c>
      <c r="H557" t="str">
        <f t="shared" si="228"/>
        <v>13/11/2025</v>
      </c>
      <c r="I557" t="str">
        <f t="shared" si="228"/>
        <v>13/11/2025</v>
      </c>
      <c r="J557" t="str">
        <f t="shared" si="232"/>
        <v>13/11/2025</v>
      </c>
      <c r="K557">
        <v>1.7</v>
      </c>
      <c r="L557">
        <v>1.7</v>
      </c>
      <c r="M557">
        <v>401</v>
      </c>
      <c r="N557" t="str">
        <f t="shared" si="229"/>
        <v>IOF/JUROS/DESP.FINANCEIRA</v>
      </c>
      <c r="O557">
        <v>1.7</v>
      </c>
      <c r="R557" t="str">
        <f t="shared" si="230"/>
        <v>BANCO CORA (102)</v>
      </c>
      <c r="S557">
        <v>3098</v>
      </c>
      <c r="T557">
        <v>2614</v>
      </c>
      <c r="U557" t="s">
        <v>21</v>
      </c>
    </row>
    <row r="558" spans="1:21">
      <c r="A558" t="str">
        <f t="shared" si="231"/>
        <v>13/11/2025</v>
      </c>
      <c r="B558" t="str">
        <f t="shared" si="223"/>
        <v>SAÍDA</v>
      </c>
      <c r="C558" t="str">
        <f t="shared" si="224"/>
        <v>BOLETO</v>
      </c>
      <c r="D558" t="str">
        <f t="shared" si="225"/>
        <v>01112025</v>
      </c>
      <c r="E558" t="str">
        <f t="shared" si="214"/>
        <v>COM</v>
      </c>
      <c r="F558" t="str">
        <f t="shared" si="226"/>
        <v>CORA SOCIEDADE DE CREDITO, FINANCIAMENTO E INVESTIMENTO (20035)</v>
      </c>
      <c r="G558" t="str">
        <f t="shared" si="227"/>
        <v xml:space="preserve">TAXA BOLETO CORA </v>
      </c>
      <c r="H558" t="str">
        <f t="shared" si="228"/>
        <v>13/11/2025</v>
      </c>
      <c r="I558" t="str">
        <f t="shared" si="228"/>
        <v>13/11/2025</v>
      </c>
      <c r="J558" t="str">
        <f t="shared" si="232"/>
        <v>13/11/2025</v>
      </c>
      <c r="K558">
        <v>1.7</v>
      </c>
      <c r="L558">
        <v>1.7</v>
      </c>
      <c r="M558">
        <v>401</v>
      </c>
      <c r="N558" t="str">
        <f t="shared" si="229"/>
        <v>IOF/JUROS/DESP.FINANCEIRA</v>
      </c>
      <c r="O558">
        <v>1.7</v>
      </c>
      <c r="R558" t="str">
        <f t="shared" si="230"/>
        <v>BANCO CORA (102)</v>
      </c>
      <c r="S558">
        <v>3099</v>
      </c>
      <c r="T558">
        <v>2615</v>
      </c>
      <c r="U558" t="s">
        <v>21</v>
      </c>
    </row>
    <row r="559" spans="1:21">
      <c r="A559" t="str">
        <f t="shared" si="231"/>
        <v>13/11/2025</v>
      </c>
      <c r="B559" t="str">
        <f t="shared" ref="B559:B565" si="233">"ENTRADA"</f>
        <v>ENTRADA</v>
      </c>
      <c r="C559" t="str">
        <f>""</f>
        <v/>
      </c>
      <c r="D559" t="str">
        <f>""</f>
        <v/>
      </c>
      <c r="E559" t="str">
        <f>"CXA"</f>
        <v>CXA</v>
      </c>
      <c r="F559" t="str">
        <f>""</f>
        <v/>
      </c>
      <c r="G559" t="str">
        <f>"PAGAMENTO DE SETUP"</f>
        <v>PAGAMENTO DE SETUP</v>
      </c>
      <c r="H559" t="str">
        <f t="shared" si="228"/>
        <v>13/11/2025</v>
      </c>
      <c r="I559" t="str">
        <f t="shared" si="228"/>
        <v>13/11/2025</v>
      </c>
      <c r="J559" t="str">
        <f t="shared" si="232"/>
        <v>13/11/2025</v>
      </c>
      <c r="K559">
        <v>2500</v>
      </c>
      <c r="L559">
        <v>2500</v>
      </c>
      <c r="M559">
        <v>117</v>
      </c>
      <c r="N559" t="str">
        <f>"RECEITAS COM SETUP"</f>
        <v>RECEITAS COM SETUP</v>
      </c>
      <c r="O559">
        <v>2500</v>
      </c>
      <c r="R559" t="str">
        <f>"RECEITAS COM SETUP (117)"</f>
        <v>RECEITAS COM SETUP (117)</v>
      </c>
      <c r="S559">
        <v>3198</v>
      </c>
      <c r="T559">
        <v>0</v>
      </c>
      <c r="U559" t="s">
        <v>22</v>
      </c>
    </row>
    <row r="560" spans="1:21">
      <c r="A560" t="str">
        <f t="shared" ref="A560:A572" si="234">("14/11/2025")</f>
        <v>14/11/2025</v>
      </c>
      <c r="B560" t="str">
        <f t="shared" si="233"/>
        <v>ENTRADA</v>
      </c>
      <c r="C560" t="str">
        <f t="shared" ref="C560:C565" si="235">"NFSE"</f>
        <v>NFSE</v>
      </c>
      <c r="D560" t="str">
        <f>"3811"</f>
        <v>3811</v>
      </c>
      <c r="E560" t="str">
        <f t="shared" ref="E560:E571" si="236">"COM"</f>
        <v>COM</v>
      </c>
      <c r="F560" t="str">
        <f>"DELTA LOJA 2 (10123)"</f>
        <v>DELTA LOJA 2 (10123)</v>
      </c>
      <c r="G560" t="str">
        <f>"Serv.Prest. 03/11/2025 a 09/11/2025 - RPS: 1574 - NFSe: 3811"</f>
        <v>Serv.Prest. 03/11/2025 a 09/11/2025 - RPS: 1574 - NFSe: 3811</v>
      </c>
      <c r="H560" t="str">
        <f t="shared" ref="H560:H565" si="237">("13/11/2025")</f>
        <v>13/11/2025</v>
      </c>
      <c r="I560" t="str">
        <f>("11/11/2025")</f>
        <v>11/11/2025</v>
      </c>
      <c r="J560" t="str">
        <f t="shared" ref="J560:J572" si="238">("14/11/2025")</f>
        <v>14/11/2025</v>
      </c>
      <c r="K560">
        <v>836.85</v>
      </c>
      <c r="L560">
        <v>836.85</v>
      </c>
      <c r="M560">
        <v>303</v>
      </c>
      <c r="N560" t="str">
        <f t="shared" ref="N560:N565" si="239">"RECEITAS COM ENTREGAS"</f>
        <v>RECEITAS COM ENTREGAS</v>
      </c>
      <c r="O560">
        <v>836.85</v>
      </c>
      <c r="R560" t="str">
        <f t="shared" ref="R560:R565" si="240">"RECEITAS COM ENTREGAS (303)"</f>
        <v>RECEITAS COM ENTREGAS (303)</v>
      </c>
      <c r="S560">
        <v>2947</v>
      </c>
      <c r="T560">
        <v>2520</v>
      </c>
      <c r="U560" t="s">
        <v>21</v>
      </c>
    </row>
    <row r="561" spans="1:21">
      <c r="A561" t="str">
        <f t="shared" si="234"/>
        <v>14/11/2025</v>
      </c>
      <c r="B561" t="str">
        <f t="shared" si="233"/>
        <v>ENTRADA</v>
      </c>
      <c r="C561" t="str">
        <f t="shared" si="235"/>
        <v>NFSE</v>
      </c>
      <c r="D561" t="str">
        <f>"3811"</f>
        <v>3811</v>
      </c>
      <c r="E561" t="str">
        <f t="shared" si="236"/>
        <v>COM</v>
      </c>
      <c r="F561" t="str">
        <f>"DELTA LOJA 2 (10123)"</f>
        <v>DELTA LOJA 2 (10123)</v>
      </c>
      <c r="G561" t="str">
        <f>"Serv.Prest. 03/11/2025 a 09/11/2025 - RPS: 1574 - NFSe: 3811"</f>
        <v>Serv.Prest. 03/11/2025 a 09/11/2025 - RPS: 1574 - NFSe: 3811</v>
      </c>
      <c r="H561" t="str">
        <f t="shared" si="237"/>
        <v>13/11/2025</v>
      </c>
      <c r="I561" t="str">
        <f>("11/11/2025")</f>
        <v>11/11/2025</v>
      </c>
      <c r="J561" t="str">
        <f t="shared" si="238"/>
        <v>14/11/2025</v>
      </c>
      <c r="M561">
        <v>303</v>
      </c>
      <c r="N561" t="str">
        <f t="shared" si="239"/>
        <v>RECEITAS COM ENTREGAS</v>
      </c>
      <c r="P561">
        <v>836.85</v>
      </c>
      <c r="Q561" t="str">
        <f>"DELTA LOJA 2 (10123)"</f>
        <v>DELTA LOJA 2 (10123)</v>
      </c>
      <c r="R561" t="str">
        <f t="shared" si="240"/>
        <v>RECEITAS COM ENTREGAS (303)</v>
      </c>
      <c r="S561">
        <v>2947</v>
      </c>
      <c r="T561">
        <v>2520</v>
      </c>
      <c r="U561" t="s">
        <v>21</v>
      </c>
    </row>
    <row r="562" spans="1:21">
      <c r="A562" t="str">
        <f t="shared" si="234"/>
        <v>14/11/2025</v>
      </c>
      <c r="B562" t="str">
        <f t="shared" si="233"/>
        <v>ENTRADA</v>
      </c>
      <c r="C562" t="str">
        <f t="shared" si="235"/>
        <v>NFSE</v>
      </c>
      <c r="D562" t="str">
        <f>"3787"</f>
        <v>3787</v>
      </c>
      <c r="E562" t="str">
        <f t="shared" si="236"/>
        <v>COM</v>
      </c>
      <c r="F562" t="str">
        <f>"DROGARIA POUPA MINAS (ULTRAMINAS) 3 (10129)"</f>
        <v>DROGARIA POUPA MINAS (ULTRAMINAS) 3 (10129)</v>
      </c>
      <c r="G562" t="str">
        <f>"Serv.Prest. 03/11/2025 a 09/11/2025 - RPS: 1550 - NFSe: 3787"</f>
        <v>Serv.Prest. 03/11/2025 a 09/11/2025 - RPS: 1550 - NFSe: 3787</v>
      </c>
      <c r="H562" t="str">
        <f t="shared" si="237"/>
        <v>13/11/2025</v>
      </c>
      <c r="I562" t="str">
        <f>("10/11/2025")</f>
        <v>10/11/2025</v>
      </c>
      <c r="J562" t="str">
        <f t="shared" si="238"/>
        <v>14/11/2025</v>
      </c>
      <c r="K562">
        <v>171.6</v>
      </c>
      <c r="L562">
        <v>171.6</v>
      </c>
      <c r="M562">
        <v>303</v>
      </c>
      <c r="N562" t="str">
        <f t="shared" si="239"/>
        <v>RECEITAS COM ENTREGAS</v>
      </c>
      <c r="O562">
        <v>171.6</v>
      </c>
      <c r="R562" t="str">
        <f t="shared" si="240"/>
        <v>RECEITAS COM ENTREGAS (303)</v>
      </c>
      <c r="S562">
        <v>2948</v>
      </c>
      <c r="T562">
        <v>2496</v>
      </c>
      <c r="U562" t="s">
        <v>21</v>
      </c>
    </row>
    <row r="563" spans="1:21">
      <c r="A563" t="str">
        <f t="shared" si="234"/>
        <v>14/11/2025</v>
      </c>
      <c r="B563" t="str">
        <f t="shared" si="233"/>
        <v>ENTRADA</v>
      </c>
      <c r="C563" t="str">
        <f t="shared" si="235"/>
        <v>NFSE</v>
      </c>
      <c r="D563" t="str">
        <f>"3787"</f>
        <v>3787</v>
      </c>
      <c r="E563" t="str">
        <f t="shared" si="236"/>
        <v>COM</v>
      </c>
      <c r="F563" t="str">
        <f>"DROGARIA POUPA MINAS (ULTRAMINAS) 3 (10129)"</f>
        <v>DROGARIA POUPA MINAS (ULTRAMINAS) 3 (10129)</v>
      </c>
      <c r="G563" t="str">
        <f>"Serv.Prest. 03/11/2025 a 09/11/2025 - RPS: 1550 - NFSe: 3787"</f>
        <v>Serv.Prest. 03/11/2025 a 09/11/2025 - RPS: 1550 - NFSe: 3787</v>
      </c>
      <c r="H563" t="str">
        <f t="shared" si="237"/>
        <v>13/11/2025</v>
      </c>
      <c r="I563" t="str">
        <f>("10/11/2025")</f>
        <v>10/11/2025</v>
      </c>
      <c r="J563" t="str">
        <f t="shared" si="238"/>
        <v>14/11/2025</v>
      </c>
      <c r="M563">
        <v>303</v>
      </c>
      <c r="N563" t="str">
        <f t="shared" si="239"/>
        <v>RECEITAS COM ENTREGAS</v>
      </c>
      <c r="P563">
        <v>171.6</v>
      </c>
      <c r="Q563" t="str">
        <f>"DROGARIA POUPA MINAS (ULTRAMINAS) 3 (10129)"</f>
        <v>DROGARIA POUPA MINAS (ULTRAMINAS) 3 (10129)</v>
      </c>
      <c r="R563" t="str">
        <f t="shared" si="240"/>
        <v>RECEITAS COM ENTREGAS (303)</v>
      </c>
      <c r="S563">
        <v>2948</v>
      </c>
      <c r="T563">
        <v>2496</v>
      </c>
      <c r="U563" t="s">
        <v>21</v>
      </c>
    </row>
    <row r="564" spans="1:21">
      <c r="A564" t="str">
        <f t="shared" si="234"/>
        <v>14/11/2025</v>
      </c>
      <c r="B564" t="str">
        <f t="shared" si="233"/>
        <v>ENTRADA</v>
      </c>
      <c r="C564" t="str">
        <f t="shared" si="235"/>
        <v>NFSE</v>
      </c>
      <c r="D564" t="str">
        <f>"3794"</f>
        <v>3794</v>
      </c>
      <c r="E564" t="str">
        <f t="shared" si="236"/>
        <v>COM</v>
      </c>
      <c r="F564" t="str">
        <f>"DROGARIA POUPA MINAS (DOIS AMIGOS) 5 (10140)"</f>
        <v>DROGARIA POUPA MINAS (DOIS AMIGOS) 5 (10140)</v>
      </c>
      <c r="G564" t="str">
        <f>"Serv.Prest. 03/11/2025 a 09/11/2025 - RPS: 1557 - NFSe: 3794"</f>
        <v>Serv.Prest. 03/11/2025 a 09/11/2025 - RPS: 1557 - NFSe: 3794</v>
      </c>
      <c r="H564" t="str">
        <f t="shared" si="237"/>
        <v>13/11/2025</v>
      </c>
      <c r="I564" t="str">
        <f>("10/11/2025")</f>
        <v>10/11/2025</v>
      </c>
      <c r="J564" t="str">
        <f t="shared" si="238"/>
        <v>14/11/2025</v>
      </c>
      <c r="K564">
        <v>810.9</v>
      </c>
      <c r="L564">
        <v>810.9</v>
      </c>
      <c r="M564">
        <v>303</v>
      </c>
      <c r="N564" t="str">
        <f t="shared" si="239"/>
        <v>RECEITAS COM ENTREGAS</v>
      </c>
      <c r="O564">
        <v>810.9</v>
      </c>
      <c r="R564" t="str">
        <f t="shared" si="240"/>
        <v>RECEITAS COM ENTREGAS (303)</v>
      </c>
      <c r="S564">
        <v>2949</v>
      </c>
      <c r="T564">
        <v>2503</v>
      </c>
      <c r="U564" t="s">
        <v>21</v>
      </c>
    </row>
    <row r="565" spans="1:21">
      <c r="A565" t="str">
        <f t="shared" si="234"/>
        <v>14/11/2025</v>
      </c>
      <c r="B565" t="str">
        <f t="shared" si="233"/>
        <v>ENTRADA</v>
      </c>
      <c r="C565" t="str">
        <f t="shared" si="235"/>
        <v>NFSE</v>
      </c>
      <c r="D565" t="str">
        <f>"3794"</f>
        <v>3794</v>
      </c>
      <c r="E565" t="str">
        <f t="shared" si="236"/>
        <v>COM</v>
      </c>
      <c r="F565" t="str">
        <f>"DROGARIA POUPA MINAS (DOIS AMIGOS) 5 (10140)"</f>
        <v>DROGARIA POUPA MINAS (DOIS AMIGOS) 5 (10140)</v>
      </c>
      <c r="G565" t="str">
        <f>"Serv.Prest. 03/11/2025 a 09/11/2025 - RPS: 1557 - NFSe: 3794"</f>
        <v>Serv.Prest. 03/11/2025 a 09/11/2025 - RPS: 1557 - NFSe: 3794</v>
      </c>
      <c r="H565" t="str">
        <f t="shared" si="237"/>
        <v>13/11/2025</v>
      </c>
      <c r="I565" t="str">
        <f>("10/11/2025")</f>
        <v>10/11/2025</v>
      </c>
      <c r="J565" t="str">
        <f t="shared" si="238"/>
        <v>14/11/2025</v>
      </c>
      <c r="M565">
        <v>303</v>
      </c>
      <c r="N565" t="str">
        <f t="shared" si="239"/>
        <v>RECEITAS COM ENTREGAS</v>
      </c>
      <c r="P565">
        <v>810.9</v>
      </c>
      <c r="Q565" t="str">
        <f>"DROGARIA POUPA MINAS (ULTRAMINAS) 1 (10181)"</f>
        <v>DROGARIA POUPA MINAS (ULTRAMINAS) 1 (10181)</v>
      </c>
      <c r="R565" t="str">
        <f t="shared" si="240"/>
        <v>RECEITAS COM ENTREGAS (303)</v>
      </c>
      <c r="S565">
        <v>2949</v>
      </c>
      <c r="T565">
        <v>2503</v>
      </c>
      <c r="U565" t="s">
        <v>21</v>
      </c>
    </row>
    <row r="566" spans="1:21">
      <c r="A566" t="str">
        <f t="shared" si="234"/>
        <v>14/11/2025</v>
      </c>
      <c r="B566" t="str">
        <f t="shared" ref="B566:B572" si="241">"SAÍDA"</f>
        <v>SAÍDA</v>
      </c>
      <c r="C566" t="str">
        <f t="shared" ref="C566:C571" si="242">"BOLETO"</f>
        <v>BOLETO</v>
      </c>
      <c r="D566" t="str">
        <f t="shared" ref="D566:D571" si="243">"01112025"</f>
        <v>01112025</v>
      </c>
      <c r="E566" t="str">
        <f t="shared" si="236"/>
        <v>COM</v>
      </c>
      <c r="F566" t="str">
        <f t="shared" ref="F566:F571" si="244">"CORA SOCIEDADE DE CREDITO, FINANCIAMENTO E INVESTIMENTO (20035)"</f>
        <v>CORA SOCIEDADE DE CREDITO, FINANCIAMENTO E INVESTIMENTO (20035)</v>
      </c>
      <c r="G566" t="str">
        <f t="shared" ref="G566:G571" si="245">"TAXA BOLETO CORA "</f>
        <v xml:space="preserve">TAXA BOLETO CORA </v>
      </c>
      <c r="H566" t="str">
        <f t="shared" ref="H566:I572" si="246">("14/11/2025")</f>
        <v>14/11/2025</v>
      </c>
      <c r="I566" t="str">
        <f t="shared" si="246"/>
        <v>14/11/2025</v>
      </c>
      <c r="J566" t="str">
        <f t="shared" si="238"/>
        <v>14/11/2025</v>
      </c>
      <c r="K566">
        <v>1.7</v>
      </c>
      <c r="L566">
        <v>1.7</v>
      </c>
      <c r="M566">
        <v>401</v>
      </c>
      <c r="N566" t="str">
        <f t="shared" ref="N566:N571" si="247">"IOF/JUROS/DESP.FINANCEIRA"</f>
        <v>IOF/JUROS/DESP.FINANCEIRA</v>
      </c>
      <c r="O566">
        <v>1.7</v>
      </c>
      <c r="R566" t="str">
        <f t="shared" ref="R566:R572" si="248">"BANCO CORA (102)"</f>
        <v>BANCO CORA (102)</v>
      </c>
      <c r="S566">
        <v>3100</v>
      </c>
      <c r="T566">
        <v>2616</v>
      </c>
      <c r="U566" t="s">
        <v>21</v>
      </c>
    </row>
    <row r="567" spans="1:21">
      <c r="A567" t="str">
        <f t="shared" si="234"/>
        <v>14/11/2025</v>
      </c>
      <c r="B567" t="str">
        <f t="shared" si="241"/>
        <v>SAÍDA</v>
      </c>
      <c r="C567" t="str">
        <f t="shared" si="242"/>
        <v>BOLETO</v>
      </c>
      <c r="D567" t="str">
        <f t="shared" si="243"/>
        <v>01112025</v>
      </c>
      <c r="E567" t="str">
        <f t="shared" si="236"/>
        <v>COM</v>
      </c>
      <c r="F567" t="str">
        <f t="shared" si="244"/>
        <v>CORA SOCIEDADE DE CREDITO, FINANCIAMENTO E INVESTIMENTO (20035)</v>
      </c>
      <c r="G567" t="str">
        <f t="shared" si="245"/>
        <v xml:space="preserve">TAXA BOLETO CORA </v>
      </c>
      <c r="H567" t="str">
        <f t="shared" si="246"/>
        <v>14/11/2025</v>
      </c>
      <c r="I567" t="str">
        <f t="shared" si="246"/>
        <v>14/11/2025</v>
      </c>
      <c r="J567" t="str">
        <f t="shared" si="238"/>
        <v>14/11/2025</v>
      </c>
      <c r="M567">
        <v>401</v>
      </c>
      <c r="N567" t="str">
        <f t="shared" si="247"/>
        <v>IOF/JUROS/DESP.FINANCEIRA</v>
      </c>
      <c r="P567">
        <v>1.7</v>
      </c>
      <c r="Q567" t="str">
        <f>"CORA SOCIEDADE DE CREDITO, FINANCIAMENTO E INVESTIMENTO (20035)"</f>
        <v>CORA SOCIEDADE DE CREDITO, FINANCIAMENTO E INVESTIMENTO (20035)</v>
      </c>
      <c r="R567" t="str">
        <f t="shared" si="248"/>
        <v>BANCO CORA (102)</v>
      </c>
      <c r="S567">
        <v>3100</v>
      </c>
      <c r="T567">
        <v>2616</v>
      </c>
      <c r="U567" t="s">
        <v>21</v>
      </c>
    </row>
    <row r="568" spans="1:21">
      <c r="A568" t="str">
        <f t="shared" si="234"/>
        <v>14/11/2025</v>
      </c>
      <c r="B568" t="str">
        <f t="shared" si="241"/>
        <v>SAÍDA</v>
      </c>
      <c r="C568" t="str">
        <f t="shared" si="242"/>
        <v>BOLETO</v>
      </c>
      <c r="D568" t="str">
        <f t="shared" si="243"/>
        <v>01112025</v>
      </c>
      <c r="E568" t="str">
        <f t="shared" si="236"/>
        <v>COM</v>
      </c>
      <c r="F568" t="str">
        <f t="shared" si="244"/>
        <v>CORA SOCIEDADE DE CREDITO, FINANCIAMENTO E INVESTIMENTO (20035)</v>
      </c>
      <c r="G568" t="str">
        <f t="shared" si="245"/>
        <v xml:space="preserve">TAXA BOLETO CORA </v>
      </c>
      <c r="H568" t="str">
        <f t="shared" si="246"/>
        <v>14/11/2025</v>
      </c>
      <c r="I568" t="str">
        <f t="shared" si="246"/>
        <v>14/11/2025</v>
      </c>
      <c r="J568" t="str">
        <f t="shared" si="238"/>
        <v>14/11/2025</v>
      </c>
      <c r="K568">
        <v>1.7</v>
      </c>
      <c r="L568">
        <v>1.7</v>
      </c>
      <c r="M568">
        <v>401</v>
      </c>
      <c r="N568" t="str">
        <f t="shared" si="247"/>
        <v>IOF/JUROS/DESP.FINANCEIRA</v>
      </c>
      <c r="O568">
        <v>1.7</v>
      </c>
      <c r="R568" t="str">
        <f t="shared" si="248"/>
        <v>BANCO CORA (102)</v>
      </c>
      <c r="S568">
        <v>3101</v>
      </c>
      <c r="T568">
        <v>2617</v>
      </c>
      <c r="U568" t="s">
        <v>21</v>
      </c>
    </row>
    <row r="569" spans="1:21">
      <c r="A569" t="str">
        <f t="shared" si="234"/>
        <v>14/11/2025</v>
      </c>
      <c r="B569" t="str">
        <f t="shared" si="241"/>
        <v>SAÍDA</v>
      </c>
      <c r="C569" t="str">
        <f t="shared" si="242"/>
        <v>BOLETO</v>
      </c>
      <c r="D569" t="str">
        <f t="shared" si="243"/>
        <v>01112025</v>
      </c>
      <c r="E569" t="str">
        <f t="shared" si="236"/>
        <v>COM</v>
      </c>
      <c r="F569" t="str">
        <f t="shared" si="244"/>
        <v>CORA SOCIEDADE DE CREDITO, FINANCIAMENTO E INVESTIMENTO (20035)</v>
      </c>
      <c r="G569" t="str">
        <f t="shared" si="245"/>
        <v xml:space="preserve">TAXA BOLETO CORA </v>
      </c>
      <c r="H569" t="str">
        <f t="shared" si="246"/>
        <v>14/11/2025</v>
      </c>
      <c r="I569" t="str">
        <f t="shared" si="246"/>
        <v>14/11/2025</v>
      </c>
      <c r="J569" t="str">
        <f t="shared" si="238"/>
        <v>14/11/2025</v>
      </c>
      <c r="M569">
        <v>401</v>
      </c>
      <c r="N569" t="str">
        <f t="shared" si="247"/>
        <v>IOF/JUROS/DESP.FINANCEIRA</v>
      </c>
      <c r="P569">
        <v>1.7</v>
      </c>
      <c r="Q569" t="str">
        <f>"CORA SOCIEDADE DE CREDITO, FINANCIAMENTO E INVESTIMENTO (20035)"</f>
        <v>CORA SOCIEDADE DE CREDITO, FINANCIAMENTO E INVESTIMENTO (20035)</v>
      </c>
      <c r="R569" t="str">
        <f t="shared" si="248"/>
        <v>BANCO CORA (102)</v>
      </c>
      <c r="S569">
        <v>3101</v>
      </c>
      <c r="T569">
        <v>2617</v>
      </c>
      <c r="U569" t="s">
        <v>21</v>
      </c>
    </row>
    <row r="570" spans="1:21">
      <c r="A570" t="str">
        <f t="shared" si="234"/>
        <v>14/11/2025</v>
      </c>
      <c r="B570" t="str">
        <f t="shared" si="241"/>
        <v>SAÍDA</v>
      </c>
      <c r="C570" t="str">
        <f t="shared" si="242"/>
        <v>BOLETO</v>
      </c>
      <c r="D570" t="str">
        <f t="shared" si="243"/>
        <v>01112025</v>
      </c>
      <c r="E570" t="str">
        <f t="shared" si="236"/>
        <v>COM</v>
      </c>
      <c r="F570" t="str">
        <f t="shared" si="244"/>
        <v>CORA SOCIEDADE DE CREDITO, FINANCIAMENTO E INVESTIMENTO (20035)</v>
      </c>
      <c r="G570" t="str">
        <f t="shared" si="245"/>
        <v xml:space="preserve">TAXA BOLETO CORA </v>
      </c>
      <c r="H570" t="str">
        <f t="shared" si="246"/>
        <v>14/11/2025</v>
      </c>
      <c r="I570" t="str">
        <f t="shared" si="246"/>
        <v>14/11/2025</v>
      </c>
      <c r="J570" t="str">
        <f t="shared" si="238"/>
        <v>14/11/2025</v>
      </c>
      <c r="K570">
        <v>1.7</v>
      </c>
      <c r="L570">
        <v>1.7</v>
      </c>
      <c r="M570">
        <v>401</v>
      </c>
      <c r="N570" t="str">
        <f t="shared" si="247"/>
        <v>IOF/JUROS/DESP.FINANCEIRA</v>
      </c>
      <c r="O570">
        <v>1.7</v>
      </c>
      <c r="R570" t="str">
        <f t="shared" si="248"/>
        <v>BANCO CORA (102)</v>
      </c>
      <c r="S570">
        <v>3102</v>
      </c>
      <c r="T570">
        <v>2618</v>
      </c>
      <c r="U570" t="s">
        <v>21</v>
      </c>
    </row>
    <row r="571" spans="1:21">
      <c r="A571" t="str">
        <f t="shared" si="234"/>
        <v>14/11/2025</v>
      </c>
      <c r="B571" t="str">
        <f t="shared" si="241"/>
        <v>SAÍDA</v>
      </c>
      <c r="C571" t="str">
        <f t="shared" si="242"/>
        <v>BOLETO</v>
      </c>
      <c r="D571" t="str">
        <f t="shared" si="243"/>
        <v>01112025</v>
      </c>
      <c r="E571" t="str">
        <f t="shared" si="236"/>
        <v>COM</v>
      </c>
      <c r="F571" t="str">
        <f t="shared" si="244"/>
        <v>CORA SOCIEDADE DE CREDITO, FINANCIAMENTO E INVESTIMENTO (20035)</v>
      </c>
      <c r="G571" t="str">
        <f t="shared" si="245"/>
        <v xml:space="preserve">TAXA BOLETO CORA </v>
      </c>
      <c r="H571" t="str">
        <f t="shared" si="246"/>
        <v>14/11/2025</v>
      </c>
      <c r="I571" t="str">
        <f t="shared" si="246"/>
        <v>14/11/2025</v>
      </c>
      <c r="J571" t="str">
        <f t="shared" si="238"/>
        <v>14/11/2025</v>
      </c>
      <c r="M571">
        <v>401</v>
      </c>
      <c r="N571" t="str">
        <f t="shared" si="247"/>
        <v>IOF/JUROS/DESP.FINANCEIRA</v>
      </c>
      <c r="P571">
        <v>1.7</v>
      </c>
      <c r="Q571" t="str">
        <f>"CORA SOCIEDADE DE CREDITO, FINANCIAMENTO E INVESTIMENTO (20035)"</f>
        <v>CORA SOCIEDADE DE CREDITO, FINANCIAMENTO E INVESTIMENTO (20035)</v>
      </c>
      <c r="R571" t="str">
        <f t="shared" si="248"/>
        <v>BANCO CORA (102)</v>
      </c>
      <c r="S571">
        <v>3102</v>
      </c>
      <c r="T571">
        <v>2618</v>
      </c>
      <c r="U571" t="s">
        <v>21</v>
      </c>
    </row>
    <row r="572" spans="1:21">
      <c r="A572" t="str">
        <f t="shared" si="234"/>
        <v>14/11/2025</v>
      </c>
      <c r="B572" t="str">
        <f t="shared" si="241"/>
        <v>SAÍDA</v>
      </c>
      <c r="C572" t="str">
        <f>""</f>
        <v/>
      </c>
      <c r="D572" t="str">
        <f>""</f>
        <v/>
      </c>
      <c r="E572" t="str">
        <f>"CXA"</f>
        <v>CXA</v>
      </c>
      <c r="F572" t="str">
        <f>""</f>
        <v/>
      </c>
      <c r="G572" t="str">
        <f>"COMPRA DE COMPUTADOR "</f>
        <v xml:space="preserve">COMPRA DE COMPUTADOR </v>
      </c>
      <c r="H572" t="str">
        <f t="shared" si="246"/>
        <v>14/11/2025</v>
      </c>
      <c r="I572" t="str">
        <f t="shared" si="246"/>
        <v>14/11/2025</v>
      </c>
      <c r="J572" t="str">
        <f t="shared" si="238"/>
        <v>14/11/2025</v>
      </c>
      <c r="K572">
        <v>2192.15</v>
      </c>
      <c r="L572">
        <v>2192.15</v>
      </c>
      <c r="M572">
        <v>130</v>
      </c>
      <c r="N572" t="str">
        <f>"EQUIPAMENTOS DE INFORMATICA"</f>
        <v>EQUIPAMENTOS DE INFORMATICA</v>
      </c>
      <c r="O572">
        <v>2192.15</v>
      </c>
      <c r="R572" t="str">
        <f t="shared" si="248"/>
        <v>BANCO CORA (102)</v>
      </c>
      <c r="S572">
        <v>3212</v>
      </c>
      <c r="T572">
        <v>0</v>
      </c>
      <c r="U572" t="s">
        <v>26</v>
      </c>
    </row>
    <row r="573" spans="1:21">
      <c r="A573" t="str">
        <f>("17/11/2025")</f>
        <v>17/11/2025</v>
      </c>
      <c r="B573" t="str">
        <f t="shared" ref="B573:B592" si="249">"ENTRADA"</f>
        <v>ENTRADA</v>
      </c>
      <c r="C573" t="str">
        <f t="shared" ref="C573:C592" si="250">"NFSE"</f>
        <v>NFSE</v>
      </c>
      <c r="D573" t="str">
        <f>"3694"</f>
        <v>3694</v>
      </c>
      <c r="E573" t="str">
        <f t="shared" ref="E573:E596" si="251">"COM"</f>
        <v>COM</v>
      </c>
      <c r="F573" t="str">
        <f>"DROGARIA POUPA MINAS (ULTRAMINAS) 3 (10129)"</f>
        <v>DROGARIA POUPA MINAS (ULTRAMINAS) 3 (10129)</v>
      </c>
      <c r="G573" t="str">
        <f>"Serv.Prest. 20/10/2025 a 26/10/2025 - RPS: 1458 - NFSe: 3694"</f>
        <v>Serv.Prest. 20/10/2025 a 26/10/2025 - RPS: 1458 - NFSe: 3694</v>
      </c>
      <c r="H573" t="str">
        <f t="shared" ref="H573:H580" si="252">("14/11/2025")</f>
        <v>14/11/2025</v>
      </c>
      <c r="I573" t="str">
        <f>("27/10/2025")</f>
        <v>27/10/2025</v>
      </c>
      <c r="J573" t="str">
        <f>("17/11/2025")</f>
        <v>17/11/2025</v>
      </c>
      <c r="K573">
        <v>171.6</v>
      </c>
      <c r="L573">
        <v>171.6</v>
      </c>
      <c r="M573">
        <v>303</v>
      </c>
      <c r="N573" t="str">
        <f t="shared" ref="N573:N592" si="253">"RECEITAS COM ENTREGAS"</f>
        <v>RECEITAS COM ENTREGAS</v>
      </c>
      <c r="O573">
        <v>171.6</v>
      </c>
      <c r="R573" t="str">
        <f t="shared" ref="R573:R592" si="254">"RECEITAS COM ENTREGAS (303)"</f>
        <v>RECEITAS COM ENTREGAS (303)</v>
      </c>
      <c r="S573">
        <v>3213</v>
      </c>
      <c r="T573">
        <v>2380</v>
      </c>
      <c r="U573" t="s">
        <v>21</v>
      </c>
    </row>
    <row r="574" spans="1:21">
      <c r="A574" t="str">
        <f>("17/11/2025")</f>
        <v>17/11/2025</v>
      </c>
      <c r="B574" t="str">
        <f t="shared" si="249"/>
        <v>ENTRADA</v>
      </c>
      <c r="C574" t="str">
        <f t="shared" si="250"/>
        <v>NFSE</v>
      </c>
      <c r="D574" t="str">
        <f>"3694"</f>
        <v>3694</v>
      </c>
      <c r="E574" t="str">
        <f t="shared" si="251"/>
        <v>COM</v>
      </c>
      <c r="F574" t="str">
        <f>"DROGARIA POUPA MINAS (ULTRAMINAS) 3 (10129)"</f>
        <v>DROGARIA POUPA MINAS (ULTRAMINAS) 3 (10129)</v>
      </c>
      <c r="G574" t="str">
        <f>"Serv.Prest. 20/10/2025 a 26/10/2025 - RPS: 1458 - NFSe: 3694"</f>
        <v>Serv.Prest. 20/10/2025 a 26/10/2025 - RPS: 1458 - NFSe: 3694</v>
      </c>
      <c r="H574" t="str">
        <f t="shared" si="252"/>
        <v>14/11/2025</v>
      </c>
      <c r="I574" t="str">
        <f>("27/10/2025")</f>
        <v>27/10/2025</v>
      </c>
      <c r="J574" t="str">
        <f>("17/11/2025")</f>
        <v>17/11/2025</v>
      </c>
      <c r="M574">
        <v>303</v>
      </c>
      <c r="N574" t="str">
        <f t="shared" si="253"/>
        <v>RECEITAS COM ENTREGAS</v>
      </c>
      <c r="P574">
        <v>171.6</v>
      </c>
      <c r="Q574" t="str">
        <f>"DROGARIA POUPA MINAS (ULTRAMINAS) 3 (10129)"</f>
        <v>DROGARIA POUPA MINAS (ULTRAMINAS) 3 (10129)</v>
      </c>
      <c r="R574" t="str">
        <f t="shared" si="254"/>
        <v>RECEITAS COM ENTREGAS (303)</v>
      </c>
      <c r="S574">
        <v>3213</v>
      </c>
      <c r="T574">
        <v>2380</v>
      </c>
      <c r="U574" t="s">
        <v>21</v>
      </c>
    </row>
    <row r="575" spans="1:21">
      <c r="A575" t="str">
        <f t="shared" ref="A575:A597" si="255">("18/11/2025")</f>
        <v>18/11/2025</v>
      </c>
      <c r="B575" t="str">
        <f t="shared" si="249"/>
        <v>ENTRADA</v>
      </c>
      <c r="C575" t="str">
        <f t="shared" si="250"/>
        <v>NFSE</v>
      </c>
      <c r="D575" t="str">
        <f>"3752"</f>
        <v>3752</v>
      </c>
      <c r="E575" t="str">
        <f t="shared" si="251"/>
        <v>COM</v>
      </c>
      <c r="F575" t="str">
        <f>"PAGMENOS - LJ 326 (10264)"</f>
        <v>PAGMENOS - LJ 326 (10264)</v>
      </c>
      <c r="G575" t="str">
        <f>"Serv.Prest. 27/10/2025 a 02/11/2025 - RPS: 1515 - NFSe: 3752"</f>
        <v>Serv.Prest. 27/10/2025 a 02/11/2025 - RPS: 1515 - NFSe: 3752</v>
      </c>
      <c r="H575" t="str">
        <f t="shared" si="252"/>
        <v>14/11/2025</v>
      </c>
      <c r="I575" t="str">
        <f t="shared" ref="I575:I580" si="256">("03/11/2025")</f>
        <v>03/11/2025</v>
      </c>
      <c r="J575" t="str">
        <f t="shared" ref="J575:J597" si="257">("18/11/2025")</f>
        <v>18/11/2025</v>
      </c>
      <c r="K575">
        <v>20.010000000000002</v>
      </c>
      <c r="L575">
        <v>20.010000000000002</v>
      </c>
      <c r="M575">
        <v>303</v>
      </c>
      <c r="N575" t="str">
        <f t="shared" si="253"/>
        <v>RECEITAS COM ENTREGAS</v>
      </c>
      <c r="O575">
        <v>20.010000000000002</v>
      </c>
      <c r="R575" t="str">
        <f t="shared" si="254"/>
        <v>RECEITAS COM ENTREGAS (303)</v>
      </c>
      <c r="S575">
        <v>3214</v>
      </c>
      <c r="T575">
        <v>2447</v>
      </c>
      <c r="U575" t="s">
        <v>21</v>
      </c>
    </row>
    <row r="576" spans="1:21">
      <c r="A576" t="str">
        <f t="shared" si="255"/>
        <v>18/11/2025</v>
      </c>
      <c r="B576" t="str">
        <f t="shared" si="249"/>
        <v>ENTRADA</v>
      </c>
      <c r="C576" t="str">
        <f t="shared" si="250"/>
        <v>NFSE</v>
      </c>
      <c r="D576" t="str">
        <f>"3752"</f>
        <v>3752</v>
      </c>
      <c r="E576" t="str">
        <f t="shared" si="251"/>
        <v>COM</v>
      </c>
      <c r="F576" t="str">
        <f>"PAGMENOS - LJ 326 (10264)"</f>
        <v>PAGMENOS - LJ 326 (10264)</v>
      </c>
      <c r="G576" t="str">
        <f>"Serv.Prest. 27/10/2025 a 02/11/2025 - RPS: 1515 - NFSe: 3752"</f>
        <v>Serv.Prest. 27/10/2025 a 02/11/2025 - RPS: 1515 - NFSe: 3752</v>
      </c>
      <c r="H576" t="str">
        <f t="shared" si="252"/>
        <v>14/11/2025</v>
      </c>
      <c r="I576" t="str">
        <f t="shared" si="256"/>
        <v>03/11/2025</v>
      </c>
      <c r="J576" t="str">
        <f t="shared" si="257"/>
        <v>18/11/2025</v>
      </c>
      <c r="M576">
        <v>303</v>
      </c>
      <c r="N576" t="str">
        <f t="shared" si="253"/>
        <v>RECEITAS COM ENTREGAS</v>
      </c>
      <c r="P576">
        <v>20.010000000000002</v>
      </c>
      <c r="Q576" t="str">
        <f>"PAGMENOS - LJ 326 (10264)"</f>
        <v>PAGMENOS - LJ 326 (10264)</v>
      </c>
      <c r="R576" t="str">
        <f t="shared" si="254"/>
        <v>RECEITAS COM ENTREGAS (303)</v>
      </c>
      <c r="S576">
        <v>3214</v>
      </c>
      <c r="T576">
        <v>2447</v>
      </c>
      <c r="U576" t="s">
        <v>21</v>
      </c>
    </row>
    <row r="577" spans="1:21">
      <c r="A577" t="str">
        <f t="shared" si="255"/>
        <v>18/11/2025</v>
      </c>
      <c r="B577" t="str">
        <f t="shared" si="249"/>
        <v>ENTRADA</v>
      </c>
      <c r="C577" t="str">
        <f t="shared" si="250"/>
        <v>NFSE</v>
      </c>
      <c r="D577" t="str">
        <f>"3750"</f>
        <v>3750</v>
      </c>
      <c r="E577" t="str">
        <f t="shared" si="251"/>
        <v>COM</v>
      </c>
      <c r="F577" t="str">
        <f>"PAGMENOS - LJ 608 (10135)"</f>
        <v>PAGMENOS - LJ 608 (10135)</v>
      </c>
      <c r="G577" t="str">
        <f>"Serv.Prest. 27/10/2025 a 02/11/2025 - RPS: 1513 - NFSe: 3750"</f>
        <v>Serv.Prest. 27/10/2025 a 02/11/2025 - RPS: 1513 - NFSe: 3750</v>
      </c>
      <c r="H577" t="str">
        <f t="shared" si="252"/>
        <v>14/11/2025</v>
      </c>
      <c r="I577" t="str">
        <f t="shared" si="256"/>
        <v>03/11/2025</v>
      </c>
      <c r="J577" t="str">
        <f t="shared" si="257"/>
        <v>18/11/2025</v>
      </c>
      <c r="K577">
        <v>220.25</v>
      </c>
      <c r="L577">
        <v>220.25</v>
      </c>
      <c r="M577">
        <v>303</v>
      </c>
      <c r="N577" t="str">
        <f t="shared" si="253"/>
        <v>RECEITAS COM ENTREGAS</v>
      </c>
      <c r="O577">
        <v>220.25</v>
      </c>
      <c r="R577" t="str">
        <f t="shared" si="254"/>
        <v>RECEITAS COM ENTREGAS (303)</v>
      </c>
      <c r="S577">
        <v>3215</v>
      </c>
      <c r="T577">
        <v>2445</v>
      </c>
      <c r="U577" t="s">
        <v>21</v>
      </c>
    </row>
    <row r="578" spans="1:21">
      <c r="A578" t="str">
        <f t="shared" si="255"/>
        <v>18/11/2025</v>
      </c>
      <c r="B578" t="str">
        <f t="shared" si="249"/>
        <v>ENTRADA</v>
      </c>
      <c r="C578" t="str">
        <f t="shared" si="250"/>
        <v>NFSE</v>
      </c>
      <c r="D578" t="str">
        <f>"3750"</f>
        <v>3750</v>
      </c>
      <c r="E578" t="str">
        <f t="shared" si="251"/>
        <v>COM</v>
      </c>
      <c r="F578" t="str">
        <f>"PAGMENOS - LJ 608 (10135)"</f>
        <v>PAGMENOS - LJ 608 (10135)</v>
      </c>
      <c r="G578" t="str">
        <f>"Serv.Prest. 27/10/2025 a 02/11/2025 - RPS: 1513 - NFSe: 3750"</f>
        <v>Serv.Prest. 27/10/2025 a 02/11/2025 - RPS: 1513 - NFSe: 3750</v>
      </c>
      <c r="H578" t="str">
        <f t="shared" si="252"/>
        <v>14/11/2025</v>
      </c>
      <c r="I578" t="str">
        <f t="shared" si="256"/>
        <v>03/11/2025</v>
      </c>
      <c r="J578" t="str">
        <f t="shared" si="257"/>
        <v>18/11/2025</v>
      </c>
      <c r="M578">
        <v>303</v>
      </c>
      <c r="N578" t="str">
        <f t="shared" si="253"/>
        <v>RECEITAS COM ENTREGAS</v>
      </c>
      <c r="P578">
        <v>220.25</v>
      </c>
      <c r="Q578" t="str">
        <f>"PAGMENOS - LJ 608 (10135)"</f>
        <v>PAGMENOS - LJ 608 (10135)</v>
      </c>
      <c r="R578" t="str">
        <f t="shared" si="254"/>
        <v>RECEITAS COM ENTREGAS (303)</v>
      </c>
      <c r="S578">
        <v>3215</v>
      </c>
      <c r="T578">
        <v>2445</v>
      </c>
      <c r="U578" t="s">
        <v>21</v>
      </c>
    </row>
    <row r="579" spans="1:21">
      <c r="A579" t="str">
        <f t="shared" si="255"/>
        <v>18/11/2025</v>
      </c>
      <c r="B579" t="str">
        <f t="shared" si="249"/>
        <v>ENTRADA</v>
      </c>
      <c r="C579" t="str">
        <f t="shared" si="250"/>
        <v>NFSE</v>
      </c>
      <c r="D579" t="str">
        <f>"3751"</f>
        <v>3751</v>
      </c>
      <c r="E579" t="str">
        <f t="shared" si="251"/>
        <v>COM</v>
      </c>
      <c r="F579" t="str">
        <f>"PAGMENOS - LJ 657 (10136)"</f>
        <v>PAGMENOS - LJ 657 (10136)</v>
      </c>
      <c r="G579" t="str">
        <f>"Serv.Prest. 27/10/2025 a 02/11/2025 - RPS: 1514 - NFSe: 3751"</f>
        <v>Serv.Prest. 27/10/2025 a 02/11/2025 - RPS: 1514 - NFSe: 3751</v>
      </c>
      <c r="H579" t="str">
        <f t="shared" si="252"/>
        <v>14/11/2025</v>
      </c>
      <c r="I579" t="str">
        <f t="shared" si="256"/>
        <v>03/11/2025</v>
      </c>
      <c r="J579" t="str">
        <f t="shared" si="257"/>
        <v>18/11/2025</v>
      </c>
      <c r="K579">
        <v>550.62</v>
      </c>
      <c r="L579">
        <v>550.62</v>
      </c>
      <c r="M579">
        <v>303</v>
      </c>
      <c r="N579" t="str">
        <f t="shared" si="253"/>
        <v>RECEITAS COM ENTREGAS</v>
      </c>
      <c r="O579">
        <v>550.62</v>
      </c>
      <c r="R579" t="str">
        <f t="shared" si="254"/>
        <v>RECEITAS COM ENTREGAS (303)</v>
      </c>
      <c r="S579">
        <v>3216</v>
      </c>
      <c r="T579">
        <v>2446</v>
      </c>
      <c r="U579" t="s">
        <v>21</v>
      </c>
    </row>
    <row r="580" spans="1:21">
      <c r="A580" t="str">
        <f t="shared" si="255"/>
        <v>18/11/2025</v>
      </c>
      <c r="B580" t="str">
        <f t="shared" si="249"/>
        <v>ENTRADA</v>
      </c>
      <c r="C580" t="str">
        <f t="shared" si="250"/>
        <v>NFSE</v>
      </c>
      <c r="D580" t="str">
        <f>"3751"</f>
        <v>3751</v>
      </c>
      <c r="E580" t="str">
        <f t="shared" si="251"/>
        <v>COM</v>
      </c>
      <c r="F580" t="str">
        <f>"PAGMENOS - LJ 657 (10136)"</f>
        <v>PAGMENOS - LJ 657 (10136)</v>
      </c>
      <c r="G580" t="str">
        <f>"Serv.Prest. 27/10/2025 a 02/11/2025 - RPS: 1514 - NFSe: 3751"</f>
        <v>Serv.Prest. 27/10/2025 a 02/11/2025 - RPS: 1514 - NFSe: 3751</v>
      </c>
      <c r="H580" t="str">
        <f t="shared" si="252"/>
        <v>14/11/2025</v>
      </c>
      <c r="I580" t="str">
        <f t="shared" si="256"/>
        <v>03/11/2025</v>
      </c>
      <c r="J580" t="str">
        <f t="shared" si="257"/>
        <v>18/11/2025</v>
      </c>
      <c r="M580">
        <v>303</v>
      </c>
      <c r="N580" t="str">
        <f t="shared" si="253"/>
        <v>RECEITAS COM ENTREGAS</v>
      </c>
      <c r="P580">
        <v>550.62</v>
      </c>
      <c r="Q580" t="str">
        <f>"PAGMENOS - LJ 657 (10136)"</f>
        <v>PAGMENOS - LJ 657 (10136)</v>
      </c>
      <c r="R580" t="str">
        <f t="shared" si="254"/>
        <v>RECEITAS COM ENTREGAS (303)</v>
      </c>
      <c r="S580">
        <v>3216</v>
      </c>
      <c r="T580">
        <v>2446</v>
      </c>
      <c r="U580" t="s">
        <v>21</v>
      </c>
    </row>
    <row r="581" spans="1:21">
      <c r="A581" t="str">
        <f t="shared" si="255"/>
        <v>18/11/2025</v>
      </c>
      <c r="B581" t="str">
        <f t="shared" si="249"/>
        <v>ENTRADA</v>
      </c>
      <c r="C581" t="str">
        <f t="shared" si="250"/>
        <v>NFSE</v>
      </c>
      <c r="D581" t="str">
        <f t="shared" ref="D581:D586" si="258">"3813"</f>
        <v>3813</v>
      </c>
      <c r="E581" t="str">
        <f t="shared" si="251"/>
        <v>COM</v>
      </c>
      <c r="F581" t="str">
        <f t="shared" ref="F581:F586" si="259">"DROGALIDER 31 (10256)"</f>
        <v>DROGALIDER 31 (10256)</v>
      </c>
      <c r="G581" t="str">
        <f t="shared" ref="G581:G586" si="260">"Serv.Prest. 03/11/2025 a 09/11/2025 - RPS: 1576 - NFSe: 3813"</f>
        <v>Serv.Prest. 03/11/2025 a 09/11/2025 - RPS: 1576 - NFSe: 3813</v>
      </c>
      <c r="H581" t="str">
        <f t="shared" ref="H581:H597" si="261">("18/11/2025")</f>
        <v>18/11/2025</v>
      </c>
      <c r="I581" t="str">
        <f t="shared" ref="I581:I592" si="262">("12/11/2025")</f>
        <v>12/11/2025</v>
      </c>
      <c r="J581" t="str">
        <f t="shared" si="257"/>
        <v>18/11/2025</v>
      </c>
      <c r="K581">
        <v>450</v>
      </c>
      <c r="L581">
        <v>450</v>
      </c>
      <c r="M581">
        <v>303</v>
      </c>
      <c r="N581" t="str">
        <f t="shared" si="253"/>
        <v>RECEITAS COM ENTREGAS</v>
      </c>
      <c r="O581">
        <v>450</v>
      </c>
      <c r="R581" t="str">
        <f t="shared" si="254"/>
        <v>RECEITAS COM ENTREGAS (303)</v>
      </c>
      <c r="S581">
        <v>3217</v>
      </c>
      <c r="T581">
        <v>2522</v>
      </c>
      <c r="U581" t="s">
        <v>21</v>
      </c>
    </row>
    <row r="582" spans="1:21">
      <c r="A582" t="str">
        <f t="shared" si="255"/>
        <v>18/11/2025</v>
      </c>
      <c r="B582" t="str">
        <f t="shared" si="249"/>
        <v>ENTRADA</v>
      </c>
      <c r="C582" t="str">
        <f t="shared" si="250"/>
        <v>NFSE</v>
      </c>
      <c r="D582" t="str">
        <f t="shared" si="258"/>
        <v>3813</v>
      </c>
      <c r="E582" t="str">
        <f t="shared" si="251"/>
        <v>COM</v>
      </c>
      <c r="F582" t="str">
        <f t="shared" si="259"/>
        <v>DROGALIDER 31 (10256)</v>
      </c>
      <c r="G582" t="str">
        <f t="shared" si="260"/>
        <v>Serv.Prest. 03/11/2025 a 09/11/2025 - RPS: 1576 - NFSe: 3813</v>
      </c>
      <c r="H582" t="str">
        <f t="shared" si="261"/>
        <v>18/11/2025</v>
      </c>
      <c r="I582" t="str">
        <f t="shared" si="262"/>
        <v>12/11/2025</v>
      </c>
      <c r="J582" t="str">
        <f t="shared" si="257"/>
        <v>18/11/2025</v>
      </c>
      <c r="M582">
        <v>303</v>
      </c>
      <c r="N582" t="str">
        <f t="shared" si="253"/>
        <v>RECEITAS COM ENTREGAS</v>
      </c>
      <c r="P582">
        <v>75.010000000000005</v>
      </c>
      <c r="Q582" t="str">
        <f>"DROGALIDER 42 (10247)"</f>
        <v>DROGALIDER 42 (10247)</v>
      </c>
      <c r="R582" t="str">
        <f t="shared" si="254"/>
        <v>RECEITAS COM ENTREGAS (303)</v>
      </c>
      <c r="S582">
        <v>3217</v>
      </c>
      <c r="T582">
        <v>2522</v>
      </c>
      <c r="U582" t="s">
        <v>21</v>
      </c>
    </row>
    <row r="583" spans="1:21">
      <c r="A583" t="str">
        <f t="shared" si="255"/>
        <v>18/11/2025</v>
      </c>
      <c r="B583" t="str">
        <f t="shared" si="249"/>
        <v>ENTRADA</v>
      </c>
      <c r="C583" t="str">
        <f t="shared" si="250"/>
        <v>NFSE</v>
      </c>
      <c r="D583" t="str">
        <f t="shared" si="258"/>
        <v>3813</v>
      </c>
      <c r="E583" t="str">
        <f t="shared" si="251"/>
        <v>COM</v>
      </c>
      <c r="F583" t="str">
        <f t="shared" si="259"/>
        <v>DROGALIDER 31 (10256)</v>
      </c>
      <c r="G583" t="str">
        <f t="shared" si="260"/>
        <v>Serv.Prest. 03/11/2025 a 09/11/2025 - RPS: 1576 - NFSe: 3813</v>
      </c>
      <c r="H583" t="str">
        <f t="shared" si="261"/>
        <v>18/11/2025</v>
      </c>
      <c r="I583" t="str">
        <f t="shared" si="262"/>
        <v>12/11/2025</v>
      </c>
      <c r="J583" t="str">
        <f t="shared" si="257"/>
        <v>18/11/2025</v>
      </c>
      <c r="M583">
        <v>303</v>
      </c>
      <c r="N583" t="str">
        <f t="shared" si="253"/>
        <v>RECEITAS COM ENTREGAS</v>
      </c>
      <c r="P583">
        <v>90</v>
      </c>
      <c r="Q583" t="str">
        <f>"DROGALIDER 55 (10249)"</f>
        <v>DROGALIDER 55 (10249)</v>
      </c>
      <c r="R583" t="str">
        <f t="shared" si="254"/>
        <v>RECEITAS COM ENTREGAS (303)</v>
      </c>
      <c r="S583">
        <v>3217</v>
      </c>
      <c r="T583">
        <v>2522</v>
      </c>
      <c r="U583" t="s">
        <v>21</v>
      </c>
    </row>
    <row r="584" spans="1:21">
      <c r="A584" t="str">
        <f t="shared" si="255"/>
        <v>18/11/2025</v>
      </c>
      <c r="B584" t="str">
        <f t="shared" si="249"/>
        <v>ENTRADA</v>
      </c>
      <c r="C584" t="str">
        <f t="shared" si="250"/>
        <v>NFSE</v>
      </c>
      <c r="D584" t="str">
        <f t="shared" si="258"/>
        <v>3813</v>
      </c>
      <c r="E584" t="str">
        <f t="shared" si="251"/>
        <v>COM</v>
      </c>
      <c r="F584" t="str">
        <f t="shared" si="259"/>
        <v>DROGALIDER 31 (10256)</v>
      </c>
      <c r="G584" t="str">
        <f t="shared" si="260"/>
        <v>Serv.Prest. 03/11/2025 a 09/11/2025 - RPS: 1576 - NFSe: 3813</v>
      </c>
      <c r="H584" t="str">
        <f t="shared" si="261"/>
        <v>18/11/2025</v>
      </c>
      <c r="I584" t="str">
        <f t="shared" si="262"/>
        <v>12/11/2025</v>
      </c>
      <c r="J584" t="str">
        <f t="shared" si="257"/>
        <v>18/11/2025</v>
      </c>
      <c r="M584">
        <v>303</v>
      </c>
      <c r="N584" t="str">
        <f t="shared" si="253"/>
        <v>RECEITAS COM ENTREGAS</v>
      </c>
      <c r="P584">
        <v>75.02</v>
      </c>
      <c r="Q584" t="str">
        <f>"DROGALIDER 67 (10252)"</f>
        <v>DROGALIDER 67 (10252)</v>
      </c>
      <c r="R584" t="str">
        <f t="shared" si="254"/>
        <v>RECEITAS COM ENTREGAS (303)</v>
      </c>
      <c r="S584">
        <v>3217</v>
      </c>
      <c r="T584">
        <v>2522</v>
      </c>
      <c r="U584" t="s">
        <v>21</v>
      </c>
    </row>
    <row r="585" spans="1:21">
      <c r="A585" t="str">
        <f t="shared" si="255"/>
        <v>18/11/2025</v>
      </c>
      <c r="B585" t="str">
        <f t="shared" si="249"/>
        <v>ENTRADA</v>
      </c>
      <c r="C585" t="str">
        <f t="shared" si="250"/>
        <v>NFSE</v>
      </c>
      <c r="D585" t="str">
        <f t="shared" si="258"/>
        <v>3813</v>
      </c>
      <c r="E585" t="str">
        <f t="shared" si="251"/>
        <v>COM</v>
      </c>
      <c r="F585" t="str">
        <f t="shared" si="259"/>
        <v>DROGALIDER 31 (10256)</v>
      </c>
      <c r="G585" t="str">
        <f t="shared" si="260"/>
        <v>Serv.Prest. 03/11/2025 a 09/11/2025 - RPS: 1576 - NFSe: 3813</v>
      </c>
      <c r="H585" t="str">
        <f t="shared" si="261"/>
        <v>18/11/2025</v>
      </c>
      <c r="I585" t="str">
        <f t="shared" si="262"/>
        <v>12/11/2025</v>
      </c>
      <c r="J585" t="str">
        <f t="shared" si="257"/>
        <v>18/11/2025</v>
      </c>
      <c r="M585">
        <v>303</v>
      </c>
      <c r="N585" t="str">
        <f t="shared" si="253"/>
        <v>RECEITAS COM ENTREGAS</v>
      </c>
      <c r="P585">
        <v>71.239999999999995</v>
      </c>
      <c r="Q585" t="str">
        <f>"DROGALIDER 68 (10253)"</f>
        <v>DROGALIDER 68 (10253)</v>
      </c>
      <c r="R585" t="str">
        <f t="shared" si="254"/>
        <v>RECEITAS COM ENTREGAS (303)</v>
      </c>
      <c r="S585">
        <v>3217</v>
      </c>
      <c r="T585">
        <v>2522</v>
      </c>
      <c r="U585" t="s">
        <v>21</v>
      </c>
    </row>
    <row r="586" spans="1:21">
      <c r="A586" t="str">
        <f t="shared" si="255"/>
        <v>18/11/2025</v>
      </c>
      <c r="B586" t="str">
        <f t="shared" si="249"/>
        <v>ENTRADA</v>
      </c>
      <c r="C586" t="str">
        <f t="shared" si="250"/>
        <v>NFSE</v>
      </c>
      <c r="D586" t="str">
        <f t="shared" si="258"/>
        <v>3813</v>
      </c>
      <c r="E586" t="str">
        <f t="shared" si="251"/>
        <v>COM</v>
      </c>
      <c r="F586" t="str">
        <f t="shared" si="259"/>
        <v>DROGALIDER 31 (10256)</v>
      </c>
      <c r="G586" t="str">
        <f t="shared" si="260"/>
        <v>Serv.Prest. 03/11/2025 a 09/11/2025 - RPS: 1576 - NFSe: 3813</v>
      </c>
      <c r="H586" t="str">
        <f t="shared" si="261"/>
        <v>18/11/2025</v>
      </c>
      <c r="I586" t="str">
        <f t="shared" si="262"/>
        <v>12/11/2025</v>
      </c>
      <c r="J586" t="str">
        <f t="shared" si="257"/>
        <v>18/11/2025</v>
      </c>
      <c r="M586">
        <v>303</v>
      </c>
      <c r="N586" t="str">
        <f t="shared" si="253"/>
        <v>RECEITAS COM ENTREGAS</v>
      </c>
      <c r="P586">
        <v>138.72999999999999</v>
      </c>
      <c r="Q586" t="str">
        <f>"DROGALIDER 31 (10256)"</f>
        <v>DROGALIDER 31 (10256)</v>
      </c>
      <c r="R586" t="str">
        <f t="shared" si="254"/>
        <v>RECEITAS COM ENTREGAS (303)</v>
      </c>
      <c r="S586">
        <v>3217</v>
      </c>
      <c r="T586">
        <v>2522</v>
      </c>
      <c r="U586" t="s">
        <v>21</v>
      </c>
    </row>
    <row r="587" spans="1:21">
      <c r="A587" t="str">
        <f t="shared" si="255"/>
        <v>18/11/2025</v>
      </c>
      <c r="B587" t="str">
        <f t="shared" si="249"/>
        <v>ENTRADA</v>
      </c>
      <c r="C587" t="str">
        <f t="shared" si="250"/>
        <v>NFSE</v>
      </c>
      <c r="D587" t="str">
        <f t="shared" ref="D587:D592" si="263">"3812"</f>
        <v>3812</v>
      </c>
      <c r="E587" t="str">
        <f t="shared" si="251"/>
        <v>COM</v>
      </c>
      <c r="F587" t="str">
        <f t="shared" ref="F587:F592" si="264">"DROGALIDER 25 (10246)"</f>
        <v>DROGALIDER 25 (10246)</v>
      </c>
      <c r="G587" t="str">
        <f t="shared" ref="G587:G592" si="265">"Serv.Prest. 03/11/2025 a 09/11/2025 - RPS: 1575 - NFSe: 3812"</f>
        <v>Serv.Prest. 03/11/2025 a 09/11/2025 - RPS: 1575 - NFSe: 3812</v>
      </c>
      <c r="H587" t="str">
        <f t="shared" si="261"/>
        <v>18/11/2025</v>
      </c>
      <c r="I587" t="str">
        <f t="shared" si="262"/>
        <v>12/11/2025</v>
      </c>
      <c r="J587" t="str">
        <f t="shared" si="257"/>
        <v>18/11/2025</v>
      </c>
      <c r="K587">
        <v>546</v>
      </c>
      <c r="L587">
        <v>546</v>
      </c>
      <c r="M587">
        <v>303</v>
      </c>
      <c r="N587" t="str">
        <f t="shared" si="253"/>
        <v>RECEITAS COM ENTREGAS</v>
      </c>
      <c r="O587">
        <v>546</v>
      </c>
      <c r="R587" t="str">
        <f t="shared" si="254"/>
        <v>RECEITAS COM ENTREGAS (303)</v>
      </c>
      <c r="S587">
        <v>3218</v>
      </c>
      <c r="T587">
        <v>2521</v>
      </c>
      <c r="U587" t="s">
        <v>21</v>
      </c>
    </row>
    <row r="588" spans="1:21">
      <c r="A588" t="str">
        <f t="shared" si="255"/>
        <v>18/11/2025</v>
      </c>
      <c r="B588" t="str">
        <f t="shared" si="249"/>
        <v>ENTRADA</v>
      </c>
      <c r="C588" t="str">
        <f t="shared" si="250"/>
        <v>NFSE</v>
      </c>
      <c r="D588" t="str">
        <f t="shared" si="263"/>
        <v>3812</v>
      </c>
      <c r="E588" t="str">
        <f t="shared" si="251"/>
        <v>COM</v>
      </c>
      <c r="F588" t="str">
        <f t="shared" si="264"/>
        <v>DROGALIDER 25 (10246)</v>
      </c>
      <c r="G588" t="str">
        <f t="shared" si="265"/>
        <v>Serv.Prest. 03/11/2025 a 09/11/2025 - RPS: 1575 - NFSe: 3812</v>
      </c>
      <c r="H588" t="str">
        <f t="shared" si="261"/>
        <v>18/11/2025</v>
      </c>
      <c r="I588" t="str">
        <f t="shared" si="262"/>
        <v>12/11/2025</v>
      </c>
      <c r="J588" t="str">
        <f t="shared" si="257"/>
        <v>18/11/2025</v>
      </c>
      <c r="M588">
        <v>303</v>
      </c>
      <c r="N588" t="str">
        <f t="shared" si="253"/>
        <v>RECEITAS COM ENTREGAS</v>
      </c>
      <c r="P588">
        <v>89.98</v>
      </c>
      <c r="Q588" t="str">
        <f>"DROGALIDER 58 (10213)"</f>
        <v>DROGALIDER 58 (10213)</v>
      </c>
      <c r="R588" t="str">
        <f t="shared" si="254"/>
        <v>RECEITAS COM ENTREGAS (303)</v>
      </c>
      <c r="S588">
        <v>3218</v>
      </c>
      <c r="T588">
        <v>2521</v>
      </c>
      <c r="U588" t="s">
        <v>21</v>
      </c>
    </row>
    <row r="589" spans="1:21">
      <c r="A589" t="str">
        <f t="shared" si="255"/>
        <v>18/11/2025</v>
      </c>
      <c r="B589" t="str">
        <f t="shared" si="249"/>
        <v>ENTRADA</v>
      </c>
      <c r="C589" t="str">
        <f t="shared" si="250"/>
        <v>NFSE</v>
      </c>
      <c r="D589" t="str">
        <f t="shared" si="263"/>
        <v>3812</v>
      </c>
      <c r="E589" t="str">
        <f t="shared" si="251"/>
        <v>COM</v>
      </c>
      <c r="F589" t="str">
        <f t="shared" si="264"/>
        <v>DROGALIDER 25 (10246)</v>
      </c>
      <c r="G589" t="str">
        <f t="shared" si="265"/>
        <v>Serv.Prest. 03/11/2025 a 09/11/2025 - RPS: 1575 - NFSe: 3812</v>
      </c>
      <c r="H589" t="str">
        <f t="shared" si="261"/>
        <v>18/11/2025</v>
      </c>
      <c r="I589" t="str">
        <f t="shared" si="262"/>
        <v>12/11/2025</v>
      </c>
      <c r="J589" t="str">
        <f t="shared" si="257"/>
        <v>18/11/2025</v>
      </c>
      <c r="M589">
        <v>303</v>
      </c>
      <c r="N589" t="str">
        <f t="shared" si="253"/>
        <v>RECEITAS COM ENTREGAS</v>
      </c>
      <c r="P589">
        <v>197</v>
      </c>
      <c r="Q589" t="str">
        <f>"DROGALIDER 25 (10246)"</f>
        <v>DROGALIDER 25 (10246)</v>
      </c>
      <c r="R589" t="str">
        <f t="shared" si="254"/>
        <v>RECEITAS COM ENTREGAS (303)</v>
      </c>
      <c r="S589">
        <v>3218</v>
      </c>
      <c r="T589">
        <v>2521</v>
      </c>
      <c r="U589" t="s">
        <v>21</v>
      </c>
    </row>
    <row r="590" spans="1:21">
      <c r="A590" t="str">
        <f t="shared" si="255"/>
        <v>18/11/2025</v>
      </c>
      <c r="B590" t="str">
        <f t="shared" si="249"/>
        <v>ENTRADA</v>
      </c>
      <c r="C590" t="str">
        <f t="shared" si="250"/>
        <v>NFSE</v>
      </c>
      <c r="D590" t="str">
        <f t="shared" si="263"/>
        <v>3812</v>
      </c>
      <c r="E590" t="str">
        <f t="shared" si="251"/>
        <v>COM</v>
      </c>
      <c r="F590" t="str">
        <f t="shared" si="264"/>
        <v>DROGALIDER 25 (10246)</v>
      </c>
      <c r="G590" t="str">
        <f t="shared" si="265"/>
        <v>Serv.Prest. 03/11/2025 a 09/11/2025 - RPS: 1575 - NFSe: 3812</v>
      </c>
      <c r="H590" t="str">
        <f t="shared" si="261"/>
        <v>18/11/2025</v>
      </c>
      <c r="I590" t="str">
        <f t="shared" si="262"/>
        <v>12/11/2025</v>
      </c>
      <c r="J590" t="str">
        <f t="shared" si="257"/>
        <v>18/11/2025</v>
      </c>
      <c r="M590">
        <v>303</v>
      </c>
      <c r="N590" t="str">
        <f t="shared" si="253"/>
        <v>RECEITAS COM ENTREGAS</v>
      </c>
      <c r="P590">
        <v>149</v>
      </c>
      <c r="Q590" t="str">
        <f>"DROGALIDER 46 (10248)"</f>
        <v>DROGALIDER 46 (10248)</v>
      </c>
      <c r="R590" t="str">
        <f t="shared" si="254"/>
        <v>RECEITAS COM ENTREGAS (303)</v>
      </c>
      <c r="S590">
        <v>3218</v>
      </c>
      <c r="T590">
        <v>2521</v>
      </c>
      <c r="U590" t="s">
        <v>21</v>
      </c>
    </row>
    <row r="591" spans="1:21">
      <c r="A591" t="str">
        <f t="shared" si="255"/>
        <v>18/11/2025</v>
      </c>
      <c r="B591" t="str">
        <f t="shared" si="249"/>
        <v>ENTRADA</v>
      </c>
      <c r="C591" t="str">
        <f t="shared" si="250"/>
        <v>NFSE</v>
      </c>
      <c r="D591" t="str">
        <f t="shared" si="263"/>
        <v>3812</v>
      </c>
      <c r="E591" t="str">
        <f t="shared" si="251"/>
        <v>COM</v>
      </c>
      <c r="F591" t="str">
        <f t="shared" si="264"/>
        <v>DROGALIDER 25 (10246)</v>
      </c>
      <c r="G591" t="str">
        <f t="shared" si="265"/>
        <v>Serv.Prest. 03/11/2025 a 09/11/2025 - RPS: 1575 - NFSe: 3812</v>
      </c>
      <c r="H591" t="str">
        <f t="shared" si="261"/>
        <v>18/11/2025</v>
      </c>
      <c r="I591" t="str">
        <f t="shared" si="262"/>
        <v>12/11/2025</v>
      </c>
      <c r="J591" t="str">
        <f t="shared" si="257"/>
        <v>18/11/2025</v>
      </c>
      <c r="M591">
        <v>303</v>
      </c>
      <c r="N591" t="str">
        <f t="shared" si="253"/>
        <v>RECEITAS COM ENTREGAS</v>
      </c>
      <c r="P591">
        <v>53.02</v>
      </c>
      <c r="Q591" t="str">
        <f>"DROGALIDER 64 (10250)"</f>
        <v>DROGALIDER 64 (10250)</v>
      </c>
      <c r="R591" t="str">
        <f t="shared" si="254"/>
        <v>RECEITAS COM ENTREGAS (303)</v>
      </c>
      <c r="S591">
        <v>3218</v>
      </c>
      <c r="T591">
        <v>2521</v>
      </c>
      <c r="U591" t="s">
        <v>21</v>
      </c>
    </row>
    <row r="592" spans="1:21">
      <c r="A592" t="str">
        <f t="shared" si="255"/>
        <v>18/11/2025</v>
      </c>
      <c r="B592" t="str">
        <f t="shared" si="249"/>
        <v>ENTRADA</v>
      </c>
      <c r="C592" t="str">
        <f t="shared" si="250"/>
        <v>NFSE</v>
      </c>
      <c r="D592" t="str">
        <f t="shared" si="263"/>
        <v>3812</v>
      </c>
      <c r="E592" t="str">
        <f t="shared" si="251"/>
        <v>COM</v>
      </c>
      <c r="F592" t="str">
        <f t="shared" si="264"/>
        <v>DROGALIDER 25 (10246)</v>
      </c>
      <c r="G592" t="str">
        <f t="shared" si="265"/>
        <v>Serv.Prest. 03/11/2025 a 09/11/2025 - RPS: 1575 - NFSe: 3812</v>
      </c>
      <c r="H592" t="str">
        <f t="shared" si="261"/>
        <v>18/11/2025</v>
      </c>
      <c r="I592" t="str">
        <f t="shared" si="262"/>
        <v>12/11/2025</v>
      </c>
      <c r="J592" t="str">
        <f t="shared" si="257"/>
        <v>18/11/2025</v>
      </c>
      <c r="M592">
        <v>303</v>
      </c>
      <c r="N592" t="str">
        <f t="shared" si="253"/>
        <v>RECEITAS COM ENTREGAS</v>
      </c>
      <c r="P592">
        <v>57</v>
      </c>
      <c r="Q592" t="str">
        <f>"DROGALIDER 66 (10251)"</f>
        <v>DROGALIDER 66 (10251)</v>
      </c>
      <c r="R592" t="str">
        <f t="shared" si="254"/>
        <v>RECEITAS COM ENTREGAS (303)</v>
      </c>
      <c r="S592">
        <v>3218</v>
      </c>
      <c r="T592">
        <v>2521</v>
      </c>
      <c r="U592" t="s">
        <v>21</v>
      </c>
    </row>
    <row r="593" spans="1:21">
      <c r="A593" t="str">
        <f t="shared" si="255"/>
        <v>18/11/2025</v>
      </c>
      <c r="B593" t="str">
        <f t="shared" ref="B593:B601" si="266">"SAÍDA"</f>
        <v>SAÍDA</v>
      </c>
      <c r="C593" t="str">
        <f>"BOLETO"</f>
        <v>BOLETO</v>
      </c>
      <c r="D593" t="str">
        <f>"011125"</f>
        <v>011125</v>
      </c>
      <c r="E593" t="str">
        <f t="shared" si="251"/>
        <v>COM</v>
      </c>
      <c r="F593" t="str">
        <f>"CORA SOCIEDADE DE CREDITO, FINANCIAMENTO E INVESTIMENTO (20035)"</f>
        <v>CORA SOCIEDADE DE CREDITO, FINANCIAMENTO E INVESTIMENTO (20035)</v>
      </c>
      <c r="G593" t="str">
        <f>"TAXA BOLETO CORA"</f>
        <v>TAXA BOLETO CORA</v>
      </c>
      <c r="H593" t="str">
        <f t="shared" si="261"/>
        <v>18/11/2025</v>
      </c>
      <c r="I593" t="str">
        <f>("01/11/2025")</f>
        <v>01/11/2025</v>
      </c>
      <c r="J593" t="str">
        <f t="shared" si="257"/>
        <v>18/11/2025</v>
      </c>
      <c r="K593">
        <v>1.7</v>
      </c>
      <c r="L593">
        <v>1.7</v>
      </c>
      <c r="M593">
        <v>401</v>
      </c>
      <c r="N593" t="str">
        <f>"IOF/JUROS/DESP.FINANCEIRA"</f>
        <v>IOF/JUROS/DESP.FINANCEIRA</v>
      </c>
      <c r="O593">
        <v>1.7</v>
      </c>
      <c r="R593" t="str">
        <f>"BANCO CORA (102)"</f>
        <v>BANCO CORA (102)</v>
      </c>
      <c r="S593">
        <v>3219</v>
      </c>
      <c r="T593">
        <v>2885</v>
      </c>
      <c r="U593" t="s">
        <v>21</v>
      </c>
    </row>
    <row r="594" spans="1:21">
      <c r="A594" t="str">
        <f t="shared" si="255"/>
        <v>18/11/2025</v>
      </c>
      <c r="B594" t="str">
        <f t="shared" si="266"/>
        <v>SAÍDA</v>
      </c>
      <c r="C594" t="str">
        <f>"BOLETO"</f>
        <v>BOLETO</v>
      </c>
      <c r="D594" t="str">
        <f>"011125"</f>
        <v>011125</v>
      </c>
      <c r="E594" t="str">
        <f t="shared" si="251"/>
        <v>COM</v>
      </c>
      <c r="F594" t="str">
        <f>"CORA SOCIEDADE DE CREDITO, FINANCIAMENTO E INVESTIMENTO (20035)"</f>
        <v>CORA SOCIEDADE DE CREDITO, FINANCIAMENTO E INVESTIMENTO (20035)</v>
      </c>
      <c r="G594" t="str">
        <f>"TAXA BOLETO CORA"</f>
        <v>TAXA BOLETO CORA</v>
      </c>
      <c r="H594" t="str">
        <f t="shared" si="261"/>
        <v>18/11/2025</v>
      </c>
      <c r="I594" t="str">
        <f>("01/11/2025")</f>
        <v>01/11/2025</v>
      </c>
      <c r="J594" t="str">
        <f t="shared" si="257"/>
        <v>18/11/2025</v>
      </c>
      <c r="M594">
        <v>401</v>
      </c>
      <c r="N594" t="str">
        <f>"IOF/JUROS/DESP.FINANCEIRA"</f>
        <v>IOF/JUROS/DESP.FINANCEIRA</v>
      </c>
      <c r="P594">
        <v>1.7</v>
      </c>
      <c r="Q594" t="str">
        <f>"CORA SOCIEDADE DE CREDITO, FINANCIAMENTO E INVESTIMENTO (20035)"</f>
        <v>CORA SOCIEDADE DE CREDITO, FINANCIAMENTO E INVESTIMENTO (20035)</v>
      </c>
      <c r="R594" t="str">
        <f>"BANCO CORA (102)"</f>
        <v>BANCO CORA (102)</v>
      </c>
      <c r="S594">
        <v>3219</v>
      </c>
      <c r="T594">
        <v>2885</v>
      </c>
      <c r="U594" t="s">
        <v>21</v>
      </c>
    </row>
    <row r="595" spans="1:21">
      <c r="A595" t="str">
        <f t="shared" si="255"/>
        <v>18/11/2025</v>
      </c>
      <c r="B595" t="str">
        <f t="shared" si="266"/>
        <v>SAÍDA</v>
      </c>
      <c r="C595" t="str">
        <f>"BOLETO"</f>
        <v>BOLETO</v>
      </c>
      <c r="D595" t="str">
        <f>"011125"</f>
        <v>011125</v>
      </c>
      <c r="E595" t="str">
        <f t="shared" si="251"/>
        <v>COM</v>
      </c>
      <c r="F595" t="str">
        <f>"CORA SOCIEDADE DE CREDITO, FINANCIAMENTO E INVESTIMENTO (20035)"</f>
        <v>CORA SOCIEDADE DE CREDITO, FINANCIAMENTO E INVESTIMENTO (20035)</v>
      </c>
      <c r="G595" t="str">
        <f>"TAXA BOLETO CORA"</f>
        <v>TAXA BOLETO CORA</v>
      </c>
      <c r="H595" t="str">
        <f t="shared" si="261"/>
        <v>18/11/2025</v>
      </c>
      <c r="I595" t="str">
        <f>("01/11/2025")</f>
        <v>01/11/2025</v>
      </c>
      <c r="J595" t="str">
        <f t="shared" si="257"/>
        <v>18/11/2025</v>
      </c>
      <c r="K595">
        <v>1.7</v>
      </c>
      <c r="L595">
        <v>1.7</v>
      </c>
      <c r="M595">
        <v>401</v>
      </c>
      <c r="N595" t="str">
        <f>"IOF/JUROS/DESP.FINANCEIRA"</f>
        <v>IOF/JUROS/DESP.FINANCEIRA</v>
      </c>
      <c r="O595">
        <v>1.7</v>
      </c>
      <c r="R595" t="str">
        <f>"BANCO CORA (102)"</f>
        <v>BANCO CORA (102)</v>
      </c>
      <c r="S595">
        <v>3220</v>
      </c>
      <c r="T595">
        <v>2886</v>
      </c>
      <c r="U595" t="s">
        <v>21</v>
      </c>
    </row>
    <row r="596" spans="1:21">
      <c r="A596" t="str">
        <f t="shared" si="255"/>
        <v>18/11/2025</v>
      </c>
      <c r="B596" t="str">
        <f t="shared" si="266"/>
        <v>SAÍDA</v>
      </c>
      <c r="C596" t="str">
        <f>"BOLETO"</f>
        <v>BOLETO</v>
      </c>
      <c r="D596" t="str">
        <f>"011125"</f>
        <v>011125</v>
      </c>
      <c r="E596" t="str">
        <f t="shared" si="251"/>
        <v>COM</v>
      </c>
      <c r="F596" t="str">
        <f>"CORA SOCIEDADE DE CREDITO, FINANCIAMENTO E INVESTIMENTO (20035)"</f>
        <v>CORA SOCIEDADE DE CREDITO, FINANCIAMENTO E INVESTIMENTO (20035)</v>
      </c>
      <c r="G596" t="str">
        <f>"TAXA BOLETO CORA"</f>
        <v>TAXA BOLETO CORA</v>
      </c>
      <c r="H596" t="str">
        <f t="shared" si="261"/>
        <v>18/11/2025</v>
      </c>
      <c r="I596" t="str">
        <f>("01/11/2025")</f>
        <v>01/11/2025</v>
      </c>
      <c r="J596" t="str">
        <f t="shared" si="257"/>
        <v>18/11/2025</v>
      </c>
      <c r="M596">
        <v>401</v>
      </c>
      <c r="N596" t="str">
        <f>"IOF/JUROS/DESP.FINANCEIRA"</f>
        <v>IOF/JUROS/DESP.FINANCEIRA</v>
      </c>
      <c r="P596">
        <v>1.7</v>
      </c>
      <c r="Q596" t="str">
        <f>"CORA SOCIEDADE DE CREDITO, FINANCIAMENTO E INVESTIMENTO (20035)"</f>
        <v>CORA SOCIEDADE DE CREDITO, FINANCIAMENTO E INVESTIMENTO (20035)</v>
      </c>
      <c r="R596" t="str">
        <f>"BANCO CORA (102)"</f>
        <v>BANCO CORA (102)</v>
      </c>
      <c r="S596">
        <v>3220</v>
      </c>
      <c r="T596">
        <v>2886</v>
      </c>
      <c r="U596" t="s">
        <v>21</v>
      </c>
    </row>
    <row r="597" spans="1:21">
      <c r="A597" t="str">
        <f t="shared" si="255"/>
        <v>18/11/2025</v>
      </c>
      <c r="B597" t="str">
        <f t="shared" si="266"/>
        <v>SAÍDA</v>
      </c>
      <c r="C597" t="str">
        <f>""</f>
        <v/>
      </c>
      <c r="D597" t="str">
        <f>""</f>
        <v/>
      </c>
      <c r="E597" t="str">
        <f>"CXA"</f>
        <v>CXA</v>
      </c>
      <c r="F597" t="str">
        <f>""</f>
        <v/>
      </c>
      <c r="G597" t="str">
        <f>"COMPRA DE PRESENTES CONFRATERNIZAÇÃO"</f>
        <v>COMPRA DE PRESENTES CONFRATERNIZAÇÃO</v>
      </c>
      <c r="H597" t="str">
        <f t="shared" si="261"/>
        <v>18/11/2025</v>
      </c>
      <c r="I597" t="str">
        <f>("18/11/2025")</f>
        <v>18/11/2025</v>
      </c>
      <c r="J597" t="str">
        <f t="shared" si="257"/>
        <v>18/11/2025</v>
      </c>
      <c r="K597">
        <v>1320.47</v>
      </c>
      <c r="L597">
        <v>1320.47</v>
      </c>
      <c r="M597">
        <v>129</v>
      </c>
      <c r="N597" t="str">
        <f>"DESPESAS COM EVENTOS"</f>
        <v>DESPESAS COM EVENTOS</v>
      </c>
      <c r="O597">
        <v>1320.47</v>
      </c>
      <c r="R597" t="str">
        <f>"BANCO CORA (102)"</f>
        <v>BANCO CORA (102)</v>
      </c>
      <c r="S597">
        <v>3274</v>
      </c>
      <c r="T597">
        <v>0</v>
      </c>
      <c r="U597" t="s">
        <v>23</v>
      </c>
    </row>
    <row r="598" spans="1:21">
      <c r="A598" t="str">
        <f t="shared" ref="A598:A661" si="267">("19/11/2025")</f>
        <v>19/11/2025</v>
      </c>
      <c r="B598" t="str">
        <f t="shared" si="266"/>
        <v>SAÍDA</v>
      </c>
      <c r="C598" t="str">
        <f>"DINHEIRO"</f>
        <v>DINHEIRO</v>
      </c>
      <c r="D598" t="str">
        <f>"121120"</f>
        <v>121120</v>
      </c>
      <c r="E598" t="str">
        <f t="shared" ref="E598:E661" si="268">"COM"</f>
        <v>COM</v>
      </c>
      <c r="F598" t="str">
        <f>"DROGARIA ANA &amp; ANA UBA 2 LTDA (10214)"</f>
        <v>DROGARIA ANA &amp; ANA UBA 2 LTDA (10214)</v>
      </c>
      <c r="G598" t="str">
        <f>"REEMBOLSO POR PAGAR BOLETO ERRADO"</f>
        <v>REEMBOLSO POR PAGAR BOLETO ERRADO</v>
      </c>
      <c r="H598" t="str">
        <f t="shared" ref="H598:I601" si="269">("12/11/2025")</f>
        <v>12/11/2025</v>
      </c>
      <c r="I598" t="str">
        <f t="shared" si="269"/>
        <v>12/11/2025</v>
      </c>
      <c r="J598" t="str">
        <f t="shared" ref="J598:J661" si="270">("19/11/2025")</f>
        <v>19/11/2025</v>
      </c>
      <c r="K598">
        <v>130.5</v>
      </c>
      <c r="L598">
        <v>130.5</v>
      </c>
      <c r="M598">
        <v>122</v>
      </c>
      <c r="N598" t="str">
        <f>"DESPESAS COM REEMBOLSOS"</f>
        <v>DESPESAS COM REEMBOLSOS</v>
      </c>
      <c r="O598">
        <v>130.5</v>
      </c>
      <c r="R598" t="str">
        <f>"CAIXA MOVIMENTAÇÃO OPERACIONAL (132)"</f>
        <v>CAIXA MOVIMENTAÇÃO OPERACIONAL (132)</v>
      </c>
      <c r="S598">
        <v>3189</v>
      </c>
      <c r="T598">
        <v>2772</v>
      </c>
      <c r="U598" t="s">
        <v>24</v>
      </c>
    </row>
    <row r="599" spans="1:21">
      <c r="A599" t="str">
        <f t="shared" si="267"/>
        <v>19/11/2025</v>
      </c>
      <c r="B599" t="str">
        <f t="shared" si="266"/>
        <v>SAÍDA</v>
      </c>
      <c r="C599" t="str">
        <f>"DINHEIRO"</f>
        <v>DINHEIRO</v>
      </c>
      <c r="D599" t="str">
        <f>"121120"</f>
        <v>121120</v>
      </c>
      <c r="E599" t="str">
        <f t="shared" si="268"/>
        <v>COM</v>
      </c>
      <c r="F599" t="str">
        <f>"DROGARIA ANA &amp; ANA UBA 2 LTDA (10214)"</f>
        <v>DROGARIA ANA &amp; ANA UBA 2 LTDA (10214)</v>
      </c>
      <c r="G599" t="str">
        <f>"REEMBOLSO POR PAGAR BOLETO ERRADO"</f>
        <v>REEMBOLSO POR PAGAR BOLETO ERRADO</v>
      </c>
      <c r="H599" t="str">
        <f t="shared" si="269"/>
        <v>12/11/2025</v>
      </c>
      <c r="I599" t="str">
        <f t="shared" si="269"/>
        <v>12/11/2025</v>
      </c>
      <c r="J599" t="str">
        <f t="shared" si="270"/>
        <v>19/11/2025</v>
      </c>
      <c r="M599">
        <v>122</v>
      </c>
      <c r="N599" t="str">
        <f>"DESPESAS COM REEMBOLSOS"</f>
        <v>DESPESAS COM REEMBOLSOS</v>
      </c>
      <c r="P599">
        <v>130.5</v>
      </c>
      <c r="Q599" t="str">
        <f>"DROGARIA ANA &amp; ANA UBA 2 LTDA (10214)"</f>
        <v>DROGARIA ANA &amp; ANA UBA 2 LTDA (10214)</v>
      </c>
      <c r="R599" t="str">
        <f>"CAIXA MOVIMENTAÇÃO OPERACIONAL (132)"</f>
        <v>CAIXA MOVIMENTAÇÃO OPERACIONAL (132)</v>
      </c>
      <c r="S599">
        <v>3189</v>
      </c>
      <c r="T599">
        <v>2772</v>
      </c>
      <c r="U599" t="s">
        <v>24</v>
      </c>
    </row>
    <row r="600" spans="1:21">
      <c r="A600" t="str">
        <f t="shared" si="267"/>
        <v>19/11/2025</v>
      </c>
      <c r="B600" t="str">
        <f t="shared" si="266"/>
        <v>SAÍDA</v>
      </c>
      <c r="C600" t="str">
        <f>"DINHEIRO"</f>
        <v>DINHEIRO</v>
      </c>
      <c r="D600" t="str">
        <f>"121120"</f>
        <v>121120</v>
      </c>
      <c r="E600" t="str">
        <f t="shared" si="268"/>
        <v>COM</v>
      </c>
      <c r="F600" t="str">
        <f>"DROGARIA ANA &amp; ANA UBA 2 LTDA (10214)"</f>
        <v>DROGARIA ANA &amp; ANA UBA 2 LTDA (10214)</v>
      </c>
      <c r="G600" t="str">
        <f>"REEMBOLSO POR PAGAR BOLETO ERRADO"</f>
        <v>REEMBOLSO POR PAGAR BOLETO ERRADO</v>
      </c>
      <c r="H600" t="str">
        <f t="shared" si="269"/>
        <v>12/11/2025</v>
      </c>
      <c r="I600" t="str">
        <f t="shared" si="269"/>
        <v>12/11/2025</v>
      </c>
      <c r="J600" t="str">
        <f t="shared" si="270"/>
        <v>19/11/2025</v>
      </c>
      <c r="K600">
        <v>93.4</v>
      </c>
      <c r="L600">
        <v>93.4</v>
      </c>
      <c r="M600">
        <v>122</v>
      </c>
      <c r="N600" t="str">
        <f>"DESPESAS COM REEMBOLSOS"</f>
        <v>DESPESAS COM REEMBOLSOS</v>
      </c>
      <c r="R600" t="str">
        <f>"CAIXA MOVIMENTAÇÃO OPERACIONAL (132)"</f>
        <v>CAIXA MOVIMENTAÇÃO OPERACIONAL (132)</v>
      </c>
      <c r="S600">
        <v>3189</v>
      </c>
      <c r="T600">
        <v>2773</v>
      </c>
      <c r="U600" t="s">
        <v>24</v>
      </c>
    </row>
    <row r="601" spans="1:21">
      <c r="A601" t="str">
        <f t="shared" si="267"/>
        <v>19/11/2025</v>
      </c>
      <c r="B601" t="str">
        <f t="shared" si="266"/>
        <v>SAÍDA</v>
      </c>
      <c r="C601" t="str">
        <f>"DINHEIRO"</f>
        <v>DINHEIRO</v>
      </c>
      <c r="D601" t="str">
        <f>"121120"</f>
        <v>121120</v>
      </c>
      <c r="E601" t="str">
        <f t="shared" si="268"/>
        <v>COM</v>
      </c>
      <c r="F601" t="str">
        <f>"DROGARIA ANA &amp; ANA UBA 2 LTDA (10214)"</f>
        <v>DROGARIA ANA &amp; ANA UBA 2 LTDA (10214)</v>
      </c>
      <c r="G601" t="str">
        <f>"REEMBOLSO POR PAGAR BOLETO ERRADO"</f>
        <v>REEMBOLSO POR PAGAR BOLETO ERRADO</v>
      </c>
      <c r="H601" t="str">
        <f t="shared" si="269"/>
        <v>12/11/2025</v>
      </c>
      <c r="I601" t="str">
        <f t="shared" si="269"/>
        <v>12/11/2025</v>
      </c>
      <c r="J601" t="str">
        <f t="shared" si="270"/>
        <v>19/11/2025</v>
      </c>
      <c r="M601">
        <v>122</v>
      </c>
      <c r="N601" t="str">
        <f>"DESPESAS COM REEMBOLSOS"</f>
        <v>DESPESAS COM REEMBOLSOS</v>
      </c>
      <c r="P601">
        <v>93.4</v>
      </c>
      <c r="Q601" t="str">
        <f>"DROGARIA ANA &amp; ANA UBA 2 LTDA (10214)"</f>
        <v>DROGARIA ANA &amp; ANA UBA 2 LTDA (10214)</v>
      </c>
      <c r="R601" t="str">
        <f>"CAIXA MOVIMENTAÇÃO OPERACIONAL (132)"</f>
        <v>CAIXA MOVIMENTAÇÃO OPERACIONAL (132)</v>
      </c>
      <c r="S601">
        <v>3189</v>
      </c>
      <c r="T601">
        <v>2773</v>
      </c>
      <c r="U601" t="s">
        <v>24</v>
      </c>
    </row>
    <row r="602" spans="1:21">
      <c r="A602" t="str">
        <f t="shared" si="267"/>
        <v>19/11/2025</v>
      </c>
      <c r="B602" t="str">
        <f t="shared" ref="B602:B633" si="271">"ENTRADA"</f>
        <v>ENTRADA</v>
      </c>
      <c r="C602" t="str">
        <f t="shared" ref="C602:C633" si="272">"NFSE"</f>
        <v>NFSE</v>
      </c>
      <c r="D602" t="str">
        <f>"3867"</f>
        <v>3867</v>
      </c>
      <c r="E602" t="str">
        <f t="shared" si="268"/>
        <v>COM</v>
      </c>
      <c r="F602" t="str">
        <f t="shared" ref="F602:F607" si="273">"ULTRA POPULAR  UBA 2 (10214)"</f>
        <v>ULTRA POPULAR  UBA 2 (10214)</v>
      </c>
      <c r="G602" t="str">
        <f>"Serv.Prest. 10/11/2025 a 16/11/2025 - RPS: 1630 - NFSe: 3867"</f>
        <v>Serv.Prest. 10/11/2025 a 16/11/2025 - RPS: 1630 - NFSe: 3867</v>
      </c>
      <c r="H602" t="str">
        <f>("31/12/2025")</f>
        <v>31/12/2025</v>
      </c>
      <c r="I602" t="str">
        <f t="shared" ref="I602:I607" si="274">("19/11/2025")</f>
        <v>19/11/2025</v>
      </c>
      <c r="J602" t="str">
        <f t="shared" si="270"/>
        <v>19/11/2025</v>
      </c>
      <c r="K602">
        <v>93.4</v>
      </c>
      <c r="L602">
        <v>93.4</v>
      </c>
      <c r="M602">
        <v>303</v>
      </c>
      <c r="N602" t="str">
        <f t="shared" ref="N602:N633" si="275">"RECEITAS COM ENTREGAS"</f>
        <v>RECEITAS COM ENTREGAS</v>
      </c>
      <c r="O602">
        <v>130.5</v>
      </c>
      <c r="R602" t="str">
        <f t="shared" ref="R602:R633" si="276">"RECEITAS COM ENTREGAS (303)"</f>
        <v>RECEITAS COM ENTREGAS (303)</v>
      </c>
      <c r="S602">
        <v>3190</v>
      </c>
      <c r="T602">
        <v>2750</v>
      </c>
      <c r="U602" t="s">
        <v>24</v>
      </c>
    </row>
    <row r="603" spans="1:21">
      <c r="A603" t="str">
        <f t="shared" si="267"/>
        <v>19/11/2025</v>
      </c>
      <c r="B603" t="str">
        <f t="shared" si="271"/>
        <v>ENTRADA</v>
      </c>
      <c r="C603" t="str">
        <f t="shared" si="272"/>
        <v>NFSE</v>
      </c>
      <c r="D603" t="str">
        <f>"3867"</f>
        <v>3867</v>
      </c>
      <c r="E603" t="str">
        <f t="shared" si="268"/>
        <v>COM</v>
      </c>
      <c r="F603" t="str">
        <f t="shared" si="273"/>
        <v>ULTRA POPULAR  UBA 2 (10214)</v>
      </c>
      <c r="G603" t="str">
        <f>"Serv.Prest. 10/11/2025 a 16/11/2025 - RPS: 1630 - NFSe: 3867"</f>
        <v>Serv.Prest. 10/11/2025 a 16/11/2025 - RPS: 1630 - NFSe: 3867</v>
      </c>
      <c r="H603" t="str">
        <f>("31/12/2025")</f>
        <v>31/12/2025</v>
      </c>
      <c r="I603" t="str">
        <f t="shared" si="274"/>
        <v>19/11/2025</v>
      </c>
      <c r="J603" t="str">
        <f t="shared" si="270"/>
        <v>19/11/2025</v>
      </c>
      <c r="M603">
        <v>303</v>
      </c>
      <c r="N603" t="str">
        <f t="shared" si="275"/>
        <v>RECEITAS COM ENTREGAS</v>
      </c>
      <c r="P603">
        <v>70.37</v>
      </c>
      <c r="Q603" t="str">
        <f>"ULTRA POPULAR  UBA 2 (10214)"</f>
        <v>ULTRA POPULAR  UBA 2 (10214)</v>
      </c>
      <c r="R603" t="str">
        <f t="shared" si="276"/>
        <v>RECEITAS COM ENTREGAS (303)</v>
      </c>
      <c r="S603">
        <v>3190</v>
      </c>
      <c r="T603">
        <v>2750</v>
      </c>
      <c r="U603" t="s">
        <v>24</v>
      </c>
    </row>
    <row r="604" spans="1:21">
      <c r="A604" t="str">
        <f t="shared" si="267"/>
        <v>19/11/2025</v>
      </c>
      <c r="B604" t="str">
        <f t="shared" si="271"/>
        <v>ENTRADA</v>
      </c>
      <c r="C604" t="str">
        <f t="shared" si="272"/>
        <v>NFSE</v>
      </c>
      <c r="D604" t="str">
        <f>"3867"</f>
        <v>3867</v>
      </c>
      <c r="E604" t="str">
        <f t="shared" si="268"/>
        <v>COM</v>
      </c>
      <c r="F604" t="str">
        <f t="shared" si="273"/>
        <v>ULTRA POPULAR  UBA 2 (10214)</v>
      </c>
      <c r="G604" t="str">
        <f>"Serv.Prest. 10/11/2025 a 16/11/2025 - RPS: 1630 - NFSe: 3867"</f>
        <v>Serv.Prest. 10/11/2025 a 16/11/2025 - RPS: 1630 - NFSe: 3867</v>
      </c>
      <c r="H604" t="str">
        <f>("31/12/2025")</f>
        <v>31/12/2025</v>
      </c>
      <c r="I604" t="str">
        <f t="shared" si="274"/>
        <v>19/11/2025</v>
      </c>
      <c r="J604" t="str">
        <f t="shared" si="270"/>
        <v>19/11/2025</v>
      </c>
      <c r="M604">
        <v>303</v>
      </c>
      <c r="N604" t="str">
        <f t="shared" si="275"/>
        <v>RECEITAS COM ENTREGAS</v>
      </c>
      <c r="P604">
        <v>23.03</v>
      </c>
      <c r="Q604" t="str">
        <f>"UBA 1 (10263)"</f>
        <v>UBA 1 (10263)</v>
      </c>
      <c r="R604" t="str">
        <f t="shared" si="276"/>
        <v>RECEITAS COM ENTREGAS (303)</v>
      </c>
      <c r="S604">
        <v>3190</v>
      </c>
      <c r="T604">
        <v>2750</v>
      </c>
      <c r="U604" t="s">
        <v>24</v>
      </c>
    </row>
    <row r="605" spans="1:21">
      <c r="A605" t="str">
        <f t="shared" si="267"/>
        <v>19/11/2025</v>
      </c>
      <c r="B605" t="str">
        <f t="shared" si="271"/>
        <v>ENTRADA</v>
      </c>
      <c r="C605" t="str">
        <f t="shared" si="272"/>
        <v>NFSE</v>
      </c>
      <c r="D605" t="str">
        <f>"3868"</f>
        <v>3868</v>
      </c>
      <c r="E605" t="str">
        <f t="shared" si="268"/>
        <v>COM</v>
      </c>
      <c r="F605" t="str">
        <f t="shared" si="273"/>
        <v>ULTRA POPULAR  UBA 2 (10214)</v>
      </c>
      <c r="G605" t="str">
        <f>"Serv.Prest. 03/11/2025 a 09/11/2025 - RPS: 1631 - NFSe: 3868"</f>
        <v>Serv.Prest. 03/11/2025 a 09/11/2025 - RPS: 1631 - NFSe: 3868</v>
      </c>
      <c r="H605" t="str">
        <f t="shared" ref="H605:H636" si="277">("19/11/2025")</f>
        <v>19/11/2025</v>
      </c>
      <c r="I605" t="str">
        <f t="shared" si="274"/>
        <v>19/11/2025</v>
      </c>
      <c r="J605" t="str">
        <f t="shared" si="270"/>
        <v>19/11/2025</v>
      </c>
      <c r="K605">
        <v>130.5</v>
      </c>
      <c r="L605">
        <v>130.5</v>
      </c>
      <c r="M605">
        <v>303</v>
      </c>
      <c r="N605" t="str">
        <f t="shared" si="275"/>
        <v>RECEITAS COM ENTREGAS</v>
      </c>
      <c r="R605" t="str">
        <f t="shared" si="276"/>
        <v>RECEITAS COM ENTREGAS (303)</v>
      </c>
      <c r="S605">
        <v>3190</v>
      </c>
      <c r="T605">
        <v>2771</v>
      </c>
      <c r="U605" t="s">
        <v>24</v>
      </c>
    </row>
    <row r="606" spans="1:21">
      <c r="A606" t="str">
        <f t="shared" si="267"/>
        <v>19/11/2025</v>
      </c>
      <c r="B606" t="str">
        <f t="shared" si="271"/>
        <v>ENTRADA</v>
      </c>
      <c r="C606" t="str">
        <f t="shared" si="272"/>
        <v>NFSE</v>
      </c>
      <c r="D606" t="str">
        <f>"3868"</f>
        <v>3868</v>
      </c>
      <c r="E606" t="str">
        <f t="shared" si="268"/>
        <v>COM</v>
      </c>
      <c r="F606" t="str">
        <f t="shared" si="273"/>
        <v>ULTRA POPULAR  UBA 2 (10214)</v>
      </c>
      <c r="G606" t="str">
        <f>"Serv.Prest. 03/11/2025 a 09/11/2025 - RPS: 1631 - NFSe: 3868"</f>
        <v>Serv.Prest. 03/11/2025 a 09/11/2025 - RPS: 1631 - NFSe: 3868</v>
      </c>
      <c r="H606" t="str">
        <f t="shared" si="277"/>
        <v>19/11/2025</v>
      </c>
      <c r="I606" t="str">
        <f t="shared" si="274"/>
        <v>19/11/2025</v>
      </c>
      <c r="J606" t="str">
        <f t="shared" si="270"/>
        <v>19/11/2025</v>
      </c>
      <c r="M606">
        <v>303</v>
      </c>
      <c r="N606" t="str">
        <f t="shared" si="275"/>
        <v>RECEITAS COM ENTREGAS</v>
      </c>
      <c r="P606">
        <v>89.56</v>
      </c>
      <c r="Q606" t="str">
        <f>"ULTRA POPULAR  UBA 2 (10214)"</f>
        <v>ULTRA POPULAR  UBA 2 (10214)</v>
      </c>
      <c r="R606" t="str">
        <f t="shared" si="276"/>
        <v>RECEITAS COM ENTREGAS (303)</v>
      </c>
      <c r="S606">
        <v>3190</v>
      </c>
      <c r="T606">
        <v>2771</v>
      </c>
      <c r="U606" t="s">
        <v>24</v>
      </c>
    </row>
    <row r="607" spans="1:21">
      <c r="A607" t="str">
        <f t="shared" si="267"/>
        <v>19/11/2025</v>
      </c>
      <c r="B607" t="str">
        <f t="shared" si="271"/>
        <v>ENTRADA</v>
      </c>
      <c r="C607" t="str">
        <f t="shared" si="272"/>
        <v>NFSE</v>
      </c>
      <c r="D607" t="str">
        <f>"3868"</f>
        <v>3868</v>
      </c>
      <c r="E607" t="str">
        <f t="shared" si="268"/>
        <v>COM</v>
      </c>
      <c r="F607" t="str">
        <f t="shared" si="273"/>
        <v>ULTRA POPULAR  UBA 2 (10214)</v>
      </c>
      <c r="G607" t="str">
        <f>"Serv.Prest. 03/11/2025 a 09/11/2025 - RPS: 1631 - NFSe: 3868"</f>
        <v>Serv.Prest. 03/11/2025 a 09/11/2025 - RPS: 1631 - NFSe: 3868</v>
      </c>
      <c r="H607" t="str">
        <f t="shared" si="277"/>
        <v>19/11/2025</v>
      </c>
      <c r="I607" t="str">
        <f t="shared" si="274"/>
        <v>19/11/2025</v>
      </c>
      <c r="J607" t="str">
        <f t="shared" si="270"/>
        <v>19/11/2025</v>
      </c>
      <c r="M607">
        <v>303</v>
      </c>
      <c r="N607" t="str">
        <f t="shared" si="275"/>
        <v>RECEITAS COM ENTREGAS</v>
      </c>
      <c r="P607">
        <v>40.94</v>
      </c>
      <c r="Q607" t="str">
        <f>"UBA 1 (10263)"</f>
        <v>UBA 1 (10263)</v>
      </c>
      <c r="R607" t="str">
        <f t="shared" si="276"/>
        <v>RECEITAS COM ENTREGAS (303)</v>
      </c>
      <c r="S607">
        <v>3190</v>
      </c>
      <c r="T607">
        <v>2771</v>
      </c>
      <c r="U607" t="s">
        <v>24</v>
      </c>
    </row>
    <row r="608" spans="1:21">
      <c r="A608" t="str">
        <f t="shared" si="267"/>
        <v>19/11/2025</v>
      </c>
      <c r="B608" t="str">
        <f t="shared" si="271"/>
        <v>ENTRADA</v>
      </c>
      <c r="C608" t="str">
        <f t="shared" si="272"/>
        <v>NFSE</v>
      </c>
      <c r="D608" t="str">
        <f t="shared" ref="D608:D655" si="278">"3807"</f>
        <v>3807</v>
      </c>
      <c r="E608" t="str">
        <f t="shared" si="268"/>
        <v>COM</v>
      </c>
      <c r="F608" t="str">
        <f t="shared" ref="F608:F655" si="279">"FARMÁCIA INDIANA LJ 1 (10126)"</f>
        <v>FARMÁCIA INDIANA LJ 1 (10126)</v>
      </c>
      <c r="G608" t="str">
        <f t="shared" ref="G608:G655" si="280">"Serv.Prest. 03/11/2025 a 09/11/2025 - RPS: 1570 - NFSe: 3807"</f>
        <v>Serv.Prest. 03/11/2025 a 09/11/2025 - RPS: 1570 - NFSe: 3807</v>
      </c>
      <c r="H608" t="str">
        <f t="shared" si="277"/>
        <v>19/11/2025</v>
      </c>
      <c r="I608" t="str">
        <f t="shared" ref="I608:I639" si="281">("11/11/2025")</f>
        <v>11/11/2025</v>
      </c>
      <c r="J608" t="str">
        <f t="shared" si="270"/>
        <v>19/11/2025</v>
      </c>
      <c r="K608">
        <v>13133.33</v>
      </c>
      <c r="L608">
        <v>13133.33</v>
      </c>
      <c r="M608">
        <v>303</v>
      </c>
      <c r="N608" t="str">
        <f t="shared" si="275"/>
        <v>RECEITAS COM ENTREGAS</v>
      </c>
      <c r="O608">
        <v>13133.33</v>
      </c>
      <c r="R608" t="str">
        <f t="shared" si="276"/>
        <v>RECEITAS COM ENTREGAS (303)</v>
      </c>
      <c r="S608">
        <v>3221</v>
      </c>
      <c r="T608">
        <v>2516</v>
      </c>
      <c r="U608" t="s">
        <v>21</v>
      </c>
    </row>
    <row r="609" spans="1:21">
      <c r="A609" t="str">
        <f t="shared" si="267"/>
        <v>19/11/2025</v>
      </c>
      <c r="B609" t="str">
        <f t="shared" si="271"/>
        <v>ENTRADA</v>
      </c>
      <c r="C609" t="str">
        <f t="shared" si="272"/>
        <v>NFSE</v>
      </c>
      <c r="D609" t="str">
        <f t="shared" si="278"/>
        <v>3807</v>
      </c>
      <c r="E609" t="str">
        <f t="shared" si="268"/>
        <v>COM</v>
      </c>
      <c r="F609" t="str">
        <f t="shared" si="279"/>
        <v>FARMÁCIA INDIANA LJ 1 (10126)</v>
      </c>
      <c r="G609" t="str">
        <f t="shared" si="280"/>
        <v>Serv.Prest. 03/11/2025 a 09/11/2025 - RPS: 1570 - NFSe: 3807</v>
      </c>
      <c r="H609" t="str">
        <f t="shared" si="277"/>
        <v>19/11/2025</v>
      </c>
      <c r="I609" t="str">
        <f t="shared" si="281"/>
        <v>11/11/2025</v>
      </c>
      <c r="J609" t="str">
        <f t="shared" si="270"/>
        <v>19/11/2025</v>
      </c>
      <c r="M609">
        <v>303</v>
      </c>
      <c r="N609" t="str">
        <f t="shared" si="275"/>
        <v>RECEITAS COM ENTREGAS</v>
      </c>
      <c r="P609">
        <v>1929.3</v>
      </c>
      <c r="Q609" t="str">
        <f>"FARMÁCIA INDIANA LJ 06 (10006)"</f>
        <v>FARMÁCIA INDIANA LJ 06 (10006)</v>
      </c>
      <c r="R609" t="str">
        <f t="shared" si="276"/>
        <v>RECEITAS COM ENTREGAS (303)</v>
      </c>
      <c r="S609">
        <v>3221</v>
      </c>
      <c r="T609">
        <v>2516</v>
      </c>
      <c r="U609" t="s">
        <v>21</v>
      </c>
    </row>
    <row r="610" spans="1:21">
      <c r="A610" t="str">
        <f t="shared" si="267"/>
        <v>19/11/2025</v>
      </c>
      <c r="B610" t="str">
        <f t="shared" si="271"/>
        <v>ENTRADA</v>
      </c>
      <c r="C610" t="str">
        <f t="shared" si="272"/>
        <v>NFSE</v>
      </c>
      <c r="D610" t="str">
        <f t="shared" si="278"/>
        <v>3807</v>
      </c>
      <c r="E610" t="str">
        <f t="shared" si="268"/>
        <v>COM</v>
      </c>
      <c r="F610" t="str">
        <f t="shared" si="279"/>
        <v>FARMÁCIA INDIANA LJ 1 (10126)</v>
      </c>
      <c r="G610" t="str">
        <f t="shared" si="280"/>
        <v>Serv.Prest. 03/11/2025 a 09/11/2025 - RPS: 1570 - NFSe: 3807</v>
      </c>
      <c r="H610" t="str">
        <f t="shared" si="277"/>
        <v>19/11/2025</v>
      </c>
      <c r="I610" t="str">
        <f t="shared" si="281"/>
        <v>11/11/2025</v>
      </c>
      <c r="J610" t="str">
        <f t="shared" si="270"/>
        <v>19/11/2025</v>
      </c>
      <c r="M610">
        <v>303</v>
      </c>
      <c r="N610" t="str">
        <f t="shared" si="275"/>
        <v>RECEITAS COM ENTREGAS</v>
      </c>
      <c r="P610">
        <v>1470.93</v>
      </c>
      <c r="Q610" t="str">
        <f>"FARMÁCIA INDIANA LJ 07 (10007)"</f>
        <v>FARMÁCIA INDIANA LJ 07 (10007)</v>
      </c>
      <c r="R610" t="str">
        <f t="shared" si="276"/>
        <v>RECEITAS COM ENTREGAS (303)</v>
      </c>
      <c r="S610">
        <v>3221</v>
      </c>
      <c r="T610">
        <v>2516</v>
      </c>
      <c r="U610" t="s">
        <v>21</v>
      </c>
    </row>
    <row r="611" spans="1:21">
      <c r="A611" t="str">
        <f t="shared" si="267"/>
        <v>19/11/2025</v>
      </c>
      <c r="B611" t="str">
        <f t="shared" si="271"/>
        <v>ENTRADA</v>
      </c>
      <c r="C611" t="str">
        <f t="shared" si="272"/>
        <v>NFSE</v>
      </c>
      <c r="D611" t="str">
        <f t="shared" si="278"/>
        <v>3807</v>
      </c>
      <c r="E611" t="str">
        <f t="shared" si="268"/>
        <v>COM</v>
      </c>
      <c r="F611" t="str">
        <f t="shared" si="279"/>
        <v>FARMÁCIA INDIANA LJ 1 (10126)</v>
      </c>
      <c r="G611" t="str">
        <f t="shared" si="280"/>
        <v>Serv.Prest. 03/11/2025 a 09/11/2025 - RPS: 1570 - NFSe: 3807</v>
      </c>
      <c r="H611" t="str">
        <f t="shared" si="277"/>
        <v>19/11/2025</v>
      </c>
      <c r="I611" t="str">
        <f t="shared" si="281"/>
        <v>11/11/2025</v>
      </c>
      <c r="J611" t="str">
        <f t="shared" si="270"/>
        <v>19/11/2025</v>
      </c>
      <c r="M611">
        <v>303</v>
      </c>
      <c r="N611" t="str">
        <f t="shared" si="275"/>
        <v>RECEITAS COM ENTREGAS</v>
      </c>
      <c r="P611">
        <v>1045.4100000000001</v>
      </c>
      <c r="Q611" t="str">
        <f>"FARMÁCIA INDIANA LJ 11 (10008)"</f>
        <v>FARMÁCIA INDIANA LJ 11 (10008)</v>
      </c>
      <c r="R611" t="str">
        <f t="shared" si="276"/>
        <v>RECEITAS COM ENTREGAS (303)</v>
      </c>
      <c r="S611">
        <v>3221</v>
      </c>
      <c r="T611">
        <v>2516</v>
      </c>
      <c r="U611" t="s">
        <v>21</v>
      </c>
    </row>
    <row r="612" spans="1:21">
      <c r="A612" t="str">
        <f t="shared" si="267"/>
        <v>19/11/2025</v>
      </c>
      <c r="B612" t="str">
        <f t="shared" si="271"/>
        <v>ENTRADA</v>
      </c>
      <c r="C612" t="str">
        <f t="shared" si="272"/>
        <v>NFSE</v>
      </c>
      <c r="D612" t="str">
        <f t="shared" si="278"/>
        <v>3807</v>
      </c>
      <c r="E612" t="str">
        <f t="shared" si="268"/>
        <v>COM</v>
      </c>
      <c r="F612" t="str">
        <f t="shared" si="279"/>
        <v>FARMÁCIA INDIANA LJ 1 (10126)</v>
      </c>
      <c r="G612" t="str">
        <f t="shared" si="280"/>
        <v>Serv.Prest. 03/11/2025 a 09/11/2025 - RPS: 1570 - NFSe: 3807</v>
      </c>
      <c r="H612" t="str">
        <f t="shared" si="277"/>
        <v>19/11/2025</v>
      </c>
      <c r="I612" t="str">
        <f t="shared" si="281"/>
        <v>11/11/2025</v>
      </c>
      <c r="J612" t="str">
        <f t="shared" si="270"/>
        <v>19/11/2025</v>
      </c>
      <c r="M612">
        <v>303</v>
      </c>
      <c r="N612" t="str">
        <f t="shared" si="275"/>
        <v>RECEITAS COM ENTREGAS</v>
      </c>
      <c r="P612">
        <v>387.43</v>
      </c>
      <c r="Q612" t="str">
        <f>"FARMÁCIA INDIANA LJ 14 (10009)"</f>
        <v>FARMÁCIA INDIANA LJ 14 (10009)</v>
      </c>
      <c r="R612" t="str">
        <f t="shared" si="276"/>
        <v>RECEITAS COM ENTREGAS (303)</v>
      </c>
      <c r="S612">
        <v>3221</v>
      </c>
      <c r="T612">
        <v>2516</v>
      </c>
      <c r="U612" t="s">
        <v>21</v>
      </c>
    </row>
    <row r="613" spans="1:21">
      <c r="A613" t="str">
        <f t="shared" si="267"/>
        <v>19/11/2025</v>
      </c>
      <c r="B613" t="str">
        <f t="shared" si="271"/>
        <v>ENTRADA</v>
      </c>
      <c r="C613" t="str">
        <f t="shared" si="272"/>
        <v>NFSE</v>
      </c>
      <c r="D613" t="str">
        <f t="shared" si="278"/>
        <v>3807</v>
      </c>
      <c r="E613" t="str">
        <f t="shared" si="268"/>
        <v>COM</v>
      </c>
      <c r="F613" t="str">
        <f t="shared" si="279"/>
        <v>FARMÁCIA INDIANA LJ 1 (10126)</v>
      </c>
      <c r="G613" t="str">
        <f t="shared" si="280"/>
        <v>Serv.Prest. 03/11/2025 a 09/11/2025 - RPS: 1570 - NFSe: 3807</v>
      </c>
      <c r="H613" t="str">
        <f t="shared" si="277"/>
        <v>19/11/2025</v>
      </c>
      <c r="I613" t="str">
        <f t="shared" si="281"/>
        <v>11/11/2025</v>
      </c>
      <c r="J613" t="str">
        <f t="shared" si="270"/>
        <v>19/11/2025</v>
      </c>
      <c r="M613">
        <v>303</v>
      </c>
      <c r="N613" t="str">
        <f t="shared" si="275"/>
        <v>RECEITAS COM ENTREGAS</v>
      </c>
      <c r="P613">
        <v>295.5</v>
      </c>
      <c r="Q613" t="str">
        <f>"FARMÁCIA INDIANA LJ 18 (10011)"</f>
        <v>FARMÁCIA INDIANA LJ 18 (10011)</v>
      </c>
      <c r="R613" t="str">
        <f t="shared" si="276"/>
        <v>RECEITAS COM ENTREGAS (303)</v>
      </c>
      <c r="S613">
        <v>3221</v>
      </c>
      <c r="T613">
        <v>2516</v>
      </c>
      <c r="U613" t="s">
        <v>21</v>
      </c>
    </row>
    <row r="614" spans="1:21">
      <c r="A614" t="str">
        <f t="shared" si="267"/>
        <v>19/11/2025</v>
      </c>
      <c r="B614" t="str">
        <f t="shared" si="271"/>
        <v>ENTRADA</v>
      </c>
      <c r="C614" t="str">
        <f t="shared" si="272"/>
        <v>NFSE</v>
      </c>
      <c r="D614" t="str">
        <f t="shared" si="278"/>
        <v>3807</v>
      </c>
      <c r="E614" t="str">
        <f t="shared" si="268"/>
        <v>COM</v>
      </c>
      <c r="F614" t="str">
        <f t="shared" si="279"/>
        <v>FARMÁCIA INDIANA LJ 1 (10126)</v>
      </c>
      <c r="G614" t="str">
        <f t="shared" si="280"/>
        <v>Serv.Prest. 03/11/2025 a 09/11/2025 - RPS: 1570 - NFSe: 3807</v>
      </c>
      <c r="H614" t="str">
        <f t="shared" si="277"/>
        <v>19/11/2025</v>
      </c>
      <c r="I614" t="str">
        <f t="shared" si="281"/>
        <v>11/11/2025</v>
      </c>
      <c r="J614" t="str">
        <f t="shared" si="270"/>
        <v>19/11/2025</v>
      </c>
      <c r="M614">
        <v>303</v>
      </c>
      <c r="N614" t="str">
        <f t="shared" si="275"/>
        <v>RECEITAS COM ENTREGAS</v>
      </c>
      <c r="P614">
        <v>341.47</v>
      </c>
      <c r="Q614" t="str">
        <f>"FARMÁCIA INDIANA LJ 19 (10012)"</f>
        <v>FARMÁCIA INDIANA LJ 19 (10012)</v>
      </c>
      <c r="R614" t="str">
        <f t="shared" si="276"/>
        <v>RECEITAS COM ENTREGAS (303)</v>
      </c>
      <c r="S614">
        <v>3221</v>
      </c>
      <c r="T614">
        <v>2516</v>
      </c>
      <c r="U614" t="s">
        <v>21</v>
      </c>
    </row>
    <row r="615" spans="1:21">
      <c r="A615" t="str">
        <f t="shared" si="267"/>
        <v>19/11/2025</v>
      </c>
      <c r="B615" t="str">
        <f t="shared" si="271"/>
        <v>ENTRADA</v>
      </c>
      <c r="C615" t="str">
        <f t="shared" si="272"/>
        <v>NFSE</v>
      </c>
      <c r="D615" t="str">
        <f t="shared" si="278"/>
        <v>3807</v>
      </c>
      <c r="E615" t="str">
        <f t="shared" si="268"/>
        <v>COM</v>
      </c>
      <c r="F615" t="str">
        <f t="shared" si="279"/>
        <v>FARMÁCIA INDIANA LJ 1 (10126)</v>
      </c>
      <c r="G615" t="str">
        <f t="shared" si="280"/>
        <v>Serv.Prest. 03/11/2025 a 09/11/2025 - RPS: 1570 - NFSe: 3807</v>
      </c>
      <c r="H615" t="str">
        <f t="shared" si="277"/>
        <v>19/11/2025</v>
      </c>
      <c r="I615" t="str">
        <f t="shared" si="281"/>
        <v>11/11/2025</v>
      </c>
      <c r="J615" t="str">
        <f t="shared" si="270"/>
        <v>19/11/2025</v>
      </c>
      <c r="M615">
        <v>303</v>
      </c>
      <c r="N615" t="str">
        <f t="shared" si="275"/>
        <v>RECEITAS COM ENTREGAS</v>
      </c>
      <c r="P615">
        <v>510.89</v>
      </c>
      <c r="Q615" t="str">
        <f>"FARMÁCIA INDIANA LJ 40 (10016)"</f>
        <v>FARMÁCIA INDIANA LJ 40 (10016)</v>
      </c>
      <c r="R615" t="str">
        <f t="shared" si="276"/>
        <v>RECEITAS COM ENTREGAS (303)</v>
      </c>
      <c r="S615">
        <v>3221</v>
      </c>
      <c r="T615">
        <v>2516</v>
      </c>
      <c r="U615" t="s">
        <v>21</v>
      </c>
    </row>
    <row r="616" spans="1:21">
      <c r="A616" t="str">
        <f t="shared" si="267"/>
        <v>19/11/2025</v>
      </c>
      <c r="B616" t="str">
        <f t="shared" si="271"/>
        <v>ENTRADA</v>
      </c>
      <c r="C616" t="str">
        <f t="shared" si="272"/>
        <v>NFSE</v>
      </c>
      <c r="D616" t="str">
        <f t="shared" si="278"/>
        <v>3807</v>
      </c>
      <c r="E616" t="str">
        <f t="shared" si="268"/>
        <v>COM</v>
      </c>
      <c r="F616" t="str">
        <f t="shared" si="279"/>
        <v>FARMÁCIA INDIANA LJ 1 (10126)</v>
      </c>
      <c r="G616" t="str">
        <f t="shared" si="280"/>
        <v>Serv.Prest. 03/11/2025 a 09/11/2025 - RPS: 1570 - NFSe: 3807</v>
      </c>
      <c r="H616" t="str">
        <f t="shared" si="277"/>
        <v>19/11/2025</v>
      </c>
      <c r="I616" t="str">
        <f t="shared" si="281"/>
        <v>11/11/2025</v>
      </c>
      <c r="J616" t="str">
        <f t="shared" si="270"/>
        <v>19/11/2025</v>
      </c>
      <c r="M616">
        <v>303</v>
      </c>
      <c r="N616" t="str">
        <f t="shared" si="275"/>
        <v>RECEITAS COM ENTREGAS</v>
      </c>
      <c r="P616">
        <v>208.82</v>
      </c>
      <c r="Q616" t="str">
        <f>"FARMÁCIA INDIANA LJ 59 (10026)"</f>
        <v>FARMÁCIA INDIANA LJ 59 (10026)</v>
      </c>
      <c r="R616" t="str">
        <f t="shared" si="276"/>
        <v>RECEITAS COM ENTREGAS (303)</v>
      </c>
      <c r="S616">
        <v>3221</v>
      </c>
      <c r="T616">
        <v>2516</v>
      </c>
      <c r="U616" t="s">
        <v>21</v>
      </c>
    </row>
    <row r="617" spans="1:21">
      <c r="A617" t="str">
        <f t="shared" si="267"/>
        <v>19/11/2025</v>
      </c>
      <c r="B617" t="str">
        <f t="shared" si="271"/>
        <v>ENTRADA</v>
      </c>
      <c r="C617" t="str">
        <f t="shared" si="272"/>
        <v>NFSE</v>
      </c>
      <c r="D617" t="str">
        <f t="shared" si="278"/>
        <v>3807</v>
      </c>
      <c r="E617" t="str">
        <f t="shared" si="268"/>
        <v>COM</v>
      </c>
      <c r="F617" t="str">
        <f t="shared" si="279"/>
        <v>FARMÁCIA INDIANA LJ 1 (10126)</v>
      </c>
      <c r="G617" t="str">
        <f t="shared" si="280"/>
        <v>Serv.Prest. 03/11/2025 a 09/11/2025 - RPS: 1570 - NFSe: 3807</v>
      </c>
      <c r="H617" t="str">
        <f t="shared" si="277"/>
        <v>19/11/2025</v>
      </c>
      <c r="I617" t="str">
        <f t="shared" si="281"/>
        <v>11/11/2025</v>
      </c>
      <c r="J617" t="str">
        <f t="shared" si="270"/>
        <v>19/11/2025</v>
      </c>
      <c r="M617">
        <v>303</v>
      </c>
      <c r="N617" t="str">
        <f t="shared" si="275"/>
        <v>RECEITAS COM ENTREGAS</v>
      </c>
      <c r="P617">
        <v>503.01</v>
      </c>
      <c r="Q617" t="str">
        <f>"FARMÁCIA INDIANA LJ 61 (10027)"</f>
        <v>FARMÁCIA INDIANA LJ 61 (10027)</v>
      </c>
      <c r="R617" t="str">
        <f t="shared" si="276"/>
        <v>RECEITAS COM ENTREGAS (303)</v>
      </c>
      <c r="S617">
        <v>3221</v>
      </c>
      <c r="T617">
        <v>2516</v>
      </c>
      <c r="U617" t="s">
        <v>21</v>
      </c>
    </row>
    <row r="618" spans="1:21">
      <c r="A618" t="str">
        <f t="shared" si="267"/>
        <v>19/11/2025</v>
      </c>
      <c r="B618" t="str">
        <f t="shared" si="271"/>
        <v>ENTRADA</v>
      </c>
      <c r="C618" t="str">
        <f t="shared" si="272"/>
        <v>NFSE</v>
      </c>
      <c r="D618" t="str">
        <f t="shared" si="278"/>
        <v>3807</v>
      </c>
      <c r="E618" t="str">
        <f t="shared" si="268"/>
        <v>COM</v>
      </c>
      <c r="F618" t="str">
        <f t="shared" si="279"/>
        <v>FARMÁCIA INDIANA LJ 1 (10126)</v>
      </c>
      <c r="G618" t="str">
        <f t="shared" si="280"/>
        <v>Serv.Prest. 03/11/2025 a 09/11/2025 - RPS: 1570 - NFSe: 3807</v>
      </c>
      <c r="H618" t="str">
        <f t="shared" si="277"/>
        <v>19/11/2025</v>
      </c>
      <c r="I618" t="str">
        <f t="shared" si="281"/>
        <v>11/11/2025</v>
      </c>
      <c r="J618" t="str">
        <f t="shared" si="270"/>
        <v>19/11/2025</v>
      </c>
      <c r="M618">
        <v>303</v>
      </c>
      <c r="N618" t="str">
        <f t="shared" si="275"/>
        <v>RECEITAS COM ENTREGAS</v>
      </c>
      <c r="P618">
        <v>182.55</v>
      </c>
      <c r="Q618" t="str">
        <f>"FARMÁCIA INDIANA LJ 62 (10028)"</f>
        <v>FARMÁCIA INDIANA LJ 62 (10028)</v>
      </c>
      <c r="R618" t="str">
        <f t="shared" si="276"/>
        <v>RECEITAS COM ENTREGAS (303)</v>
      </c>
      <c r="S618">
        <v>3221</v>
      </c>
      <c r="T618">
        <v>2516</v>
      </c>
      <c r="U618" t="s">
        <v>21</v>
      </c>
    </row>
    <row r="619" spans="1:21">
      <c r="A619" t="str">
        <f t="shared" si="267"/>
        <v>19/11/2025</v>
      </c>
      <c r="B619" t="str">
        <f t="shared" si="271"/>
        <v>ENTRADA</v>
      </c>
      <c r="C619" t="str">
        <f t="shared" si="272"/>
        <v>NFSE</v>
      </c>
      <c r="D619" t="str">
        <f t="shared" si="278"/>
        <v>3807</v>
      </c>
      <c r="E619" t="str">
        <f t="shared" si="268"/>
        <v>COM</v>
      </c>
      <c r="F619" t="str">
        <f t="shared" si="279"/>
        <v>FARMÁCIA INDIANA LJ 1 (10126)</v>
      </c>
      <c r="G619" t="str">
        <f t="shared" si="280"/>
        <v>Serv.Prest. 03/11/2025 a 09/11/2025 - RPS: 1570 - NFSe: 3807</v>
      </c>
      <c r="H619" t="str">
        <f t="shared" si="277"/>
        <v>19/11/2025</v>
      </c>
      <c r="I619" t="str">
        <f t="shared" si="281"/>
        <v>11/11/2025</v>
      </c>
      <c r="J619" t="str">
        <f t="shared" si="270"/>
        <v>19/11/2025</v>
      </c>
      <c r="M619">
        <v>303</v>
      </c>
      <c r="N619" t="str">
        <f t="shared" si="275"/>
        <v>RECEITAS COM ENTREGAS</v>
      </c>
      <c r="P619">
        <v>70.92</v>
      </c>
      <c r="Q619" t="str">
        <f>"FARMÁCIA INDIANA LJ 64 (10029)"</f>
        <v>FARMÁCIA INDIANA LJ 64 (10029)</v>
      </c>
      <c r="R619" t="str">
        <f t="shared" si="276"/>
        <v>RECEITAS COM ENTREGAS (303)</v>
      </c>
      <c r="S619">
        <v>3221</v>
      </c>
      <c r="T619">
        <v>2516</v>
      </c>
      <c r="U619" t="s">
        <v>21</v>
      </c>
    </row>
    <row r="620" spans="1:21">
      <c r="A620" t="str">
        <f t="shared" si="267"/>
        <v>19/11/2025</v>
      </c>
      <c r="B620" t="str">
        <f t="shared" si="271"/>
        <v>ENTRADA</v>
      </c>
      <c r="C620" t="str">
        <f t="shared" si="272"/>
        <v>NFSE</v>
      </c>
      <c r="D620" t="str">
        <f t="shared" si="278"/>
        <v>3807</v>
      </c>
      <c r="E620" t="str">
        <f t="shared" si="268"/>
        <v>COM</v>
      </c>
      <c r="F620" t="str">
        <f t="shared" si="279"/>
        <v>FARMÁCIA INDIANA LJ 1 (10126)</v>
      </c>
      <c r="G620" t="str">
        <f t="shared" si="280"/>
        <v>Serv.Prest. 03/11/2025 a 09/11/2025 - RPS: 1570 - NFSe: 3807</v>
      </c>
      <c r="H620" t="str">
        <f t="shared" si="277"/>
        <v>19/11/2025</v>
      </c>
      <c r="I620" t="str">
        <f t="shared" si="281"/>
        <v>11/11/2025</v>
      </c>
      <c r="J620" t="str">
        <f t="shared" si="270"/>
        <v>19/11/2025</v>
      </c>
      <c r="M620">
        <v>303</v>
      </c>
      <c r="N620" t="str">
        <f t="shared" si="275"/>
        <v>RECEITAS COM ENTREGAS</v>
      </c>
      <c r="P620">
        <v>66.98</v>
      </c>
      <c r="Q620" t="str">
        <f>"FARMÁCIA INDIANA LJ 97 (10040)"</f>
        <v>FARMÁCIA INDIANA LJ 97 (10040)</v>
      </c>
      <c r="R620" t="str">
        <f t="shared" si="276"/>
        <v>RECEITAS COM ENTREGAS (303)</v>
      </c>
      <c r="S620">
        <v>3221</v>
      </c>
      <c r="T620">
        <v>2516</v>
      </c>
      <c r="U620" t="s">
        <v>21</v>
      </c>
    </row>
    <row r="621" spans="1:21">
      <c r="A621" t="str">
        <f t="shared" si="267"/>
        <v>19/11/2025</v>
      </c>
      <c r="B621" t="str">
        <f t="shared" si="271"/>
        <v>ENTRADA</v>
      </c>
      <c r="C621" t="str">
        <f t="shared" si="272"/>
        <v>NFSE</v>
      </c>
      <c r="D621" t="str">
        <f t="shared" si="278"/>
        <v>3807</v>
      </c>
      <c r="E621" t="str">
        <f t="shared" si="268"/>
        <v>COM</v>
      </c>
      <c r="F621" t="str">
        <f t="shared" si="279"/>
        <v>FARMÁCIA INDIANA LJ 1 (10126)</v>
      </c>
      <c r="G621" t="str">
        <f t="shared" si="280"/>
        <v>Serv.Prest. 03/11/2025 a 09/11/2025 - RPS: 1570 - NFSe: 3807</v>
      </c>
      <c r="H621" t="str">
        <f t="shared" si="277"/>
        <v>19/11/2025</v>
      </c>
      <c r="I621" t="str">
        <f t="shared" si="281"/>
        <v>11/11/2025</v>
      </c>
      <c r="J621" t="str">
        <f t="shared" si="270"/>
        <v>19/11/2025</v>
      </c>
      <c r="M621">
        <v>303</v>
      </c>
      <c r="N621" t="str">
        <f t="shared" si="275"/>
        <v>RECEITAS COM ENTREGAS</v>
      </c>
      <c r="P621">
        <v>199.63</v>
      </c>
      <c r="Q621" t="str">
        <f>"FARMÁCIA INDIANA LJ 100 (10042)"</f>
        <v>FARMÁCIA INDIANA LJ 100 (10042)</v>
      </c>
      <c r="R621" t="str">
        <f t="shared" si="276"/>
        <v>RECEITAS COM ENTREGAS (303)</v>
      </c>
      <c r="S621">
        <v>3221</v>
      </c>
      <c r="T621">
        <v>2516</v>
      </c>
      <c r="U621" t="s">
        <v>21</v>
      </c>
    </row>
    <row r="622" spans="1:21">
      <c r="A622" t="str">
        <f t="shared" si="267"/>
        <v>19/11/2025</v>
      </c>
      <c r="B622" t="str">
        <f t="shared" si="271"/>
        <v>ENTRADA</v>
      </c>
      <c r="C622" t="str">
        <f t="shared" si="272"/>
        <v>NFSE</v>
      </c>
      <c r="D622" t="str">
        <f t="shared" si="278"/>
        <v>3807</v>
      </c>
      <c r="E622" t="str">
        <f t="shared" si="268"/>
        <v>COM</v>
      </c>
      <c r="F622" t="str">
        <f t="shared" si="279"/>
        <v>FARMÁCIA INDIANA LJ 1 (10126)</v>
      </c>
      <c r="G622" t="str">
        <f t="shared" si="280"/>
        <v>Serv.Prest. 03/11/2025 a 09/11/2025 - RPS: 1570 - NFSe: 3807</v>
      </c>
      <c r="H622" t="str">
        <f t="shared" si="277"/>
        <v>19/11/2025</v>
      </c>
      <c r="I622" t="str">
        <f t="shared" si="281"/>
        <v>11/11/2025</v>
      </c>
      <c r="J622" t="str">
        <f t="shared" si="270"/>
        <v>19/11/2025</v>
      </c>
      <c r="M622">
        <v>303</v>
      </c>
      <c r="N622" t="str">
        <f t="shared" si="275"/>
        <v>RECEITAS COM ENTREGAS</v>
      </c>
      <c r="P622">
        <v>668.49</v>
      </c>
      <c r="Q622" t="str">
        <f>"FARMÁCIA INDIANA LJ 101 (10043)"</f>
        <v>FARMÁCIA INDIANA LJ 101 (10043)</v>
      </c>
      <c r="R622" t="str">
        <f t="shared" si="276"/>
        <v>RECEITAS COM ENTREGAS (303)</v>
      </c>
      <c r="S622">
        <v>3221</v>
      </c>
      <c r="T622">
        <v>2516</v>
      </c>
      <c r="U622" t="s">
        <v>21</v>
      </c>
    </row>
    <row r="623" spans="1:21">
      <c r="A623" t="str">
        <f t="shared" si="267"/>
        <v>19/11/2025</v>
      </c>
      <c r="B623" t="str">
        <f t="shared" si="271"/>
        <v>ENTRADA</v>
      </c>
      <c r="C623" t="str">
        <f t="shared" si="272"/>
        <v>NFSE</v>
      </c>
      <c r="D623" t="str">
        <f t="shared" si="278"/>
        <v>3807</v>
      </c>
      <c r="E623" t="str">
        <f t="shared" si="268"/>
        <v>COM</v>
      </c>
      <c r="F623" t="str">
        <f t="shared" si="279"/>
        <v>FARMÁCIA INDIANA LJ 1 (10126)</v>
      </c>
      <c r="G623" t="str">
        <f t="shared" si="280"/>
        <v>Serv.Prest. 03/11/2025 a 09/11/2025 - RPS: 1570 - NFSe: 3807</v>
      </c>
      <c r="H623" t="str">
        <f t="shared" si="277"/>
        <v>19/11/2025</v>
      </c>
      <c r="I623" t="str">
        <f t="shared" si="281"/>
        <v>11/11/2025</v>
      </c>
      <c r="J623" t="str">
        <f t="shared" si="270"/>
        <v>19/11/2025</v>
      </c>
      <c r="M623">
        <v>303</v>
      </c>
      <c r="N623" t="str">
        <f t="shared" si="275"/>
        <v>RECEITAS COM ENTREGAS</v>
      </c>
      <c r="P623">
        <v>85.37</v>
      </c>
      <c r="Q623" t="str">
        <f>"FARMÁCIA INDIANA LJ 103 (10044)"</f>
        <v>FARMÁCIA INDIANA LJ 103 (10044)</v>
      </c>
      <c r="R623" t="str">
        <f t="shared" si="276"/>
        <v>RECEITAS COM ENTREGAS (303)</v>
      </c>
      <c r="S623">
        <v>3221</v>
      </c>
      <c r="T623">
        <v>2516</v>
      </c>
      <c r="U623" t="s">
        <v>21</v>
      </c>
    </row>
    <row r="624" spans="1:21">
      <c r="A624" t="str">
        <f t="shared" si="267"/>
        <v>19/11/2025</v>
      </c>
      <c r="B624" t="str">
        <f t="shared" si="271"/>
        <v>ENTRADA</v>
      </c>
      <c r="C624" t="str">
        <f t="shared" si="272"/>
        <v>NFSE</v>
      </c>
      <c r="D624" t="str">
        <f t="shared" si="278"/>
        <v>3807</v>
      </c>
      <c r="E624" t="str">
        <f t="shared" si="268"/>
        <v>COM</v>
      </c>
      <c r="F624" t="str">
        <f t="shared" si="279"/>
        <v>FARMÁCIA INDIANA LJ 1 (10126)</v>
      </c>
      <c r="G624" t="str">
        <f t="shared" si="280"/>
        <v>Serv.Prest. 03/11/2025 a 09/11/2025 - RPS: 1570 - NFSe: 3807</v>
      </c>
      <c r="H624" t="str">
        <f t="shared" si="277"/>
        <v>19/11/2025</v>
      </c>
      <c r="I624" t="str">
        <f t="shared" si="281"/>
        <v>11/11/2025</v>
      </c>
      <c r="J624" t="str">
        <f t="shared" si="270"/>
        <v>19/11/2025</v>
      </c>
      <c r="M624">
        <v>303</v>
      </c>
      <c r="N624" t="str">
        <f t="shared" si="275"/>
        <v>RECEITAS COM ENTREGAS</v>
      </c>
      <c r="P624">
        <v>269.23</v>
      </c>
      <c r="Q624" t="str">
        <f>"FARMÁCIA INDIANA LJ 109 (10047)"</f>
        <v>FARMÁCIA INDIANA LJ 109 (10047)</v>
      </c>
      <c r="R624" t="str">
        <f t="shared" si="276"/>
        <v>RECEITAS COM ENTREGAS (303)</v>
      </c>
      <c r="S624">
        <v>3221</v>
      </c>
      <c r="T624">
        <v>2516</v>
      </c>
      <c r="U624" t="s">
        <v>21</v>
      </c>
    </row>
    <row r="625" spans="1:21">
      <c r="A625" t="str">
        <f t="shared" si="267"/>
        <v>19/11/2025</v>
      </c>
      <c r="B625" t="str">
        <f t="shared" si="271"/>
        <v>ENTRADA</v>
      </c>
      <c r="C625" t="str">
        <f t="shared" si="272"/>
        <v>NFSE</v>
      </c>
      <c r="D625" t="str">
        <f t="shared" si="278"/>
        <v>3807</v>
      </c>
      <c r="E625" t="str">
        <f t="shared" si="268"/>
        <v>COM</v>
      </c>
      <c r="F625" t="str">
        <f t="shared" si="279"/>
        <v>FARMÁCIA INDIANA LJ 1 (10126)</v>
      </c>
      <c r="G625" t="str">
        <f t="shared" si="280"/>
        <v>Serv.Prest. 03/11/2025 a 09/11/2025 - RPS: 1570 - NFSe: 3807</v>
      </c>
      <c r="H625" t="str">
        <f t="shared" si="277"/>
        <v>19/11/2025</v>
      </c>
      <c r="I625" t="str">
        <f t="shared" si="281"/>
        <v>11/11/2025</v>
      </c>
      <c r="J625" t="str">
        <f t="shared" si="270"/>
        <v>19/11/2025</v>
      </c>
      <c r="M625">
        <v>303</v>
      </c>
      <c r="N625" t="str">
        <f t="shared" si="275"/>
        <v>RECEITAS COM ENTREGAS</v>
      </c>
      <c r="P625">
        <v>396.63</v>
      </c>
      <c r="Q625" t="str">
        <f>"FARMÁCIA INDIANA LJ 110 (10048)"</f>
        <v>FARMÁCIA INDIANA LJ 110 (10048)</v>
      </c>
      <c r="R625" t="str">
        <f t="shared" si="276"/>
        <v>RECEITAS COM ENTREGAS (303)</v>
      </c>
      <c r="S625">
        <v>3221</v>
      </c>
      <c r="T625">
        <v>2516</v>
      </c>
      <c r="U625" t="s">
        <v>21</v>
      </c>
    </row>
    <row r="626" spans="1:21">
      <c r="A626" t="str">
        <f t="shared" si="267"/>
        <v>19/11/2025</v>
      </c>
      <c r="B626" t="str">
        <f t="shared" si="271"/>
        <v>ENTRADA</v>
      </c>
      <c r="C626" t="str">
        <f t="shared" si="272"/>
        <v>NFSE</v>
      </c>
      <c r="D626" t="str">
        <f t="shared" si="278"/>
        <v>3807</v>
      </c>
      <c r="E626" t="str">
        <f t="shared" si="268"/>
        <v>COM</v>
      </c>
      <c r="F626" t="str">
        <f t="shared" si="279"/>
        <v>FARMÁCIA INDIANA LJ 1 (10126)</v>
      </c>
      <c r="G626" t="str">
        <f t="shared" si="280"/>
        <v>Serv.Prest. 03/11/2025 a 09/11/2025 - RPS: 1570 - NFSe: 3807</v>
      </c>
      <c r="H626" t="str">
        <f t="shared" si="277"/>
        <v>19/11/2025</v>
      </c>
      <c r="I626" t="str">
        <f t="shared" si="281"/>
        <v>11/11/2025</v>
      </c>
      <c r="J626" t="str">
        <f t="shared" si="270"/>
        <v>19/11/2025</v>
      </c>
      <c r="M626">
        <v>303</v>
      </c>
      <c r="N626" t="str">
        <f t="shared" si="275"/>
        <v>RECEITAS COM ENTREGAS</v>
      </c>
      <c r="P626">
        <v>65.67</v>
      </c>
      <c r="Q626" t="str">
        <f>"FARMÁCIA INDIANA LJ 111 (10049)"</f>
        <v>FARMÁCIA INDIANA LJ 111 (10049)</v>
      </c>
      <c r="R626" t="str">
        <f t="shared" si="276"/>
        <v>RECEITAS COM ENTREGAS (303)</v>
      </c>
      <c r="S626">
        <v>3221</v>
      </c>
      <c r="T626">
        <v>2516</v>
      </c>
      <c r="U626" t="s">
        <v>21</v>
      </c>
    </row>
    <row r="627" spans="1:21">
      <c r="A627" t="str">
        <f t="shared" si="267"/>
        <v>19/11/2025</v>
      </c>
      <c r="B627" t="str">
        <f t="shared" si="271"/>
        <v>ENTRADA</v>
      </c>
      <c r="C627" t="str">
        <f t="shared" si="272"/>
        <v>NFSE</v>
      </c>
      <c r="D627" t="str">
        <f t="shared" si="278"/>
        <v>3807</v>
      </c>
      <c r="E627" t="str">
        <f t="shared" si="268"/>
        <v>COM</v>
      </c>
      <c r="F627" t="str">
        <f t="shared" si="279"/>
        <v>FARMÁCIA INDIANA LJ 1 (10126)</v>
      </c>
      <c r="G627" t="str">
        <f t="shared" si="280"/>
        <v>Serv.Prest. 03/11/2025 a 09/11/2025 - RPS: 1570 - NFSe: 3807</v>
      </c>
      <c r="H627" t="str">
        <f t="shared" si="277"/>
        <v>19/11/2025</v>
      </c>
      <c r="I627" t="str">
        <f t="shared" si="281"/>
        <v>11/11/2025</v>
      </c>
      <c r="J627" t="str">
        <f t="shared" si="270"/>
        <v>19/11/2025</v>
      </c>
      <c r="M627">
        <v>303</v>
      </c>
      <c r="N627" t="str">
        <f t="shared" si="275"/>
        <v>RECEITAS COM ENTREGAS</v>
      </c>
      <c r="P627">
        <v>99.81</v>
      </c>
      <c r="Q627" t="str">
        <f>"FARMÁCIA INDIANA LJ 112 (10050)"</f>
        <v>FARMÁCIA INDIANA LJ 112 (10050)</v>
      </c>
      <c r="R627" t="str">
        <f t="shared" si="276"/>
        <v>RECEITAS COM ENTREGAS (303)</v>
      </c>
      <c r="S627">
        <v>3221</v>
      </c>
      <c r="T627">
        <v>2516</v>
      </c>
      <c r="U627" t="s">
        <v>21</v>
      </c>
    </row>
    <row r="628" spans="1:21">
      <c r="A628" t="str">
        <f t="shared" si="267"/>
        <v>19/11/2025</v>
      </c>
      <c r="B628" t="str">
        <f t="shared" si="271"/>
        <v>ENTRADA</v>
      </c>
      <c r="C628" t="str">
        <f t="shared" si="272"/>
        <v>NFSE</v>
      </c>
      <c r="D628" t="str">
        <f t="shared" si="278"/>
        <v>3807</v>
      </c>
      <c r="E628" t="str">
        <f t="shared" si="268"/>
        <v>COM</v>
      </c>
      <c r="F628" t="str">
        <f t="shared" si="279"/>
        <v>FARMÁCIA INDIANA LJ 1 (10126)</v>
      </c>
      <c r="G628" t="str">
        <f t="shared" si="280"/>
        <v>Serv.Prest. 03/11/2025 a 09/11/2025 - RPS: 1570 - NFSe: 3807</v>
      </c>
      <c r="H628" t="str">
        <f t="shared" si="277"/>
        <v>19/11/2025</v>
      </c>
      <c r="I628" t="str">
        <f t="shared" si="281"/>
        <v>11/11/2025</v>
      </c>
      <c r="J628" t="str">
        <f t="shared" si="270"/>
        <v>19/11/2025</v>
      </c>
      <c r="M628">
        <v>303</v>
      </c>
      <c r="N628" t="str">
        <f t="shared" si="275"/>
        <v>RECEITAS COM ENTREGAS</v>
      </c>
      <c r="P628">
        <v>99.81</v>
      </c>
      <c r="Q628" t="str">
        <f>"FARMÁCIA INDIANA LJ 116 (10051)"</f>
        <v>FARMÁCIA INDIANA LJ 116 (10051)</v>
      </c>
      <c r="R628" t="str">
        <f t="shared" si="276"/>
        <v>RECEITAS COM ENTREGAS (303)</v>
      </c>
      <c r="S628">
        <v>3221</v>
      </c>
      <c r="T628">
        <v>2516</v>
      </c>
      <c r="U628" t="s">
        <v>21</v>
      </c>
    </row>
    <row r="629" spans="1:21">
      <c r="A629" t="str">
        <f t="shared" si="267"/>
        <v>19/11/2025</v>
      </c>
      <c r="B629" t="str">
        <f t="shared" si="271"/>
        <v>ENTRADA</v>
      </c>
      <c r="C629" t="str">
        <f t="shared" si="272"/>
        <v>NFSE</v>
      </c>
      <c r="D629" t="str">
        <f t="shared" si="278"/>
        <v>3807</v>
      </c>
      <c r="E629" t="str">
        <f t="shared" si="268"/>
        <v>COM</v>
      </c>
      <c r="F629" t="str">
        <f t="shared" si="279"/>
        <v>FARMÁCIA INDIANA LJ 1 (10126)</v>
      </c>
      <c r="G629" t="str">
        <f t="shared" si="280"/>
        <v>Serv.Prest. 03/11/2025 a 09/11/2025 - RPS: 1570 - NFSe: 3807</v>
      </c>
      <c r="H629" t="str">
        <f t="shared" si="277"/>
        <v>19/11/2025</v>
      </c>
      <c r="I629" t="str">
        <f t="shared" si="281"/>
        <v>11/11/2025</v>
      </c>
      <c r="J629" t="str">
        <f t="shared" si="270"/>
        <v>19/11/2025</v>
      </c>
      <c r="M629">
        <v>303</v>
      </c>
      <c r="N629" t="str">
        <f t="shared" si="275"/>
        <v>RECEITAS COM ENTREGAS</v>
      </c>
      <c r="P629">
        <v>182.55</v>
      </c>
      <c r="Q629" t="str">
        <f>"FARMÁCIA INDIANA LJ 118 (10052)"</f>
        <v>FARMÁCIA INDIANA LJ 118 (10052)</v>
      </c>
      <c r="R629" t="str">
        <f t="shared" si="276"/>
        <v>RECEITAS COM ENTREGAS (303)</v>
      </c>
      <c r="S629">
        <v>3221</v>
      </c>
      <c r="T629">
        <v>2516</v>
      </c>
      <c r="U629" t="s">
        <v>21</v>
      </c>
    </row>
    <row r="630" spans="1:21">
      <c r="A630" t="str">
        <f t="shared" si="267"/>
        <v>19/11/2025</v>
      </c>
      <c r="B630" t="str">
        <f t="shared" si="271"/>
        <v>ENTRADA</v>
      </c>
      <c r="C630" t="str">
        <f t="shared" si="272"/>
        <v>NFSE</v>
      </c>
      <c r="D630" t="str">
        <f t="shared" si="278"/>
        <v>3807</v>
      </c>
      <c r="E630" t="str">
        <f t="shared" si="268"/>
        <v>COM</v>
      </c>
      <c r="F630" t="str">
        <f t="shared" si="279"/>
        <v>FARMÁCIA INDIANA LJ 1 (10126)</v>
      </c>
      <c r="G630" t="str">
        <f t="shared" si="280"/>
        <v>Serv.Prest. 03/11/2025 a 09/11/2025 - RPS: 1570 - NFSe: 3807</v>
      </c>
      <c r="H630" t="str">
        <f t="shared" si="277"/>
        <v>19/11/2025</v>
      </c>
      <c r="I630" t="str">
        <f t="shared" si="281"/>
        <v>11/11/2025</v>
      </c>
      <c r="J630" t="str">
        <f t="shared" si="270"/>
        <v>19/11/2025</v>
      </c>
      <c r="M630">
        <v>303</v>
      </c>
      <c r="N630" t="str">
        <f t="shared" si="275"/>
        <v>RECEITAS COM ENTREGAS</v>
      </c>
      <c r="P630">
        <v>99.81</v>
      </c>
      <c r="Q630" t="str">
        <f>"FARMÁCIA INDIANA LJ 121 (10054)"</f>
        <v>FARMÁCIA INDIANA LJ 121 (10054)</v>
      </c>
      <c r="R630" t="str">
        <f t="shared" si="276"/>
        <v>RECEITAS COM ENTREGAS (303)</v>
      </c>
      <c r="S630">
        <v>3221</v>
      </c>
      <c r="T630">
        <v>2516</v>
      </c>
      <c r="U630" t="s">
        <v>21</v>
      </c>
    </row>
    <row r="631" spans="1:21">
      <c r="A631" t="str">
        <f t="shared" si="267"/>
        <v>19/11/2025</v>
      </c>
      <c r="B631" t="str">
        <f t="shared" si="271"/>
        <v>ENTRADA</v>
      </c>
      <c r="C631" t="str">
        <f t="shared" si="272"/>
        <v>NFSE</v>
      </c>
      <c r="D631" t="str">
        <f t="shared" si="278"/>
        <v>3807</v>
      </c>
      <c r="E631" t="str">
        <f t="shared" si="268"/>
        <v>COM</v>
      </c>
      <c r="F631" t="str">
        <f t="shared" si="279"/>
        <v>FARMÁCIA INDIANA LJ 1 (10126)</v>
      </c>
      <c r="G631" t="str">
        <f t="shared" si="280"/>
        <v>Serv.Prest. 03/11/2025 a 09/11/2025 - RPS: 1570 - NFSe: 3807</v>
      </c>
      <c r="H631" t="str">
        <f t="shared" si="277"/>
        <v>19/11/2025</v>
      </c>
      <c r="I631" t="str">
        <f t="shared" si="281"/>
        <v>11/11/2025</v>
      </c>
      <c r="J631" t="str">
        <f t="shared" si="270"/>
        <v>19/11/2025</v>
      </c>
      <c r="M631">
        <v>303</v>
      </c>
      <c r="N631" t="str">
        <f t="shared" si="275"/>
        <v>RECEITAS COM ENTREGAS</v>
      </c>
      <c r="P631">
        <v>99.81</v>
      </c>
      <c r="Q631" t="str">
        <f>"FARMÁCIA INDIANA LJ 128 (10057)"</f>
        <v>FARMÁCIA INDIANA LJ 128 (10057)</v>
      </c>
      <c r="R631" t="str">
        <f t="shared" si="276"/>
        <v>RECEITAS COM ENTREGAS (303)</v>
      </c>
      <c r="S631">
        <v>3221</v>
      </c>
      <c r="T631">
        <v>2516</v>
      </c>
      <c r="U631" t="s">
        <v>21</v>
      </c>
    </row>
    <row r="632" spans="1:21">
      <c r="A632" t="str">
        <f t="shared" si="267"/>
        <v>19/11/2025</v>
      </c>
      <c r="B632" t="str">
        <f t="shared" si="271"/>
        <v>ENTRADA</v>
      </c>
      <c r="C632" t="str">
        <f t="shared" si="272"/>
        <v>NFSE</v>
      </c>
      <c r="D632" t="str">
        <f t="shared" si="278"/>
        <v>3807</v>
      </c>
      <c r="E632" t="str">
        <f t="shared" si="268"/>
        <v>COM</v>
      </c>
      <c r="F632" t="str">
        <f t="shared" si="279"/>
        <v>FARMÁCIA INDIANA LJ 1 (10126)</v>
      </c>
      <c r="G632" t="str">
        <f t="shared" si="280"/>
        <v>Serv.Prest. 03/11/2025 a 09/11/2025 - RPS: 1570 - NFSe: 3807</v>
      </c>
      <c r="H632" t="str">
        <f t="shared" si="277"/>
        <v>19/11/2025</v>
      </c>
      <c r="I632" t="str">
        <f t="shared" si="281"/>
        <v>11/11/2025</v>
      </c>
      <c r="J632" t="str">
        <f t="shared" si="270"/>
        <v>19/11/2025</v>
      </c>
      <c r="M632">
        <v>303</v>
      </c>
      <c r="N632" t="str">
        <f t="shared" si="275"/>
        <v>RECEITAS COM ENTREGAS</v>
      </c>
      <c r="P632">
        <v>18.39</v>
      </c>
      <c r="Q632" t="str">
        <f>"FARMÁCIA INDIANA LJ 140 (10064)"</f>
        <v>FARMÁCIA INDIANA LJ 140 (10064)</v>
      </c>
      <c r="R632" t="str">
        <f t="shared" si="276"/>
        <v>RECEITAS COM ENTREGAS (303)</v>
      </c>
      <c r="S632">
        <v>3221</v>
      </c>
      <c r="T632">
        <v>2516</v>
      </c>
      <c r="U632" t="s">
        <v>21</v>
      </c>
    </row>
    <row r="633" spans="1:21">
      <c r="A633" t="str">
        <f t="shared" si="267"/>
        <v>19/11/2025</v>
      </c>
      <c r="B633" t="str">
        <f t="shared" si="271"/>
        <v>ENTRADA</v>
      </c>
      <c r="C633" t="str">
        <f t="shared" si="272"/>
        <v>NFSE</v>
      </c>
      <c r="D633" t="str">
        <f t="shared" si="278"/>
        <v>3807</v>
      </c>
      <c r="E633" t="str">
        <f t="shared" si="268"/>
        <v>COM</v>
      </c>
      <c r="F633" t="str">
        <f t="shared" si="279"/>
        <v>FARMÁCIA INDIANA LJ 1 (10126)</v>
      </c>
      <c r="G633" t="str">
        <f t="shared" si="280"/>
        <v>Serv.Prest. 03/11/2025 a 09/11/2025 - RPS: 1570 - NFSe: 3807</v>
      </c>
      <c r="H633" t="str">
        <f t="shared" si="277"/>
        <v>19/11/2025</v>
      </c>
      <c r="I633" t="str">
        <f t="shared" si="281"/>
        <v>11/11/2025</v>
      </c>
      <c r="J633" t="str">
        <f t="shared" si="270"/>
        <v>19/11/2025</v>
      </c>
      <c r="M633">
        <v>303</v>
      </c>
      <c r="N633" t="str">
        <f t="shared" si="275"/>
        <v>RECEITAS COM ENTREGAS</v>
      </c>
      <c r="P633">
        <v>13.13</v>
      </c>
      <c r="Q633" t="str">
        <f>"FARMÁCIA INDIANA LJ 141 (10065)"</f>
        <v>FARMÁCIA INDIANA LJ 141 (10065)</v>
      </c>
      <c r="R633" t="str">
        <f t="shared" si="276"/>
        <v>RECEITAS COM ENTREGAS (303)</v>
      </c>
      <c r="S633">
        <v>3221</v>
      </c>
      <c r="T633">
        <v>2516</v>
      </c>
      <c r="U633" t="s">
        <v>21</v>
      </c>
    </row>
    <row r="634" spans="1:21">
      <c r="A634" t="str">
        <f t="shared" si="267"/>
        <v>19/11/2025</v>
      </c>
      <c r="B634" t="str">
        <f t="shared" ref="B634:B665" si="282">"ENTRADA"</f>
        <v>ENTRADA</v>
      </c>
      <c r="C634" t="str">
        <f t="shared" ref="C634:C665" si="283">"NFSE"</f>
        <v>NFSE</v>
      </c>
      <c r="D634" t="str">
        <f t="shared" si="278"/>
        <v>3807</v>
      </c>
      <c r="E634" t="str">
        <f t="shared" si="268"/>
        <v>COM</v>
      </c>
      <c r="F634" t="str">
        <f t="shared" si="279"/>
        <v>FARMÁCIA INDIANA LJ 1 (10126)</v>
      </c>
      <c r="G634" t="str">
        <f t="shared" si="280"/>
        <v>Serv.Prest. 03/11/2025 a 09/11/2025 - RPS: 1570 - NFSe: 3807</v>
      </c>
      <c r="H634" t="str">
        <f t="shared" si="277"/>
        <v>19/11/2025</v>
      </c>
      <c r="I634" t="str">
        <f t="shared" si="281"/>
        <v>11/11/2025</v>
      </c>
      <c r="J634" t="str">
        <f t="shared" si="270"/>
        <v>19/11/2025</v>
      </c>
      <c r="M634">
        <v>303</v>
      </c>
      <c r="N634" t="str">
        <f t="shared" ref="N634:N665" si="284">"RECEITAS COM ENTREGAS"</f>
        <v>RECEITAS COM ENTREGAS</v>
      </c>
      <c r="P634">
        <v>719.71</v>
      </c>
      <c r="Q634" t="str">
        <f>"FARMÁCIA INDIANA LJ 142 (10066)"</f>
        <v>FARMÁCIA INDIANA LJ 142 (10066)</v>
      </c>
      <c r="R634" t="str">
        <f t="shared" ref="R634:R665" si="285">"RECEITAS COM ENTREGAS (303)"</f>
        <v>RECEITAS COM ENTREGAS (303)</v>
      </c>
      <c r="S634">
        <v>3221</v>
      </c>
      <c r="T634">
        <v>2516</v>
      </c>
      <c r="U634" t="s">
        <v>21</v>
      </c>
    </row>
    <row r="635" spans="1:21">
      <c r="A635" t="str">
        <f t="shared" si="267"/>
        <v>19/11/2025</v>
      </c>
      <c r="B635" t="str">
        <f t="shared" si="282"/>
        <v>ENTRADA</v>
      </c>
      <c r="C635" t="str">
        <f t="shared" si="283"/>
        <v>NFSE</v>
      </c>
      <c r="D635" t="str">
        <f t="shared" si="278"/>
        <v>3807</v>
      </c>
      <c r="E635" t="str">
        <f t="shared" si="268"/>
        <v>COM</v>
      </c>
      <c r="F635" t="str">
        <f t="shared" si="279"/>
        <v>FARMÁCIA INDIANA LJ 1 (10126)</v>
      </c>
      <c r="G635" t="str">
        <f t="shared" si="280"/>
        <v>Serv.Prest. 03/11/2025 a 09/11/2025 - RPS: 1570 - NFSe: 3807</v>
      </c>
      <c r="H635" t="str">
        <f t="shared" si="277"/>
        <v>19/11/2025</v>
      </c>
      <c r="I635" t="str">
        <f t="shared" si="281"/>
        <v>11/11/2025</v>
      </c>
      <c r="J635" t="str">
        <f t="shared" si="270"/>
        <v>19/11/2025</v>
      </c>
      <c r="M635">
        <v>303</v>
      </c>
      <c r="N635" t="str">
        <f t="shared" si="284"/>
        <v>RECEITAS COM ENTREGAS</v>
      </c>
      <c r="P635">
        <v>66.98</v>
      </c>
      <c r="Q635" t="str">
        <f>"FARMÁCIA INDIANA LJ 143 (10067)"</f>
        <v>FARMÁCIA INDIANA LJ 143 (10067)</v>
      </c>
      <c r="R635" t="str">
        <f t="shared" si="285"/>
        <v>RECEITAS COM ENTREGAS (303)</v>
      </c>
      <c r="S635">
        <v>3221</v>
      </c>
      <c r="T635">
        <v>2516</v>
      </c>
      <c r="U635" t="s">
        <v>21</v>
      </c>
    </row>
    <row r="636" spans="1:21">
      <c r="A636" t="str">
        <f t="shared" si="267"/>
        <v>19/11/2025</v>
      </c>
      <c r="B636" t="str">
        <f t="shared" si="282"/>
        <v>ENTRADA</v>
      </c>
      <c r="C636" t="str">
        <f t="shared" si="283"/>
        <v>NFSE</v>
      </c>
      <c r="D636" t="str">
        <f t="shared" si="278"/>
        <v>3807</v>
      </c>
      <c r="E636" t="str">
        <f t="shared" si="268"/>
        <v>COM</v>
      </c>
      <c r="F636" t="str">
        <f t="shared" si="279"/>
        <v>FARMÁCIA INDIANA LJ 1 (10126)</v>
      </c>
      <c r="G636" t="str">
        <f t="shared" si="280"/>
        <v>Serv.Prest. 03/11/2025 a 09/11/2025 - RPS: 1570 - NFSe: 3807</v>
      </c>
      <c r="H636" t="str">
        <f t="shared" si="277"/>
        <v>19/11/2025</v>
      </c>
      <c r="I636" t="str">
        <f t="shared" si="281"/>
        <v>11/11/2025</v>
      </c>
      <c r="J636" t="str">
        <f t="shared" si="270"/>
        <v>19/11/2025</v>
      </c>
      <c r="M636">
        <v>303</v>
      </c>
      <c r="N636" t="str">
        <f t="shared" si="284"/>
        <v>RECEITAS COM ENTREGAS</v>
      </c>
      <c r="P636">
        <v>361.17</v>
      </c>
      <c r="Q636" t="str">
        <f>"FARMÁCIA INDIANA LJ 152 (10069)"</f>
        <v>FARMÁCIA INDIANA LJ 152 (10069)</v>
      </c>
      <c r="R636" t="str">
        <f t="shared" si="285"/>
        <v>RECEITAS COM ENTREGAS (303)</v>
      </c>
      <c r="S636">
        <v>3221</v>
      </c>
      <c r="T636">
        <v>2516</v>
      </c>
      <c r="U636" t="s">
        <v>21</v>
      </c>
    </row>
    <row r="637" spans="1:21">
      <c r="A637" t="str">
        <f t="shared" si="267"/>
        <v>19/11/2025</v>
      </c>
      <c r="B637" t="str">
        <f t="shared" si="282"/>
        <v>ENTRADA</v>
      </c>
      <c r="C637" t="str">
        <f t="shared" si="283"/>
        <v>NFSE</v>
      </c>
      <c r="D637" t="str">
        <f t="shared" si="278"/>
        <v>3807</v>
      </c>
      <c r="E637" t="str">
        <f t="shared" si="268"/>
        <v>COM</v>
      </c>
      <c r="F637" t="str">
        <f t="shared" si="279"/>
        <v>FARMÁCIA INDIANA LJ 1 (10126)</v>
      </c>
      <c r="G637" t="str">
        <f t="shared" si="280"/>
        <v>Serv.Prest. 03/11/2025 a 09/11/2025 - RPS: 1570 - NFSe: 3807</v>
      </c>
      <c r="H637" t="str">
        <f t="shared" ref="H637:H668" si="286">("19/11/2025")</f>
        <v>19/11/2025</v>
      </c>
      <c r="I637" t="str">
        <f t="shared" si="281"/>
        <v>11/11/2025</v>
      </c>
      <c r="J637" t="str">
        <f t="shared" si="270"/>
        <v>19/11/2025</v>
      </c>
      <c r="M637">
        <v>303</v>
      </c>
      <c r="N637" t="str">
        <f t="shared" si="284"/>
        <v>RECEITAS COM ENTREGAS</v>
      </c>
      <c r="P637">
        <v>30.21</v>
      </c>
      <c r="Q637" t="str">
        <f>"FARMÁCIA INDIANA LJ 154 (10070)"</f>
        <v>FARMÁCIA INDIANA LJ 154 (10070)</v>
      </c>
      <c r="R637" t="str">
        <f t="shared" si="285"/>
        <v>RECEITAS COM ENTREGAS (303)</v>
      </c>
      <c r="S637">
        <v>3221</v>
      </c>
      <c r="T637">
        <v>2516</v>
      </c>
      <c r="U637" t="s">
        <v>21</v>
      </c>
    </row>
    <row r="638" spans="1:21">
      <c r="A638" t="str">
        <f t="shared" si="267"/>
        <v>19/11/2025</v>
      </c>
      <c r="B638" t="str">
        <f t="shared" si="282"/>
        <v>ENTRADA</v>
      </c>
      <c r="C638" t="str">
        <f t="shared" si="283"/>
        <v>NFSE</v>
      </c>
      <c r="D638" t="str">
        <f t="shared" si="278"/>
        <v>3807</v>
      </c>
      <c r="E638" t="str">
        <f t="shared" si="268"/>
        <v>COM</v>
      </c>
      <c r="F638" t="str">
        <f t="shared" si="279"/>
        <v>FARMÁCIA INDIANA LJ 1 (10126)</v>
      </c>
      <c r="G638" t="str">
        <f t="shared" si="280"/>
        <v>Serv.Prest. 03/11/2025 a 09/11/2025 - RPS: 1570 - NFSe: 3807</v>
      </c>
      <c r="H638" t="str">
        <f t="shared" si="286"/>
        <v>19/11/2025</v>
      </c>
      <c r="I638" t="str">
        <f t="shared" si="281"/>
        <v>11/11/2025</v>
      </c>
      <c r="J638" t="str">
        <f t="shared" si="270"/>
        <v>19/11/2025</v>
      </c>
      <c r="M638">
        <v>303</v>
      </c>
      <c r="N638" t="str">
        <f t="shared" si="284"/>
        <v>RECEITAS COM ENTREGAS</v>
      </c>
      <c r="P638">
        <v>214.07</v>
      </c>
      <c r="Q638" t="str">
        <f>"FARMÁCIA INDIANA LJ 171 (10074)"</f>
        <v>FARMÁCIA INDIANA LJ 171 (10074)</v>
      </c>
      <c r="R638" t="str">
        <f t="shared" si="285"/>
        <v>RECEITAS COM ENTREGAS (303)</v>
      </c>
      <c r="S638">
        <v>3221</v>
      </c>
      <c r="T638">
        <v>2516</v>
      </c>
      <c r="U638" t="s">
        <v>21</v>
      </c>
    </row>
    <row r="639" spans="1:21">
      <c r="A639" t="str">
        <f t="shared" si="267"/>
        <v>19/11/2025</v>
      </c>
      <c r="B639" t="str">
        <f t="shared" si="282"/>
        <v>ENTRADA</v>
      </c>
      <c r="C639" t="str">
        <f t="shared" si="283"/>
        <v>NFSE</v>
      </c>
      <c r="D639" t="str">
        <f t="shared" si="278"/>
        <v>3807</v>
      </c>
      <c r="E639" t="str">
        <f t="shared" si="268"/>
        <v>COM</v>
      </c>
      <c r="F639" t="str">
        <f t="shared" si="279"/>
        <v>FARMÁCIA INDIANA LJ 1 (10126)</v>
      </c>
      <c r="G639" t="str">
        <f t="shared" si="280"/>
        <v>Serv.Prest. 03/11/2025 a 09/11/2025 - RPS: 1570 - NFSe: 3807</v>
      </c>
      <c r="H639" t="str">
        <f t="shared" si="286"/>
        <v>19/11/2025</v>
      </c>
      <c r="I639" t="str">
        <f t="shared" si="281"/>
        <v>11/11/2025</v>
      </c>
      <c r="J639" t="str">
        <f t="shared" si="270"/>
        <v>19/11/2025</v>
      </c>
      <c r="M639">
        <v>303</v>
      </c>
      <c r="N639" t="str">
        <f t="shared" si="284"/>
        <v>RECEITAS COM ENTREGAS</v>
      </c>
      <c r="P639">
        <v>82.74</v>
      </c>
      <c r="Q639" t="str">
        <f>"FARMÁCIA INDIANA LJ 175 (10076)"</f>
        <v>FARMÁCIA INDIANA LJ 175 (10076)</v>
      </c>
      <c r="R639" t="str">
        <f t="shared" si="285"/>
        <v>RECEITAS COM ENTREGAS (303)</v>
      </c>
      <c r="S639">
        <v>3221</v>
      </c>
      <c r="T639">
        <v>2516</v>
      </c>
      <c r="U639" t="s">
        <v>21</v>
      </c>
    </row>
    <row r="640" spans="1:21">
      <c r="A640" t="str">
        <f t="shared" si="267"/>
        <v>19/11/2025</v>
      </c>
      <c r="B640" t="str">
        <f t="shared" si="282"/>
        <v>ENTRADA</v>
      </c>
      <c r="C640" t="str">
        <f t="shared" si="283"/>
        <v>NFSE</v>
      </c>
      <c r="D640" t="str">
        <f t="shared" si="278"/>
        <v>3807</v>
      </c>
      <c r="E640" t="str">
        <f t="shared" si="268"/>
        <v>COM</v>
      </c>
      <c r="F640" t="str">
        <f t="shared" si="279"/>
        <v>FARMÁCIA INDIANA LJ 1 (10126)</v>
      </c>
      <c r="G640" t="str">
        <f t="shared" si="280"/>
        <v>Serv.Prest. 03/11/2025 a 09/11/2025 - RPS: 1570 - NFSe: 3807</v>
      </c>
      <c r="H640" t="str">
        <f t="shared" si="286"/>
        <v>19/11/2025</v>
      </c>
      <c r="I640" t="str">
        <f t="shared" ref="I640:I671" si="287">("11/11/2025")</f>
        <v>11/11/2025</v>
      </c>
      <c r="J640" t="str">
        <f t="shared" si="270"/>
        <v>19/11/2025</v>
      </c>
      <c r="M640">
        <v>303</v>
      </c>
      <c r="N640" t="str">
        <f t="shared" si="284"/>
        <v>RECEITAS COM ENTREGAS</v>
      </c>
      <c r="P640">
        <v>154.97</v>
      </c>
      <c r="Q640" t="str">
        <f>"FARMÁCIA INDIANA LJ 178 (10077)"</f>
        <v>FARMÁCIA INDIANA LJ 178 (10077)</v>
      </c>
      <c r="R640" t="str">
        <f t="shared" si="285"/>
        <v>RECEITAS COM ENTREGAS (303)</v>
      </c>
      <c r="S640">
        <v>3221</v>
      </c>
      <c r="T640">
        <v>2516</v>
      </c>
      <c r="U640" t="s">
        <v>21</v>
      </c>
    </row>
    <row r="641" spans="1:21">
      <c r="A641" t="str">
        <f t="shared" si="267"/>
        <v>19/11/2025</v>
      </c>
      <c r="B641" t="str">
        <f t="shared" si="282"/>
        <v>ENTRADA</v>
      </c>
      <c r="C641" t="str">
        <f t="shared" si="283"/>
        <v>NFSE</v>
      </c>
      <c r="D641" t="str">
        <f t="shared" si="278"/>
        <v>3807</v>
      </c>
      <c r="E641" t="str">
        <f t="shared" si="268"/>
        <v>COM</v>
      </c>
      <c r="F641" t="str">
        <f t="shared" si="279"/>
        <v>FARMÁCIA INDIANA LJ 1 (10126)</v>
      </c>
      <c r="G641" t="str">
        <f t="shared" si="280"/>
        <v>Serv.Prest. 03/11/2025 a 09/11/2025 - RPS: 1570 - NFSe: 3807</v>
      </c>
      <c r="H641" t="str">
        <f t="shared" si="286"/>
        <v>19/11/2025</v>
      </c>
      <c r="I641" t="str">
        <f t="shared" si="287"/>
        <v>11/11/2025</v>
      </c>
      <c r="J641" t="str">
        <f t="shared" si="270"/>
        <v>19/11/2025</v>
      </c>
      <c r="M641">
        <v>303</v>
      </c>
      <c r="N641" t="str">
        <f t="shared" si="284"/>
        <v>RECEITAS COM ENTREGAS</v>
      </c>
      <c r="P641">
        <v>49.91</v>
      </c>
      <c r="Q641" t="str">
        <f>"FARMÁCIA INDIANA LJ 182 (10079)"</f>
        <v>FARMÁCIA INDIANA LJ 182 (10079)</v>
      </c>
      <c r="R641" t="str">
        <f t="shared" si="285"/>
        <v>RECEITAS COM ENTREGAS (303)</v>
      </c>
      <c r="S641">
        <v>3221</v>
      </c>
      <c r="T641">
        <v>2516</v>
      </c>
      <c r="U641" t="s">
        <v>21</v>
      </c>
    </row>
    <row r="642" spans="1:21">
      <c r="A642" t="str">
        <f t="shared" si="267"/>
        <v>19/11/2025</v>
      </c>
      <c r="B642" t="str">
        <f t="shared" si="282"/>
        <v>ENTRADA</v>
      </c>
      <c r="C642" t="str">
        <f t="shared" si="283"/>
        <v>NFSE</v>
      </c>
      <c r="D642" t="str">
        <f t="shared" si="278"/>
        <v>3807</v>
      </c>
      <c r="E642" t="str">
        <f t="shared" si="268"/>
        <v>COM</v>
      </c>
      <c r="F642" t="str">
        <f t="shared" si="279"/>
        <v>FARMÁCIA INDIANA LJ 1 (10126)</v>
      </c>
      <c r="G642" t="str">
        <f t="shared" si="280"/>
        <v>Serv.Prest. 03/11/2025 a 09/11/2025 - RPS: 1570 - NFSe: 3807</v>
      </c>
      <c r="H642" t="str">
        <f t="shared" si="286"/>
        <v>19/11/2025</v>
      </c>
      <c r="I642" t="str">
        <f t="shared" si="287"/>
        <v>11/11/2025</v>
      </c>
      <c r="J642" t="str">
        <f t="shared" si="270"/>
        <v>19/11/2025</v>
      </c>
      <c r="M642">
        <v>303</v>
      </c>
      <c r="N642" t="str">
        <f t="shared" si="284"/>
        <v>RECEITAS COM ENTREGAS</v>
      </c>
      <c r="P642">
        <v>39.4</v>
      </c>
      <c r="Q642" t="str">
        <f>"FARMÁCIA INDIANA LJ 184 (10080)"</f>
        <v>FARMÁCIA INDIANA LJ 184 (10080)</v>
      </c>
      <c r="R642" t="str">
        <f t="shared" si="285"/>
        <v>RECEITAS COM ENTREGAS (303)</v>
      </c>
      <c r="S642">
        <v>3221</v>
      </c>
      <c r="T642">
        <v>2516</v>
      </c>
      <c r="U642" t="s">
        <v>21</v>
      </c>
    </row>
    <row r="643" spans="1:21">
      <c r="A643" t="str">
        <f t="shared" si="267"/>
        <v>19/11/2025</v>
      </c>
      <c r="B643" t="str">
        <f t="shared" si="282"/>
        <v>ENTRADA</v>
      </c>
      <c r="C643" t="str">
        <f t="shared" si="283"/>
        <v>NFSE</v>
      </c>
      <c r="D643" t="str">
        <f t="shared" si="278"/>
        <v>3807</v>
      </c>
      <c r="E643" t="str">
        <f t="shared" si="268"/>
        <v>COM</v>
      </c>
      <c r="F643" t="str">
        <f t="shared" si="279"/>
        <v>FARMÁCIA INDIANA LJ 1 (10126)</v>
      </c>
      <c r="G643" t="str">
        <f t="shared" si="280"/>
        <v>Serv.Prest. 03/11/2025 a 09/11/2025 - RPS: 1570 - NFSe: 3807</v>
      </c>
      <c r="H643" t="str">
        <f t="shared" si="286"/>
        <v>19/11/2025</v>
      </c>
      <c r="I643" t="str">
        <f t="shared" si="287"/>
        <v>11/11/2025</v>
      </c>
      <c r="J643" t="str">
        <f t="shared" si="270"/>
        <v>19/11/2025</v>
      </c>
      <c r="M643">
        <v>303</v>
      </c>
      <c r="N643" t="str">
        <f t="shared" si="284"/>
        <v>RECEITAS COM ENTREGAS</v>
      </c>
      <c r="P643">
        <v>49.91</v>
      </c>
      <c r="Q643" t="str">
        <f>"FARMÁCIA INDIANA LJ 186 (10081)"</f>
        <v>FARMÁCIA INDIANA LJ 186 (10081)</v>
      </c>
      <c r="R643" t="str">
        <f t="shared" si="285"/>
        <v>RECEITAS COM ENTREGAS (303)</v>
      </c>
      <c r="S643">
        <v>3221</v>
      </c>
      <c r="T643">
        <v>2516</v>
      </c>
      <c r="U643" t="s">
        <v>21</v>
      </c>
    </row>
    <row r="644" spans="1:21">
      <c r="A644" t="str">
        <f t="shared" si="267"/>
        <v>19/11/2025</v>
      </c>
      <c r="B644" t="str">
        <f t="shared" si="282"/>
        <v>ENTRADA</v>
      </c>
      <c r="C644" t="str">
        <f t="shared" si="283"/>
        <v>NFSE</v>
      </c>
      <c r="D644" t="str">
        <f t="shared" si="278"/>
        <v>3807</v>
      </c>
      <c r="E644" t="str">
        <f t="shared" si="268"/>
        <v>COM</v>
      </c>
      <c r="F644" t="str">
        <f t="shared" si="279"/>
        <v>FARMÁCIA INDIANA LJ 1 (10126)</v>
      </c>
      <c r="G644" t="str">
        <f t="shared" si="280"/>
        <v>Serv.Prest. 03/11/2025 a 09/11/2025 - RPS: 1570 - NFSe: 3807</v>
      </c>
      <c r="H644" t="str">
        <f t="shared" si="286"/>
        <v>19/11/2025</v>
      </c>
      <c r="I644" t="str">
        <f t="shared" si="287"/>
        <v>11/11/2025</v>
      </c>
      <c r="J644" t="str">
        <f t="shared" si="270"/>
        <v>19/11/2025</v>
      </c>
      <c r="M644">
        <v>303</v>
      </c>
      <c r="N644" t="str">
        <f t="shared" si="284"/>
        <v>RECEITAS COM ENTREGAS</v>
      </c>
      <c r="P644">
        <v>182.55</v>
      </c>
      <c r="Q644" t="str">
        <f>"FARMÁCIA INDIANA LJ 192 (10082)"</f>
        <v>FARMÁCIA INDIANA LJ 192 (10082)</v>
      </c>
      <c r="R644" t="str">
        <f t="shared" si="285"/>
        <v>RECEITAS COM ENTREGAS (303)</v>
      </c>
      <c r="S644">
        <v>3221</v>
      </c>
      <c r="T644">
        <v>2516</v>
      </c>
      <c r="U644" t="s">
        <v>21</v>
      </c>
    </row>
    <row r="645" spans="1:21">
      <c r="A645" t="str">
        <f t="shared" si="267"/>
        <v>19/11/2025</v>
      </c>
      <c r="B645" t="str">
        <f t="shared" si="282"/>
        <v>ENTRADA</v>
      </c>
      <c r="C645" t="str">
        <f t="shared" si="283"/>
        <v>NFSE</v>
      </c>
      <c r="D645" t="str">
        <f t="shared" si="278"/>
        <v>3807</v>
      </c>
      <c r="E645" t="str">
        <f t="shared" si="268"/>
        <v>COM</v>
      </c>
      <c r="F645" t="str">
        <f t="shared" si="279"/>
        <v>FARMÁCIA INDIANA LJ 1 (10126)</v>
      </c>
      <c r="G645" t="str">
        <f t="shared" si="280"/>
        <v>Serv.Prest. 03/11/2025 a 09/11/2025 - RPS: 1570 - NFSe: 3807</v>
      </c>
      <c r="H645" t="str">
        <f t="shared" si="286"/>
        <v>19/11/2025</v>
      </c>
      <c r="I645" t="str">
        <f t="shared" si="287"/>
        <v>11/11/2025</v>
      </c>
      <c r="J645" t="str">
        <f t="shared" si="270"/>
        <v>19/11/2025</v>
      </c>
      <c r="M645">
        <v>303</v>
      </c>
      <c r="N645" t="str">
        <f t="shared" si="284"/>
        <v>RECEITAS COM ENTREGAS</v>
      </c>
      <c r="P645">
        <v>39.4</v>
      </c>
      <c r="Q645" t="str">
        <f>"FARMÁCIA INDIANA LJ 195 (10083)"</f>
        <v>FARMÁCIA INDIANA LJ 195 (10083)</v>
      </c>
      <c r="R645" t="str">
        <f t="shared" si="285"/>
        <v>RECEITAS COM ENTREGAS (303)</v>
      </c>
      <c r="S645">
        <v>3221</v>
      </c>
      <c r="T645">
        <v>2516</v>
      </c>
      <c r="U645" t="s">
        <v>21</v>
      </c>
    </row>
    <row r="646" spans="1:21">
      <c r="A646" t="str">
        <f t="shared" si="267"/>
        <v>19/11/2025</v>
      </c>
      <c r="B646" t="str">
        <f t="shared" si="282"/>
        <v>ENTRADA</v>
      </c>
      <c r="C646" t="str">
        <f t="shared" si="283"/>
        <v>NFSE</v>
      </c>
      <c r="D646" t="str">
        <f t="shared" si="278"/>
        <v>3807</v>
      </c>
      <c r="E646" t="str">
        <f t="shared" si="268"/>
        <v>COM</v>
      </c>
      <c r="F646" t="str">
        <f t="shared" si="279"/>
        <v>FARMÁCIA INDIANA LJ 1 (10126)</v>
      </c>
      <c r="G646" t="str">
        <f t="shared" si="280"/>
        <v>Serv.Prest. 03/11/2025 a 09/11/2025 - RPS: 1570 - NFSe: 3807</v>
      </c>
      <c r="H646" t="str">
        <f t="shared" si="286"/>
        <v>19/11/2025</v>
      </c>
      <c r="I646" t="str">
        <f t="shared" si="287"/>
        <v>11/11/2025</v>
      </c>
      <c r="J646" t="str">
        <f t="shared" si="270"/>
        <v>19/11/2025</v>
      </c>
      <c r="M646">
        <v>303</v>
      </c>
      <c r="N646" t="str">
        <f t="shared" si="284"/>
        <v>RECEITAS COM ENTREGAS</v>
      </c>
      <c r="P646">
        <v>99.81</v>
      </c>
      <c r="Q646" t="str">
        <f>"FARMÁCIA INDIANA LJ 202 (10085)"</f>
        <v>FARMÁCIA INDIANA LJ 202 (10085)</v>
      </c>
      <c r="R646" t="str">
        <f t="shared" si="285"/>
        <v>RECEITAS COM ENTREGAS (303)</v>
      </c>
      <c r="S646">
        <v>3221</v>
      </c>
      <c r="T646">
        <v>2516</v>
      </c>
      <c r="U646" t="s">
        <v>21</v>
      </c>
    </row>
    <row r="647" spans="1:21">
      <c r="A647" t="str">
        <f t="shared" si="267"/>
        <v>19/11/2025</v>
      </c>
      <c r="B647" t="str">
        <f t="shared" si="282"/>
        <v>ENTRADA</v>
      </c>
      <c r="C647" t="str">
        <f t="shared" si="283"/>
        <v>NFSE</v>
      </c>
      <c r="D647" t="str">
        <f t="shared" si="278"/>
        <v>3807</v>
      </c>
      <c r="E647" t="str">
        <f t="shared" si="268"/>
        <v>COM</v>
      </c>
      <c r="F647" t="str">
        <f t="shared" si="279"/>
        <v>FARMÁCIA INDIANA LJ 1 (10126)</v>
      </c>
      <c r="G647" t="str">
        <f t="shared" si="280"/>
        <v>Serv.Prest. 03/11/2025 a 09/11/2025 - RPS: 1570 - NFSe: 3807</v>
      </c>
      <c r="H647" t="str">
        <f t="shared" si="286"/>
        <v>19/11/2025</v>
      </c>
      <c r="I647" t="str">
        <f t="shared" si="287"/>
        <v>11/11/2025</v>
      </c>
      <c r="J647" t="str">
        <f t="shared" si="270"/>
        <v>19/11/2025</v>
      </c>
      <c r="M647">
        <v>303</v>
      </c>
      <c r="N647" t="str">
        <f t="shared" si="284"/>
        <v>RECEITAS COM ENTREGAS</v>
      </c>
      <c r="P647">
        <v>80.11</v>
      </c>
      <c r="Q647" t="str">
        <f>"FARMÁCIA INDIANA LJ 204 (10087)"</f>
        <v>FARMÁCIA INDIANA LJ 204 (10087)</v>
      </c>
      <c r="R647" t="str">
        <f t="shared" si="285"/>
        <v>RECEITAS COM ENTREGAS (303)</v>
      </c>
      <c r="S647">
        <v>3221</v>
      </c>
      <c r="T647">
        <v>2516</v>
      </c>
      <c r="U647" t="s">
        <v>21</v>
      </c>
    </row>
    <row r="648" spans="1:21">
      <c r="A648" t="str">
        <f t="shared" si="267"/>
        <v>19/11/2025</v>
      </c>
      <c r="B648" t="str">
        <f t="shared" si="282"/>
        <v>ENTRADA</v>
      </c>
      <c r="C648" t="str">
        <f t="shared" si="283"/>
        <v>NFSE</v>
      </c>
      <c r="D648" t="str">
        <f t="shared" si="278"/>
        <v>3807</v>
      </c>
      <c r="E648" t="str">
        <f t="shared" si="268"/>
        <v>COM</v>
      </c>
      <c r="F648" t="str">
        <f t="shared" si="279"/>
        <v>FARMÁCIA INDIANA LJ 1 (10126)</v>
      </c>
      <c r="G648" t="str">
        <f t="shared" si="280"/>
        <v>Serv.Prest. 03/11/2025 a 09/11/2025 - RPS: 1570 - NFSe: 3807</v>
      </c>
      <c r="H648" t="str">
        <f t="shared" si="286"/>
        <v>19/11/2025</v>
      </c>
      <c r="I648" t="str">
        <f t="shared" si="287"/>
        <v>11/11/2025</v>
      </c>
      <c r="J648" t="str">
        <f t="shared" si="270"/>
        <v>19/11/2025</v>
      </c>
      <c r="M648">
        <v>303</v>
      </c>
      <c r="N648" t="str">
        <f t="shared" si="284"/>
        <v>RECEITAS COM ENTREGAS</v>
      </c>
      <c r="P648">
        <v>147.09</v>
      </c>
      <c r="Q648" t="str">
        <f>"FARMÁCIA INDIANA LJ 207 (10088)"</f>
        <v>FARMÁCIA INDIANA LJ 207 (10088)</v>
      </c>
      <c r="R648" t="str">
        <f t="shared" si="285"/>
        <v>RECEITAS COM ENTREGAS (303)</v>
      </c>
      <c r="S648">
        <v>3221</v>
      </c>
      <c r="T648">
        <v>2516</v>
      </c>
      <c r="U648" t="s">
        <v>21</v>
      </c>
    </row>
    <row r="649" spans="1:21">
      <c r="A649" t="str">
        <f t="shared" si="267"/>
        <v>19/11/2025</v>
      </c>
      <c r="B649" t="str">
        <f t="shared" si="282"/>
        <v>ENTRADA</v>
      </c>
      <c r="C649" t="str">
        <f t="shared" si="283"/>
        <v>NFSE</v>
      </c>
      <c r="D649" t="str">
        <f t="shared" si="278"/>
        <v>3807</v>
      </c>
      <c r="E649" t="str">
        <f t="shared" si="268"/>
        <v>COM</v>
      </c>
      <c r="F649" t="str">
        <f t="shared" si="279"/>
        <v>FARMÁCIA INDIANA LJ 1 (10126)</v>
      </c>
      <c r="G649" t="str">
        <f t="shared" si="280"/>
        <v>Serv.Prest. 03/11/2025 a 09/11/2025 - RPS: 1570 - NFSe: 3807</v>
      </c>
      <c r="H649" t="str">
        <f t="shared" si="286"/>
        <v>19/11/2025</v>
      </c>
      <c r="I649" t="str">
        <f t="shared" si="287"/>
        <v>11/11/2025</v>
      </c>
      <c r="J649" t="str">
        <f t="shared" si="270"/>
        <v>19/11/2025</v>
      </c>
      <c r="M649">
        <v>303</v>
      </c>
      <c r="N649" t="str">
        <f t="shared" si="284"/>
        <v>RECEITAS COM ENTREGAS</v>
      </c>
      <c r="P649">
        <v>124.77</v>
      </c>
      <c r="Q649" t="str">
        <f>"FARMÁCIA INDIANA LJ 209 (10089)"</f>
        <v>FARMÁCIA INDIANA LJ 209 (10089)</v>
      </c>
      <c r="R649" t="str">
        <f t="shared" si="285"/>
        <v>RECEITAS COM ENTREGAS (303)</v>
      </c>
      <c r="S649">
        <v>3221</v>
      </c>
      <c r="T649">
        <v>2516</v>
      </c>
      <c r="U649" t="s">
        <v>21</v>
      </c>
    </row>
    <row r="650" spans="1:21">
      <c r="A650" t="str">
        <f t="shared" si="267"/>
        <v>19/11/2025</v>
      </c>
      <c r="B650" t="str">
        <f t="shared" si="282"/>
        <v>ENTRADA</v>
      </c>
      <c r="C650" t="str">
        <f t="shared" si="283"/>
        <v>NFSE</v>
      </c>
      <c r="D650" t="str">
        <f t="shared" si="278"/>
        <v>3807</v>
      </c>
      <c r="E650" t="str">
        <f t="shared" si="268"/>
        <v>COM</v>
      </c>
      <c r="F650" t="str">
        <f t="shared" si="279"/>
        <v>FARMÁCIA INDIANA LJ 1 (10126)</v>
      </c>
      <c r="G650" t="str">
        <f t="shared" si="280"/>
        <v>Serv.Prest. 03/11/2025 a 09/11/2025 - RPS: 1570 - NFSe: 3807</v>
      </c>
      <c r="H650" t="str">
        <f t="shared" si="286"/>
        <v>19/11/2025</v>
      </c>
      <c r="I650" t="str">
        <f t="shared" si="287"/>
        <v>11/11/2025</v>
      </c>
      <c r="J650" t="str">
        <f t="shared" si="270"/>
        <v>19/11/2025</v>
      </c>
      <c r="M650">
        <v>303</v>
      </c>
      <c r="N650" t="str">
        <f t="shared" si="284"/>
        <v>RECEITAS COM ENTREGAS</v>
      </c>
      <c r="P650">
        <v>216.7</v>
      </c>
      <c r="Q650" t="str">
        <f>"FARMÁCIA INDIANA LJ 219 (10091)"</f>
        <v>FARMÁCIA INDIANA LJ 219 (10091)</v>
      </c>
      <c r="R650" t="str">
        <f t="shared" si="285"/>
        <v>RECEITAS COM ENTREGAS (303)</v>
      </c>
      <c r="S650">
        <v>3221</v>
      </c>
      <c r="T650">
        <v>2516</v>
      </c>
      <c r="U650" t="s">
        <v>21</v>
      </c>
    </row>
    <row r="651" spans="1:21">
      <c r="A651" t="str">
        <f t="shared" si="267"/>
        <v>19/11/2025</v>
      </c>
      <c r="B651" t="str">
        <f t="shared" si="282"/>
        <v>ENTRADA</v>
      </c>
      <c r="C651" t="str">
        <f t="shared" si="283"/>
        <v>NFSE</v>
      </c>
      <c r="D651" t="str">
        <f t="shared" si="278"/>
        <v>3807</v>
      </c>
      <c r="E651" t="str">
        <f t="shared" si="268"/>
        <v>COM</v>
      </c>
      <c r="F651" t="str">
        <f t="shared" si="279"/>
        <v>FARMÁCIA INDIANA LJ 1 (10126)</v>
      </c>
      <c r="G651" t="str">
        <f t="shared" si="280"/>
        <v>Serv.Prest. 03/11/2025 a 09/11/2025 - RPS: 1570 - NFSe: 3807</v>
      </c>
      <c r="H651" t="str">
        <f t="shared" si="286"/>
        <v>19/11/2025</v>
      </c>
      <c r="I651" t="str">
        <f t="shared" si="287"/>
        <v>11/11/2025</v>
      </c>
      <c r="J651" t="str">
        <f t="shared" si="270"/>
        <v>19/11/2025</v>
      </c>
      <c r="M651">
        <v>303</v>
      </c>
      <c r="N651" t="str">
        <f t="shared" si="284"/>
        <v>RECEITAS COM ENTREGAS</v>
      </c>
      <c r="P651">
        <v>249.53</v>
      </c>
      <c r="Q651" t="str">
        <f>"FARMÁCIA INDIANA LJ 220 (10092)"</f>
        <v>FARMÁCIA INDIANA LJ 220 (10092)</v>
      </c>
      <c r="R651" t="str">
        <f t="shared" si="285"/>
        <v>RECEITAS COM ENTREGAS (303)</v>
      </c>
      <c r="S651">
        <v>3221</v>
      </c>
      <c r="T651">
        <v>2516</v>
      </c>
      <c r="U651" t="s">
        <v>21</v>
      </c>
    </row>
    <row r="652" spans="1:21">
      <c r="A652" t="str">
        <f t="shared" si="267"/>
        <v>19/11/2025</v>
      </c>
      <c r="B652" t="str">
        <f t="shared" si="282"/>
        <v>ENTRADA</v>
      </c>
      <c r="C652" t="str">
        <f t="shared" si="283"/>
        <v>NFSE</v>
      </c>
      <c r="D652" t="str">
        <f t="shared" si="278"/>
        <v>3807</v>
      </c>
      <c r="E652" t="str">
        <f t="shared" si="268"/>
        <v>COM</v>
      </c>
      <c r="F652" t="str">
        <f t="shared" si="279"/>
        <v>FARMÁCIA INDIANA LJ 1 (10126)</v>
      </c>
      <c r="G652" t="str">
        <f t="shared" si="280"/>
        <v>Serv.Prest. 03/11/2025 a 09/11/2025 - RPS: 1570 - NFSe: 3807</v>
      </c>
      <c r="H652" t="str">
        <f t="shared" si="286"/>
        <v>19/11/2025</v>
      </c>
      <c r="I652" t="str">
        <f t="shared" si="287"/>
        <v>11/11/2025</v>
      </c>
      <c r="J652" t="str">
        <f t="shared" si="270"/>
        <v>19/11/2025</v>
      </c>
      <c r="M652">
        <v>303</v>
      </c>
      <c r="N652" t="str">
        <f t="shared" si="284"/>
        <v>RECEITAS COM ENTREGAS</v>
      </c>
      <c r="P652">
        <v>114.26</v>
      </c>
      <c r="Q652" t="str">
        <f>"FARMÁCIA INDIANA LJ 185 (10141)"</f>
        <v>FARMÁCIA INDIANA LJ 185 (10141)</v>
      </c>
      <c r="R652" t="str">
        <f t="shared" si="285"/>
        <v>RECEITAS COM ENTREGAS (303)</v>
      </c>
      <c r="S652">
        <v>3221</v>
      </c>
      <c r="T652">
        <v>2516</v>
      </c>
      <c r="U652" t="s">
        <v>21</v>
      </c>
    </row>
    <row r="653" spans="1:21">
      <c r="A653" t="str">
        <f t="shared" si="267"/>
        <v>19/11/2025</v>
      </c>
      <c r="B653" t="str">
        <f t="shared" si="282"/>
        <v>ENTRADA</v>
      </c>
      <c r="C653" t="str">
        <f t="shared" si="283"/>
        <v>NFSE</v>
      </c>
      <c r="D653" t="str">
        <f t="shared" si="278"/>
        <v>3807</v>
      </c>
      <c r="E653" t="str">
        <f t="shared" si="268"/>
        <v>COM</v>
      </c>
      <c r="F653" t="str">
        <f t="shared" si="279"/>
        <v>FARMÁCIA INDIANA LJ 1 (10126)</v>
      </c>
      <c r="G653" t="str">
        <f t="shared" si="280"/>
        <v>Serv.Prest. 03/11/2025 a 09/11/2025 - RPS: 1570 - NFSe: 3807</v>
      </c>
      <c r="H653" t="str">
        <f t="shared" si="286"/>
        <v>19/11/2025</v>
      </c>
      <c r="I653" t="str">
        <f t="shared" si="287"/>
        <v>11/11/2025</v>
      </c>
      <c r="J653" t="str">
        <f t="shared" si="270"/>
        <v>19/11/2025</v>
      </c>
      <c r="M653">
        <v>303</v>
      </c>
      <c r="N653" t="str">
        <f t="shared" si="284"/>
        <v>RECEITAS COM ENTREGAS</v>
      </c>
      <c r="P653">
        <v>106.38</v>
      </c>
      <c r="Q653" t="str">
        <f>"FARMÁCIA INDIANA LJ 205 (10150)"</f>
        <v>FARMÁCIA INDIANA LJ 205 (10150)</v>
      </c>
      <c r="R653" t="str">
        <f t="shared" si="285"/>
        <v>RECEITAS COM ENTREGAS (303)</v>
      </c>
      <c r="S653">
        <v>3221</v>
      </c>
      <c r="T653">
        <v>2516</v>
      </c>
      <c r="U653" t="s">
        <v>21</v>
      </c>
    </row>
    <row r="654" spans="1:21">
      <c r="A654" t="str">
        <f t="shared" si="267"/>
        <v>19/11/2025</v>
      </c>
      <c r="B654" t="str">
        <f t="shared" si="282"/>
        <v>ENTRADA</v>
      </c>
      <c r="C654" t="str">
        <f t="shared" si="283"/>
        <v>NFSE</v>
      </c>
      <c r="D654" t="str">
        <f t="shared" si="278"/>
        <v>3807</v>
      </c>
      <c r="E654" t="str">
        <f t="shared" si="268"/>
        <v>COM</v>
      </c>
      <c r="F654" t="str">
        <f t="shared" si="279"/>
        <v>FARMÁCIA INDIANA LJ 1 (10126)</v>
      </c>
      <c r="G654" t="str">
        <f t="shared" si="280"/>
        <v>Serv.Prest. 03/11/2025 a 09/11/2025 - RPS: 1570 - NFSe: 3807</v>
      </c>
      <c r="H654" t="str">
        <f t="shared" si="286"/>
        <v>19/11/2025</v>
      </c>
      <c r="I654" t="str">
        <f t="shared" si="287"/>
        <v>11/11/2025</v>
      </c>
      <c r="J654" t="str">
        <f t="shared" si="270"/>
        <v>19/11/2025</v>
      </c>
      <c r="M654">
        <v>303</v>
      </c>
      <c r="N654" t="str">
        <f t="shared" si="284"/>
        <v>RECEITAS COM ENTREGAS</v>
      </c>
      <c r="P654">
        <v>608.07000000000005</v>
      </c>
      <c r="Q654" t="str">
        <f>"FARMÁCIA INDIANA LJ 172 (10161)"</f>
        <v>FARMÁCIA INDIANA LJ 172 (10161)</v>
      </c>
      <c r="R654" t="str">
        <f t="shared" si="285"/>
        <v>RECEITAS COM ENTREGAS (303)</v>
      </c>
      <c r="S654">
        <v>3221</v>
      </c>
      <c r="T654">
        <v>2516</v>
      </c>
      <c r="U654" t="s">
        <v>21</v>
      </c>
    </row>
    <row r="655" spans="1:21">
      <c r="A655" t="str">
        <f t="shared" si="267"/>
        <v>19/11/2025</v>
      </c>
      <c r="B655" t="str">
        <f t="shared" si="282"/>
        <v>ENTRADA</v>
      </c>
      <c r="C655" t="str">
        <f t="shared" si="283"/>
        <v>NFSE</v>
      </c>
      <c r="D655" t="str">
        <f t="shared" si="278"/>
        <v>3807</v>
      </c>
      <c r="E655" t="str">
        <f t="shared" si="268"/>
        <v>COM</v>
      </c>
      <c r="F655" t="str">
        <f t="shared" si="279"/>
        <v>FARMÁCIA INDIANA LJ 1 (10126)</v>
      </c>
      <c r="G655" t="str">
        <f t="shared" si="280"/>
        <v>Serv.Prest. 03/11/2025 a 09/11/2025 - RPS: 1570 - NFSe: 3807</v>
      </c>
      <c r="H655" t="str">
        <f t="shared" si="286"/>
        <v>19/11/2025</v>
      </c>
      <c r="I655" t="str">
        <f t="shared" si="287"/>
        <v>11/11/2025</v>
      </c>
      <c r="J655" t="str">
        <f t="shared" si="270"/>
        <v>19/11/2025</v>
      </c>
      <c r="M655">
        <v>303</v>
      </c>
      <c r="N655" t="str">
        <f t="shared" si="284"/>
        <v>RECEITAS COM ENTREGAS</v>
      </c>
      <c r="P655">
        <v>84.05</v>
      </c>
      <c r="Q655" t="str">
        <f>"FARMÁCIA INDIANA LJ 266 (10186)"</f>
        <v>FARMÁCIA INDIANA LJ 266 (10186)</v>
      </c>
      <c r="R655" t="str">
        <f t="shared" si="285"/>
        <v>RECEITAS COM ENTREGAS (303)</v>
      </c>
      <c r="S655">
        <v>3221</v>
      </c>
      <c r="T655">
        <v>2516</v>
      </c>
      <c r="U655" t="s">
        <v>21</v>
      </c>
    </row>
    <row r="656" spans="1:21">
      <c r="A656" t="str">
        <f t="shared" si="267"/>
        <v>19/11/2025</v>
      </c>
      <c r="B656" t="str">
        <f t="shared" si="282"/>
        <v>ENTRADA</v>
      </c>
      <c r="C656" t="str">
        <f t="shared" si="283"/>
        <v>NFSE</v>
      </c>
      <c r="D656" t="str">
        <f t="shared" ref="D656:D668" si="288">"3808"</f>
        <v>3808</v>
      </c>
      <c r="E656" t="str">
        <f t="shared" si="268"/>
        <v>COM</v>
      </c>
      <c r="F656" t="str">
        <f t="shared" ref="F656:F668" si="289">"FARMÁCIA INDIANA LJ 30 (10127)"</f>
        <v>FARMÁCIA INDIANA LJ 30 (10127)</v>
      </c>
      <c r="G656" t="str">
        <f t="shared" ref="G656:G668" si="290">"Serv.Prest. 03/11/2025 a 09/11/2025 - RPS: 1571 - NFSe: 3808"</f>
        <v>Serv.Prest. 03/11/2025 a 09/11/2025 - RPS: 1571 - NFSe: 3808</v>
      </c>
      <c r="H656" t="str">
        <f t="shared" si="286"/>
        <v>19/11/2025</v>
      </c>
      <c r="I656" t="str">
        <f t="shared" si="287"/>
        <v>11/11/2025</v>
      </c>
      <c r="J656" t="str">
        <f t="shared" si="270"/>
        <v>19/11/2025</v>
      </c>
      <c r="K656">
        <v>2858.61</v>
      </c>
      <c r="L656">
        <v>2858.61</v>
      </c>
      <c r="M656">
        <v>303</v>
      </c>
      <c r="N656" t="str">
        <f t="shared" si="284"/>
        <v>RECEITAS COM ENTREGAS</v>
      </c>
      <c r="O656">
        <v>2858.61</v>
      </c>
      <c r="R656" t="str">
        <f t="shared" si="285"/>
        <v>RECEITAS COM ENTREGAS (303)</v>
      </c>
      <c r="S656">
        <v>3222</v>
      </c>
      <c r="T656">
        <v>2517</v>
      </c>
      <c r="U656" t="s">
        <v>21</v>
      </c>
    </row>
    <row r="657" spans="1:21">
      <c r="A657" t="str">
        <f t="shared" si="267"/>
        <v>19/11/2025</v>
      </c>
      <c r="B657" t="str">
        <f t="shared" si="282"/>
        <v>ENTRADA</v>
      </c>
      <c r="C657" t="str">
        <f t="shared" si="283"/>
        <v>NFSE</v>
      </c>
      <c r="D657" t="str">
        <f t="shared" si="288"/>
        <v>3808</v>
      </c>
      <c r="E657" t="str">
        <f t="shared" si="268"/>
        <v>COM</v>
      </c>
      <c r="F657" t="str">
        <f t="shared" si="289"/>
        <v>FARMÁCIA INDIANA LJ 30 (10127)</v>
      </c>
      <c r="G657" t="str">
        <f t="shared" si="290"/>
        <v>Serv.Prest. 03/11/2025 a 09/11/2025 - RPS: 1571 - NFSe: 3808</v>
      </c>
      <c r="H657" t="str">
        <f t="shared" si="286"/>
        <v>19/11/2025</v>
      </c>
      <c r="I657" t="str">
        <f t="shared" si="287"/>
        <v>11/11/2025</v>
      </c>
      <c r="J657" t="str">
        <f t="shared" si="270"/>
        <v>19/11/2025</v>
      </c>
      <c r="M657">
        <v>303</v>
      </c>
      <c r="N657" t="str">
        <f t="shared" si="284"/>
        <v>RECEITAS COM ENTREGAS</v>
      </c>
      <c r="P657">
        <v>339.02</v>
      </c>
      <c r="Q657" t="str">
        <f>"FARMÁCIA INDIANA LJ 34 (10014)"</f>
        <v>FARMÁCIA INDIANA LJ 34 (10014)</v>
      </c>
      <c r="R657" t="str">
        <f t="shared" si="285"/>
        <v>RECEITAS COM ENTREGAS (303)</v>
      </c>
      <c r="S657">
        <v>3222</v>
      </c>
      <c r="T657">
        <v>2517</v>
      </c>
      <c r="U657" t="s">
        <v>21</v>
      </c>
    </row>
    <row r="658" spans="1:21">
      <c r="A658" t="str">
        <f t="shared" si="267"/>
        <v>19/11/2025</v>
      </c>
      <c r="B658" t="str">
        <f t="shared" si="282"/>
        <v>ENTRADA</v>
      </c>
      <c r="C658" t="str">
        <f t="shared" si="283"/>
        <v>NFSE</v>
      </c>
      <c r="D658" t="str">
        <f t="shared" si="288"/>
        <v>3808</v>
      </c>
      <c r="E658" t="str">
        <f t="shared" si="268"/>
        <v>COM</v>
      </c>
      <c r="F658" t="str">
        <f t="shared" si="289"/>
        <v>FARMÁCIA INDIANA LJ 30 (10127)</v>
      </c>
      <c r="G658" t="str">
        <f t="shared" si="290"/>
        <v>Serv.Prest. 03/11/2025 a 09/11/2025 - RPS: 1571 - NFSe: 3808</v>
      </c>
      <c r="H658" t="str">
        <f t="shared" si="286"/>
        <v>19/11/2025</v>
      </c>
      <c r="I658" t="str">
        <f t="shared" si="287"/>
        <v>11/11/2025</v>
      </c>
      <c r="J658" t="str">
        <f t="shared" si="270"/>
        <v>19/11/2025</v>
      </c>
      <c r="M658">
        <v>303</v>
      </c>
      <c r="N658" t="str">
        <f t="shared" si="284"/>
        <v>RECEITAS COM ENTREGAS</v>
      </c>
      <c r="P658">
        <v>168.09</v>
      </c>
      <c r="Q658" t="str">
        <f>"FARMÁCIA INDIANA LJ 35 (10015)"</f>
        <v>FARMÁCIA INDIANA LJ 35 (10015)</v>
      </c>
      <c r="R658" t="str">
        <f t="shared" si="285"/>
        <v>RECEITAS COM ENTREGAS (303)</v>
      </c>
      <c r="S658">
        <v>3222</v>
      </c>
      <c r="T658">
        <v>2517</v>
      </c>
      <c r="U658" t="s">
        <v>21</v>
      </c>
    </row>
    <row r="659" spans="1:21">
      <c r="A659" t="str">
        <f t="shared" si="267"/>
        <v>19/11/2025</v>
      </c>
      <c r="B659" t="str">
        <f t="shared" si="282"/>
        <v>ENTRADA</v>
      </c>
      <c r="C659" t="str">
        <f t="shared" si="283"/>
        <v>NFSE</v>
      </c>
      <c r="D659" t="str">
        <f t="shared" si="288"/>
        <v>3808</v>
      </c>
      <c r="E659" t="str">
        <f t="shared" si="268"/>
        <v>COM</v>
      </c>
      <c r="F659" t="str">
        <f t="shared" si="289"/>
        <v>FARMÁCIA INDIANA LJ 30 (10127)</v>
      </c>
      <c r="G659" t="str">
        <f t="shared" si="290"/>
        <v>Serv.Prest. 03/11/2025 a 09/11/2025 - RPS: 1571 - NFSe: 3808</v>
      </c>
      <c r="H659" t="str">
        <f t="shared" si="286"/>
        <v>19/11/2025</v>
      </c>
      <c r="I659" t="str">
        <f t="shared" si="287"/>
        <v>11/11/2025</v>
      </c>
      <c r="J659" t="str">
        <f t="shared" si="270"/>
        <v>19/11/2025</v>
      </c>
      <c r="M659">
        <v>303</v>
      </c>
      <c r="N659" t="str">
        <f t="shared" si="284"/>
        <v>RECEITAS COM ENTREGAS</v>
      </c>
      <c r="P659">
        <v>236.12</v>
      </c>
      <c r="Q659" t="str">
        <f>"FARMÁCIA INDIANA LJ 48 (10018)"</f>
        <v>FARMÁCIA INDIANA LJ 48 (10018)</v>
      </c>
      <c r="R659" t="str">
        <f t="shared" si="285"/>
        <v>RECEITAS COM ENTREGAS (303)</v>
      </c>
      <c r="S659">
        <v>3222</v>
      </c>
      <c r="T659">
        <v>2517</v>
      </c>
      <c r="U659" t="s">
        <v>21</v>
      </c>
    </row>
    <row r="660" spans="1:21">
      <c r="A660" t="str">
        <f t="shared" si="267"/>
        <v>19/11/2025</v>
      </c>
      <c r="B660" t="str">
        <f t="shared" si="282"/>
        <v>ENTRADA</v>
      </c>
      <c r="C660" t="str">
        <f t="shared" si="283"/>
        <v>NFSE</v>
      </c>
      <c r="D660" t="str">
        <f t="shared" si="288"/>
        <v>3808</v>
      </c>
      <c r="E660" t="str">
        <f t="shared" si="268"/>
        <v>COM</v>
      </c>
      <c r="F660" t="str">
        <f t="shared" si="289"/>
        <v>FARMÁCIA INDIANA LJ 30 (10127)</v>
      </c>
      <c r="G660" t="str">
        <f t="shared" si="290"/>
        <v>Serv.Prest. 03/11/2025 a 09/11/2025 - RPS: 1571 - NFSe: 3808</v>
      </c>
      <c r="H660" t="str">
        <f t="shared" si="286"/>
        <v>19/11/2025</v>
      </c>
      <c r="I660" t="str">
        <f t="shared" si="287"/>
        <v>11/11/2025</v>
      </c>
      <c r="J660" t="str">
        <f t="shared" si="270"/>
        <v>19/11/2025</v>
      </c>
      <c r="M660">
        <v>303</v>
      </c>
      <c r="N660" t="str">
        <f t="shared" si="284"/>
        <v>RECEITAS COM ENTREGAS</v>
      </c>
      <c r="P660">
        <v>348.75</v>
      </c>
      <c r="Q660" t="str">
        <f>"FARMÁCIA INDIANA LJ 65 (10030)"</f>
        <v>FARMÁCIA INDIANA LJ 65 (10030)</v>
      </c>
      <c r="R660" t="str">
        <f t="shared" si="285"/>
        <v>RECEITAS COM ENTREGAS (303)</v>
      </c>
      <c r="S660">
        <v>3222</v>
      </c>
      <c r="T660">
        <v>2517</v>
      </c>
      <c r="U660" t="s">
        <v>21</v>
      </c>
    </row>
    <row r="661" spans="1:21">
      <c r="A661" t="str">
        <f t="shared" si="267"/>
        <v>19/11/2025</v>
      </c>
      <c r="B661" t="str">
        <f t="shared" si="282"/>
        <v>ENTRADA</v>
      </c>
      <c r="C661" t="str">
        <f t="shared" si="283"/>
        <v>NFSE</v>
      </c>
      <c r="D661" t="str">
        <f t="shared" si="288"/>
        <v>3808</v>
      </c>
      <c r="E661" t="str">
        <f t="shared" si="268"/>
        <v>COM</v>
      </c>
      <c r="F661" t="str">
        <f t="shared" si="289"/>
        <v>FARMÁCIA INDIANA LJ 30 (10127)</v>
      </c>
      <c r="G661" t="str">
        <f t="shared" si="290"/>
        <v>Serv.Prest. 03/11/2025 a 09/11/2025 - RPS: 1571 - NFSe: 3808</v>
      </c>
      <c r="H661" t="str">
        <f t="shared" si="286"/>
        <v>19/11/2025</v>
      </c>
      <c r="I661" t="str">
        <f t="shared" si="287"/>
        <v>11/11/2025</v>
      </c>
      <c r="J661" t="str">
        <f t="shared" si="270"/>
        <v>19/11/2025</v>
      </c>
      <c r="M661">
        <v>303</v>
      </c>
      <c r="N661" t="str">
        <f t="shared" si="284"/>
        <v>RECEITAS COM ENTREGAS</v>
      </c>
      <c r="P661">
        <v>85.76</v>
      </c>
      <c r="Q661" t="str">
        <f>"FARMÁCIA INDIANA LJ 77 (10034)"</f>
        <v>FARMÁCIA INDIANA LJ 77 (10034)</v>
      </c>
      <c r="R661" t="str">
        <f t="shared" si="285"/>
        <v>RECEITAS COM ENTREGAS (303)</v>
      </c>
      <c r="S661">
        <v>3222</v>
      </c>
      <c r="T661">
        <v>2517</v>
      </c>
      <c r="U661" t="s">
        <v>21</v>
      </c>
    </row>
    <row r="662" spans="1:21">
      <c r="A662" t="str">
        <f t="shared" ref="A662:A725" si="291">("19/11/2025")</f>
        <v>19/11/2025</v>
      </c>
      <c r="B662" t="str">
        <f t="shared" si="282"/>
        <v>ENTRADA</v>
      </c>
      <c r="C662" t="str">
        <f t="shared" si="283"/>
        <v>NFSE</v>
      </c>
      <c r="D662" t="str">
        <f t="shared" si="288"/>
        <v>3808</v>
      </c>
      <c r="E662" t="str">
        <f t="shared" ref="E662:E725" si="292">"COM"</f>
        <v>COM</v>
      </c>
      <c r="F662" t="str">
        <f t="shared" si="289"/>
        <v>FARMÁCIA INDIANA LJ 30 (10127)</v>
      </c>
      <c r="G662" t="str">
        <f t="shared" si="290"/>
        <v>Serv.Prest. 03/11/2025 a 09/11/2025 - RPS: 1571 - NFSe: 3808</v>
      </c>
      <c r="H662" t="str">
        <f t="shared" si="286"/>
        <v>19/11/2025</v>
      </c>
      <c r="I662" t="str">
        <f t="shared" si="287"/>
        <v>11/11/2025</v>
      </c>
      <c r="J662" t="str">
        <f t="shared" ref="J662:J725" si="293">("19/11/2025")</f>
        <v>19/11/2025</v>
      </c>
      <c r="M662">
        <v>303</v>
      </c>
      <c r="N662" t="str">
        <f t="shared" si="284"/>
        <v>RECEITAS COM ENTREGAS</v>
      </c>
      <c r="P662">
        <v>622.32000000000005</v>
      </c>
      <c r="Q662" t="str">
        <f>"FARMÁCIA INDIANA LJ 91 (10037)"</f>
        <v>FARMÁCIA INDIANA LJ 91 (10037)</v>
      </c>
      <c r="R662" t="str">
        <f t="shared" si="285"/>
        <v>RECEITAS COM ENTREGAS (303)</v>
      </c>
      <c r="S662">
        <v>3222</v>
      </c>
      <c r="T662">
        <v>2517</v>
      </c>
      <c r="U662" t="s">
        <v>21</v>
      </c>
    </row>
    <row r="663" spans="1:21">
      <c r="A663" t="str">
        <f t="shared" si="291"/>
        <v>19/11/2025</v>
      </c>
      <c r="B663" t="str">
        <f t="shared" si="282"/>
        <v>ENTRADA</v>
      </c>
      <c r="C663" t="str">
        <f t="shared" si="283"/>
        <v>NFSE</v>
      </c>
      <c r="D663" t="str">
        <f t="shared" si="288"/>
        <v>3808</v>
      </c>
      <c r="E663" t="str">
        <f t="shared" si="292"/>
        <v>COM</v>
      </c>
      <c r="F663" t="str">
        <f t="shared" si="289"/>
        <v>FARMÁCIA INDIANA LJ 30 (10127)</v>
      </c>
      <c r="G663" t="str">
        <f t="shared" si="290"/>
        <v>Serv.Prest. 03/11/2025 a 09/11/2025 - RPS: 1571 - NFSe: 3808</v>
      </c>
      <c r="H663" t="str">
        <f t="shared" si="286"/>
        <v>19/11/2025</v>
      </c>
      <c r="I663" t="str">
        <f t="shared" si="287"/>
        <v>11/11/2025</v>
      </c>
      <c r="J663" t="str">
        <f t="shared" si="293"/>
        <v>19/11/2025</v>
      </c>
      <c r="M663">
        <v>303</v>
      </c>
      <c r="N663" t="str">
        <f t="shared" si="284"/>
        <v>RECEITAS COM ENTREGAS</v>
      </c>
      <c r="P663">
        <v>194.39</v>
      </c>
      <c r="Q663" t="str">
        <f>"FARMÁCIA INDIANA LJ 95 (10039)"</f>
        <v>FARMÁCIA INDIANA LJ 95 (10039)</v>
      </c>
      <c r="R663" t="str">
        <f t="shared" si="285"/>
        <v>RECEITAS COM ENTREGAS (303)</v>
      </c>
      <c r="S663">
        <v>3222</v>
      </c>
      <c r="T663">
        <v>2517</v>
      </c>
      <c r="U663" t="s">
        <v>21</v>
      </c>
    </row>
    <row r="664" spans="1:21">
      <c r="A664" t="str">
        <f t="shared" si="291"/>
        <v>19/11/2025</v>
      </c>
      <c r="B664" t="str">
        <f t="shared" si="282"/>
        <v>ENTRADA</v>
      </c>
      <c r="C664" t="str">
        <f t="shared" si="283"/>
        <v>NFSE</v>
      </c>
      <c r="D664" t="str">
        <f t="shared" si="288"/>
        <v>3808</v>
      </c>
      <c r="E664" t="str">
        <f t="shared" si="292"/>
        <v>COM</v>
      </c>
      <c r="F664" t="str">
        <f t="shared" si="289"/>
        <v>FARMÁCIA INDIANA LJ 30 (10127)</v>
      </c>
      <c r="G664" t="str">
        <f t="shared" si="290"/>
        <v>Serv.Prest. 03/11/2025 a 09/11/2025 - RPS: 1571 - NFSe: 3808</v>
      </c>
      <c r="H664" t="str">
        <f t="shared" si="286"/>
        <v>19/11/2025</v>
      </c>
      <c r="I664" t="str">
        <f t="shared" si="287"/>
        <v>11/11/2025</v>
      </c>
      <c r="J664" t="str">
        <f t="shared" si="293"/>
        <v>19/11/2025</v>
      </c>
      <c r="M664">
        <v>303</v>
      </c>
      <c r="N664" t="str">
        <f t="shared" si="284"/>
        <v>RECEITAS COM ENTREGAS</v>
      </c>
      <c r="P664">
        <v>280.72000000000003</v>
      </c>
      <c r="Q664" t="str">
        <f>"FARMÁCIA INDIANA LJ 145 (10068)"</f>
        <v>FARMÁCIA INDIANA LJ 145 (10068)</v>
      </c>
      <c r="R664" t="str">
        <f t="shared" si="285"/>
        <v>RECEITAS COM ENTREGAS (303)</v>
      </c>
      <c r="S664">
        <v>3222</v>
      </c>
      <c r="T664">
        <v>2517</v>
      </c>
      <c r="U664" t="s">
        <v>21</v>
      </c>
    </row>
    <row r="665" spans="1:21">
      <c r="A665" t="str">
        <f t="shared" si="291"/>
        <v>19/11/2025</v>
      </c>
      <c r="B665" t="str">
        <f t="shared" si="282"/>
        <v>ENTRADA</v>
      </c>
      <c r="C665" t="str">
        <f t="shared" si="283"/>
        <v>NFSE</v>
      </c>
      <c r="D665" t="str">
        <f t="shared" si="288"/>
        <v>3808</v>
      </c>
      <c r="E665" t="str">
        <f t="shared" si="292"/>
        <v>COM</v>
      </c>
      <c r="F665" t="str">
        <f t="shared" si="289"/>
        <v>FARMÁCIA INDIANA LJ 30 (10127)</v>
      </c>
      <c r="G665" t="str">
        <f t="shared" si="290"/>
        <v>Serv.Prest. 03/11/2025 a 09/11/2025 - RPS: 1571 - NFSe: 3808</v>
      </c>
      <c r="H665" t="str">
        <f t="shared" si="286"/>
        <v>19/11/2025</v>
      </c>
      <c r="I665" t="str">
        <f t="shared" si="287"/>
        <v>11/11/2025</v>
      </c>
      <c r="J665" t="str">
        <f t="shared" si="293"/>
        <v>19/11/2025</v>
      </c>
      <c r="M665">
        <v>303</v>
      </c>
      <c r="N665" t="str">
        <f t="shared" si="284"/>
        <v>RECEITAS COM ENTREGAS</v>
      </c>
      <c r="P665">
        <v>149.22</v>
      </c>
      <c r="Q665" t="str">
        <f>"FARMÁCIA INDIANA LJ 169 (10073)"</f>
        <v>FARMÁCIA INDIANA LJ 169 (10073)</v>
      </c>
      <c r="R665" t="str">
        <f t="shared" si="285"/>
        <v>RECEITAS COM ENTREGAS (303)</v>
      </c>
      <c r="S665">
        <v>3222</v>
      </c>
      <c r="T665">
        <v>2517</v>
      </c>
      <c r="U665" t="s">
        <v>21</v>
      </c>
    </row>
    <row r="666" spans="1:21">
      <c r="A666" t="str">
        <f t="shared" si="291"/>
        <v>19/11/2025</v>
      </c>
      <c r="B666" t="str">
        <f t="shared" ref="B666:B697" si="294">"ENTRADA"</f>
        <v>ENTRADA</v>
      </c>
      <c r="C666" t="str">
        <f t="shared" ref="C666:C697" si="295">"NFSE"</f>
        <v>NFSE</v>
      </c>
      <c r="D666" t="str">
        <f t="shared" si="288"/>
        <v>3808</v>
      </c>
      <c r="E666" t="str">
        <f t="shared" si="292"/>
        <v>COM</v>
      </c>
      <c r="F666" t="str">
        <f t="shared" si="289"/>
        <v>FARMÁCIA INDIANA LJ 30 (10127)</v>
      </c>
      <c r="G666" t="str">
        <f t="shared" si="290"/>
        <v>Serv.Prest. 03/11/2025 a 09/11/2025 - RPS: 1571 - NFSe: 3808</v>
      </c>
      <c r="H666" t="str">
        <f t="shared" si="286"/>
        <v>19/11/2025</v>
      </c>
      <c r="I666" t="str">
        <f t="shared" si="287"/>
        <v>11/11/2025</v>
      </c>
      <c r="J666" t="str">
        <f t="shared" si="293"/>
        <v>19/11/2025</v>
      </c>
      <c r="M666">
        <v>303</v>
      </c>
      <c r="N666" t="str">
        <f t="shared" ref="N666:N697" si="296">"RECEITAS COM ENTREGAS"</f>
        <v>RECEITAS COM ENTREGAS</v>
      </c>
      <c r="P666">
        <v>174.38</v>
      </c>
      <c r="Q666" t="str">
        <f>"FARMÁCIA INDIANA LJ 173 (10075)"</f>
        <v>FARMÁCIA INDIANA LJ 173 (10075)</v>
      </c>
      <c r="R666" t="str">
        <f t="shared" ref="R666:R697" si="297">"RECEITAS COM ENTREGAS (303)"</f>
        <v>RECEITAS COM ENTREGAS (303)</v>
      </c>
      <c r="S666">
        <v>3222</v>
      </c>
      <c r="T666">
        <v>2517</v>
      </c>
      <c r="U666" t="s">
        <v>21</v>
      </c>
    </row>
    <row r="667" spans="1:21">
      <c r="A667" t="str">
        <f t="shared" si="291"/>
        <v>19/11/2025</v>
      </c>
      <c r="B667" t="str">
        <f t="shared" si="294"/>
        <v>ENTRADA</v>
      </c>
      <c r="C667" t="str">
        <f t="shared" si="295"/>
        <v>NFSE</v>
      </c>
      <c r="D667" t="str">
        <f t="shared" si="288"/>
        <v>3808</v>
      </c>
      <c r="E667" t="str">
        <f t="shared" si="292"/>
        <v>COM</v>
      </c>
      <c r="F667" t="str">
        <f t="shared" si="289"/>
        <v>FARMÁCIA INDIANA LJ 30 (10127)</v>
      </c>
      <c r="G667" t="str">
        <f t="shared" si="290"/>
        <v>Serv.Prest. 03/11/2025 a 09/11/2025 - RPS: 1571 - NFSe: 3808</v>
      </c>
      <c r="H667" t="str">
        <f t="shared" si="286"/>
        <v>19/11/2025</v>
      </c>
      <c r="I667" t="str">
        <f t="shared" si="287"/>
        <v>11/11/2025</v>
      </c>
      <c r="J667" t="str">
        <f t="shared" si="293"/>
        <v>19/11/2025</v>
      </c>
      <c r="M667">
        <v>303</v>
      </c>
      <c r="N667" t="str">
        <f t="shared" si="296"/>
        <v>RECEITAS COM ENTREGAS</v>
      </c>
      <c r="P667">
        <v>135.78</v>
      </c>
      <c r="Q667" t="str">
        <f>"FARMÁCIA INDIANA LJ 200 (10155)"</f>
        <v>FARMÁCIA INDIANA LJ 200 (10155)</v>
      </c>
      <c r="R667" t="str">
        <f t="shared" si="297"/>
        <v>RECEITAS COM ENTREGAS (303)</v>
      </c>
      <c r="S667">
        <v>3222</v>
      </c>
      <c r="T667">
        <v>2517</v>
      </c>
      <c r="U667" t="s">
        <v>21</v>
      </c>
    </row>
    <row r="668" spans="1:21">
      <c r="A668" t="str">
        <f t="shared" si="291"/>
        <v>19/11/2025</v>
      </c>
      <c r="B668" t="str">
        <f t="shared" si="294"/>
        <v>ENTRADA</v>
      </c>
      <c r="C668" t="str">
        <f t="shared" si="295"/>
        <v>NFSE</v>
      </c>
      <c r="D668" t="str">
        <f t="shared" si="288"/>
        <v>3808</v>
      </c>
      <c r="E668" t="str">
        <f t="shared" si="292"/>
        <v>COM</v>
      </c>
      <c r="F668" t="str">
        <f t="shared" si="289"/>
        <v>FARMÁCIA INDIANA LJ 30 (10127)</v>
      </c>
      <c r="G668" t="str">
        <f t="shared" si="290"/>
        <v>Serv.Prest. 03/11/2025 a 09/11/2025 - RPS: 1571 - NFSe: 3808</v>
      </c>
      <c r="H668" t="str">
        <f t="shared" si="286"/>
        <v>19/11/2025</v>
      </c>
      <c r="I668" t="str">
        <f t="shared" si="287"/>
        <v>11/11/2025</v>
      </c>
      <c r="J668" t="str">
        <f t="shared" si="293"/>
        <v>19/11/2025</v>
      </c>
      <c r="M668">
        <v>303</v>
      </c>
      <c r="N668" t="str">
        <f t="shared" si="296"/>
        <v>RECEITAS COM ENTREGAS</v>
      </c>
      <c r="P668">
        <v>124.06</v>
      </c>
      <c r="Q668" t="str">
        <f>"FARMÁCIA INDIANA LJ 33 (10187)"</f>
        <v>FARMÁCIA INDIANA LJ 33 (10187)</v>
      </c>
      <c r="R668" t="str">
        <f t="shared" si="297"/>
        <v>RECEITAS COM ENTREGAS (303)</v>
      </c>
      <c r="S668">
        <v>3222</v>
      </c>
      <c r="T668">
        <v>2517</v>
      </c>
      <c r="U668" t="s">
        <v>21</v>
      </c>
    </row>
    <row r="669" spans="1:21">
      <c r="A669" t="str">
        <f t="shared" si="291"/>
        <v>19/11/2025</v>
      </c>
      <c r="B669" t="str">
        <f t="shared" si="294"/>
        <v>ENTRADA</v>
      </c>
      <c r="C669" t="str">
        <f t="shared" si="295"/>
        <v>NFSE</v>
      </c>
      <c r="D669" t="str">
        <f t="shared" ref="D669:D679" si="298">"3809"</f>
        <v>3809</v>
      </c>
      <c r="E669" t="str">
        <f t="shared" si="292"/>
        <v>COM</v>
      </c>
      <c r="F669" t="str">
        <f t="shared" ref="F669:F679" si="299">"FARMÁCIA INDIANA LJ 85 (10128)"</f>
        <v>FARMÁCIA INDIANA LJ 85 (10128)</v>
      </c>
      <c r="G669" t="str">
        <f t="shared" ref="G669:G679" si="300">"Serv.Prest. 03/11/2025 a 09/11/2025 - RPS: 1572 - NFSe: 3809"</f>
        <v>Serv.Prest. 03/11/2025 a 09/11/2025 - RPS: 1572 - NFSe: 3809</v>
      </c>
      <c r="H669" t="str">
        <f t="shared" ref="H669:H700" si="301">("19/11/2025")</f>
        <v>19/11/2025</v>
      </c>
      <c r="I669" t="str">
        <f t="shared" si="287"/>
        <v>11/11/2025</v>
      </c>
      <c r="J669" t="str">
        <f t="shared" si="293"/>
        <v>19/11/2025</v>
      </c>
      <c r="K669">
        <v>1029.6400000000001</v>
      </c>
      <c r="L669">
        <v>1029.6400000000001</v>
      </c>
      <c r="M669">
        <v>303</v>
      </c>
      <c r="N669" t="str">
        <f t="shared" si="296"/>
        <v>RECEITAS COM ENTREGAS</v>
      </c>
      <c r="O669">
        <v>1029.6400000000001</v>
      </c>
      <c r="R669" t="str">
        <f t="shared" si="297"/>
        <v>RECEITAS COM ENTREGAS (303)</v>
      </c>
      <c r="S669">
        <v>3223</v>
      </c>
      <c r="T669">
        <v>2518</v>
      </c>
      <c r="U669" t="s">
        <v>21</v>
      </c>
    </row>
    <row r="670" spans="1:21">
      <c r="A670" t="str">
        <f t="shared" si="291"/>
        <v>19/11/2025</v>
      </c>
      <c r="B670" t="str">
        <f t="shared" si="294"/>
        <v>ENTRADA</v>
      </c>
      <c r="C670" t="str">
        <f t="shared" si="295"/>
        <v>NFSE</v>
      </c>
      <c r="D670" t="str">
        <f t="shared" si="298"/>
        <v>3809</v>
      </c>
      <c r="E670" t="str">
        <f t="shared" si="292"/>
        <v>COM</v>
      </c>
      <c r="F670" t="str">
        <f t="shared" si="299"/>
        <v>FARMÁCIA INDIANA LJ 85 (10128)</v>
      </c>
      <c r="G670" t="str">
        <f t="shared" si="300"/>
        <v>Serv.Prest. 03/11/2025 a 09/11/2025 - RPS: 1572 - NFSe: 3809</v>
      </c>
      <c r="H670" t="str">
        <f t="shared" si="301"/>
        <v>19/11/2025</v>
      </c>
      <c r="I670" t="str">
        <f t="shared" si="287"/>
        <v>11/11/2025</v>
      </c>
      <c r="J670" t="str">
        <f t="shared" si="293"/>
        <v>19/11/2025</v>
      </c>
      <c r="M670">
        <v>303</v>
      </c>
      <c r="N670" t="str">
        <f t="shared" si="296"/>
        <v>RECEITAS COM ENTREGAS</v>
      </c>
      <c r="P670">
        <v>108.02</v>
      </c>
      <c r="Q670" t="str">
        <f>"FARMÁCIA INDIANA LJ 119 (10053)"</f>
        <v>FARMÁCIA INDIANA LJ 119 (10053)</v>
      </c>
      <c r="R670" t="str">
        <f t="shared" si="297"/>
        <v>RECEITAS COM ENTREGAS (303)</v>
      </c>
      <c r="S670">
        <v>3223</v>
      </c>
      <c r="T670">
        <v>2518</v>
      </c>
      <c r="U670" t="s">
        <v>21</v>
      </c>
    </row>
    <row r="671" spans="1:21">
      <c r="A671" t="str">
        <f t="shared" si="291"/>
        <v>19/11/2025</v>
      </c>
      <c r="B671" t="str">
        <f t="shared" si="294"/>
        <v>ENTRADA</v>
      </c>
      <c r="C671" t="str">
        <f t="shared" si="295"/>
        <v>NFSE</v>
      </c>
      <c r="D671" t="str">
        <f t="shared" si="298"/>
        <v>3809</v>
      </c>
      <c r="E671" t="str">
        <f t="shared" si="292"/>
        <v>COM</v>
      </c>
      <c r="F671" t="str">
        <f t="shared" si="299"/>
        <v>FARMÁCIA INDIANA LJ 85 (10128)</v>
      </c>
      <c r="G671" t="str">
        <f t="shared" si="300"/>
        <v>Serv.Prest. 03/11/2025 a 09/11/2025 - RPS: 1572 - NFSe: 3809</v>
      </c>
      <c r="H671" t="str">
        <f t="shared" si="301"/>
        <v>19/11/2025</v>
      </c>
      <c r="I671" t="str">
        <f t="shared" si="287"/>
        <v>11/11/2025</v>
      </c>
      <c r="J671" t="str">
        <f t="shared" si="293"/>
        <v>19/11/2025</v>
      </c>
      <c r="M671">
        <v>303</v>
      </c>
      <c r="N671" t="str">
        <f t="shared" si="296"/>
        <v>RECEITAS COM ENTREGAS</v>
      </c>
      <c r="P671">
        <v>132.82</v>
      </c>
      <c r="Q671" t="str">
        <f>"FARMÁCIA INDIANA LJ 163 (10072)"</f>
        <v>FARMÁCIA INDIANA LJ 163 (10072)</v>
      </c>
      <c r="R671" t="str">
        <f t="shared" si="297"/>
        <v>RECEITAS COM ENTREGAS (303)</v>
      </c>
      <c r="S671">
        <v>3223</v>
      </c>
      <c r="T671">
        <v>2518</v>
      </c>
      <c r="U671" t="s">
        <v>21</v>
      </c>
    </row>
    <row r="672" spans="1:21">
      <c r="A672" t="str">
        <f t="shared" si="291"/>
        <v>19/11/2025</v>
      </c>
      <c r="B672" t="str">
        <f t="shared" si="294"/>
        <v>ENTRADA</v>
      </c>
      <c r="C672" t="str">
        <f t="shared" si="295"/>
        <v>NFSE</v>
      </c>
      <c r="D672" t="str">
        <f t="shared" si="298"/>
        <v>3809</v>
      </c>
      <c r="E672" t="str">
        <f t="shared" si="292"/>
        <v>COM</v>
      </c>
      <c r="F672" t="str">
        <f t="shared" si="299"/>
        <v>FARMÁCIA INDIANA LJ 85 (10128)</v>
      </c>
      <c r="G672" t="str">
        <f t="shared" si="300"/>
        <v>Serv.Prest. 03/11/2025 a 09/11/2025 - RPS: 1572 - NFSe: 3809</v>
      </c>
      <c r="H672" t="str">
        <f t="shared" si="301"/>
        <v>19/11/2025</v>
      </c>
      <c r="I672" t="str">
        <f t="shared" ref="I672:I679" si="302">("11/11/2025")</f>
        <v>11/11/2025</v>
      </c>
      <c r="J672" t="str">
        <f t="shared" si="293"/>
        <v>19/11/2025</v>
      </c>
      <c r="M672">
        <v>303</v>
      </c>
      <c r="N672" t="str">
        <f t="shared" si="296"/>
        <v>RECEITAS COM ENTREGAS</v>
      </c>
      <c r="P672">
        <v>178.23</v>
      </c>
      <c r="Q672" t="str">
        <f>"FARMÁCIA INDIANA LJ 181 (10078)"</f>
        <v>FARMÁCIA INDIANA LJ 181 (10078)</v>
      </c>
      <c r="R672" t="str">
        <f t="shared" si="297"/>
        <v>RECEITAS COM ENTREGAS (303)</v>
      </c>
      <c r="S672">
        <v>3223</v>
      </c>
      <c r="T672">
        <v>2518</v>
      </c>
      <c r="U672" t="s">
        <v>21</v>
      </c>
    </row>
    <row r="673" spans="1:21">
      <c r="A673" t="str">
        <f t="shared" si="291"/>
        <v>19/11/2025</v>
      </c>
      <c r="B673" t="str">
        <f t="shared" si="294"/>
        <v>ENTRADA</v>
      </c>
      <c r="C673" t="str">
        <f t="shared" si="295"/>
        <v>NFSE</v>
      </c>
      <c r="D673" t="str">
        <f t="shared" si="298"/>
        <v>3809</v>
      </c>
      <c r="E673" t="str">
        <f t="shared" si="292"/>
        <v>COM</v>
      </c>
      <c r="F673" t="str">
        <f t="shared" si="299"/>
        <v>FARMÁCIA INDIANA LJ 85 (10128)</v>
      </c>
      <c r="G673" t="str">
        <f t="shared" si="300"/>
        <v>Serv.Prest. 03/11/2025 a 09/11/2025 - RPS: 1572 - NFSe: 3809</v>
      </c>
      <c r="H673" t="str">
        <f t="shared" si="301"/>
        <v>19/11/2025</v>
      </c>
      <c r="I673" t="str">
        <f t="shared" si="302"/>
        <v>11/11/2025</v>
      </c>
      <c r="J673" t="str">
        <f t="shared" si="293"/>
        <v>19/11/2025</v>
      </c>
      <c r="M673">
        <v>303</v>
      </c>
      <c r="N673" t="str">
        <f t="shared" si="296"/>
        <v>RECEITAS COM ENTREGAS</v>
      </c>
      <c r="P673">
        <v>107.8</v>
      </c>
      <c r="Q673" t="str">
        <f>"FARMÁCIA INDIANA LJ 221 (10093)"</f>
        <v>FARMÁCIA INDIANA LJ 221 (10093)</v>
      </c>
      <c r="R673" t="str">
        <f t="shared" si="297"/>
        <v>RECEITAS COM ENTREGAS (303)</v>
      </c>
      <c r="S673">
        <v>3223</v>
      </c>
      <c r="T673">
        <v>2518</v>
      </c>
      <c r="U673" t="s">
        <v>21</v>
      </c>
    </row>
    <row r="674" spans="1:21">
      <c r="A674" t="str">
        <f t="shared" si="291"/>
        <v>19/11/2025</v>
      </c>
      <c r="B674" t="str">
        <f t="shared" si="294"/>
        <v>ENTRADA</v>
      </c>
      <c r="C674" t="str">
        <f t="shared" si="295"/>
        <v>NFSE</v>
      </c>
      <c r="D674" t="str">
        <f t="shared" si="298"/>
        <v>3809</v>
      </c>
      <c r="E674" t="str">
        <f t="shared" si="292"/>
        <v>COM</v>
      </c>
      <c r="F674" t="str">
        <f t="shared" si="299"/>
        <v>FARMÁCIA INDIANA LJ 85 (10128)</v>
      </c>
      <c r="G674" t="str">
        <f t="shared" si="300"/>
        <v>Serv.Prest. 03/11/2025 a 09/11/2025 - RPS: 1572 - NFSe: 3809</v>
      </c>
      <c r="H674" t="str">
        <f t="shared" si="301"/>
        <v>19/11/2025</v>
      </c>
      <c r="I674" t="str">
        <f t="shared" si="302"/>
        <v>11/11/2025</v>
      </c>
      <c r="J674" t="str">
        <f t="shared" si="293"/>
        <v>19/11/2025</v>
      </c>
      <c r="M674">
        <v>303</v>
      </c>
      <c r="N674" t="str">
        <f t="shared" si="296"/>
        <v>RECEITAS COM ENTREGAS</v>
      </c>
      <c r="P674">
        <v>120.16</v>
      </c>
      <c r="Q674" t="str">
        <f>"FARMÁCIA INDIANA LJ 243 (10142)"</f>
        <v>FARMÁCIA INDIANA LJ 243 (10142)</v>
      </c>
      <c r="R674" t="str">
        <f t="shared" si="297"/>
        <v>RECEITAS COM ENTREGAS (303)</v>
      </c>
      <c r="S674">
        <v>3223</v>
      </c>
      <c r="T674">
        <v>2518</v>
      </c>
      <c r="U674" t="s">
        <v>21</v>
      </c>
    </row>
    <row r="675" spans="1:21">
      <c r="A675" t="str">
        <f t="shared" si="291"/>
        <v>19/11/2025</v>
      </c>
      <c r="B675" t="str">
        <f t="shared" si="294"/>
        <v>ENTRADA</v>
      </c>
      <c r="C675" t="str">
        <f t="shared" si="295"/>
        <v>NFSE</v>
      </c>
      <c r="D675" t="str">
        <f t="shared" si="298"/>
        <v>3809</v>
      </c>
      <c r="E675" t="str">
        <f t="shared" si="292"/>
        <v>COM</v>
      </c>
      <c r="F675" t="str">
        <f t="shared" si="299"/>
        <v>FARMÁCIA INDIANA LJ 85 (10128)</v>
      </c>
      <c r="G675" t="str">
        <f t="shared" si="300"/>
        <v>Serv.Prest. 03/11/2025 a 09/11/2025 - RPS: 1572 - NFSe: 3809</v>
      </c>
      <c r="H675" t="str">
        <f t="shared" si="301"/>
        <v>19/11/2025</v>
      </c>
      <c r="I675" t="str">
        <f t="shared" si="302"/>
        <v>11/11/2025</v>
      </c>
      <c r="J675" t="str">
        <f t="shared" si="293"/>
        <v>19/11/2025</v>
      </c>
      <c r="M675">
        <v>303</v>
      </c>
      <c r="N675" t="str">
        <f t="shared" si="296"/>
        <v>RECEITAS COM ENTREGAS</v>
      </c>
      <c r="P675">
        <v>57.45</v>
      </c>
      <c r="Q675" t="str">
        <f>"FARMÁCIA INDIANA LJ 211 (10168)"</f>
        <v>FARMÁCIA INDIANA LJ 211 (10168)</v>
      </c>
      <c r="R675" t="str">
        <f t="shared" si="297"/>
        <v>RECEITAS COM ENTREGAS (303)</v>
      </c>
      <c r="S675">
        <v>3223</v>
      </c>
      <c r="T675">
        <v>2518</v>
      </c>
      <c r="U675" t="s">
        <v>21</v>
      </c>
    </row>
    <row r="676" spans="1:21">
      <c r="A676" t="str">
        <f t="shared" si="291"/>
        <v>19/11/2025</v>
      </c>
      <c r="B676" t="str">
        <f t="shared" si="294"/>
        <v>ENTRADA</v>
      </c>
      <c r="C676" t="str">
        <f t="shared" si="295"/>
        <v>NFSE</v>
      </c>
      <c r="D676" t="str">
        <f t="shared" si="298"/>
        <v>3809</v>
      </c>
      <c r="E676" t="str">
        <f t="shared" si="292"/>
        <v>COM</v>
      </c>
      <c r="F676" t="str">
        <f t="shared" si="299"/>
        <v>FARMÁCIA INDIANA LJ 85 (10128)</v>
      </c>
      <c r="G676" t="str">
        <f t="shared" si="300"/>
        <v>Serv.Prest. 03/11/2025 a 09/11/2025 - RPS: 1572 - NFSe: 3809</v>
      </c>
      <c r="H676" t="str">
        <f t="shared" si="301"/>
        <v>19/11/2025</v>
      </c>
      <c r="I676" t="str">
        <f t="shared" si="302"/>
        <v>11/11/2025</v>
      </c>
      <c r="J676" t="str">
        <f t="shared" si="293"/>
        <v>19/11/2025</v>
      </c>
      <c r="M676">
        <v>303</v>
      </c>
      <c r="N676" t="str">
        <f t="shared" si="296"/>
        <v>RECEITAS COM ENTREGAS</v>
      </c>
      <c r="P676">
        <v>57.45</v>
      </c>
      <c r="Q676" t="str">
        <f>"FARMÁCIA INDIANA LJ 236 (10169)"</f>
        <v>FARMÁCIA INDIANA LJ 236 (10169)</v>
      </c>
      <c r="R676" t="str">
        <f t="shared" si="297"/>
        <v>RECEITAS COM ENTREGAS (303)</v>
      </c>
      <c r="S676">
        <v>3223</v>
      </c>
      <c r="T676">
        <v>2518</v>
      </c>
      <c r="U676" t="s">
        <v>21</v>
      </c>
    </row>
    <row r="677" spans="1:21">
      <c r="A677" t="str">
        <f t="shared" si="291"/>
        <v>19/11/2025</v>
      </c>
      <c r="B677" t="str">
        <f t="shared" si="294"/>
        <v>ENTRADA</v>
      </c>
      <c r="C677" t="str">
        <f t="shared" si="295"/>
        <v>NFSE</v>
      </c>
      <c r="D677" t="str">
        <f t="shared" si="298"/>
        <v>3809</v>
      </c>
      <c r="E677" t="str">
        <f t="shared" si="292"/>
        <v>COM</v>
      </c>
      <c r="F677" t="str">
        <f t="shared" si="299"/>
        <v>FARMÁCIA INDIANA LJ 85 (10128)</v>
      </c>
      <c r="G677" t="str">
        <f t="shared" si="300"/>
        <v>Serv.Prest. 03/11/2025 a 09/11/2025 - RPS: 1572 - NFSe: 3809</v>
      </c>
      <c r="H677" t="str">
        <f t="shared" si="301"/>
        <v>19/11/2025</v>
      </c>
      <c r="I677" t="str">
        <f t="shared" si="302"/>
        <v>11/11/2025</v>
      </c>
      <c r="J677" t="str">
        <f t="shared" si="293"/>
        <v>19/11/2025</v>
      </c>
      <c r="M677">
        <v>303</v>
      </c>
      <c r="N677" t="str">
        <f t="shared" si="296"/>
        <v>RECEITAS COM ENTREGAS</v>
      </c>
      <c r="P677">
        <v>114.8</v>
      </c>
      <c r="Q677" t="str">
        <f>"FARMÁCIA INDIANA LJ 188 (10176)"</f>
        <v>FARMÁCIA INDIANA LJ 188 (10176)</v>
      </c>
      <c r="R677" t="str">
        <f t="shared" si="297"/>
        <v>RECEITAS COM ENTREGAS (303)</v>
      </c>
      <c r="S677">
        <v>3223</v>
      </c>
      <c r="T677">
        <v>2518</v>
      </c>
      <c r="U677" t="s">
        <v>21</v>
      </c>
    </row>
    <row r="678" spans="1:21">
      <c r="A678" t="str">
        <f t="shared" si="291"/>
        <v>19/11/2025</v>
      </c>
      <c r="B678" t="str">
        <f t="shared" si="294"/>
        <v>ENTRADA</v>
      </c>
      <c r="C678" t="str">
        <f t="shared" si="295"/>
        <v>NFSE</v>
      </c>
      <c r="D678" t="str">
        <f t="shared" si="298"/>
        <v>3809</v>
      </c>
      <c r="E678" t="str">
        <f t="shared" si="292"/>
        <v>COM</v>
      </c>
      <c r="F678" t="str">
        <f t="shared" si="299"/>
        <v>FARMÁCIA INDIANA LJ 85 (10128)</v>
      </c>
      <c r="G678" t="str">
        <f t="shared" si="300"/>
        <v>Serv.Prest. 03/11/2025 a 09/11/2025 - RPS: 1572 - NFSe: 3809</v>
      </c>
      <c r="H678" t="str">
        <f t="shared" si="301"/>
        <v>19/11/2025</v>
      </c>
      <c r="I678" t="str">
        <f t="shared" si="302"/>
        <v>11/11/2025</v>
      </c>
      <c r="J678" t="str">
        <f t="shared" si="293"/>
        <v>19/11/2025</v>
      </c>
      <c r="M678">
        <v>303</v>
      </c>
      <c r="N678" t="str">
        <f t="shared" si="296"/>
        <v>RECEITAS COM ENTREGAS</v>
      </c>
      <c r="P678">
        <v>134.99</v>
      </c>
      <c r="Q678" t="str">
        <f>"FARMÁCIA INDIANA LJ 273 (10188)"</f>
        <v>FARMÁCIA INDIANA LJ 273 (10188)</v>
      </c>
      <c r="R678" t="str">
        <f t="shared" si="297"/>
        <v>RECEITAS COM ENTREGAS (303)</v>
      </c>
      <c r="S678">
        <v>3223</v>
      </c>
      <c r="T678">
        <v>2518</v>
      </c>
      <c r="U678" t="s">
        <v>21</v>
      </c>
    </row>
    <row r="679" spans="1:21">
      <c r="A679" t="str">
        <f t="shared" si="291"/>
        <v>19/11/2025</v>
      </c>
      <c r="B679" t="str">
        <f t="shared" si="294"/>
        <v>ENTRADA</v>
      </c>
      <c r="C679" t="str">
        <f t="shared" si="295"/>
        <v>NFSE</v>
      </c>
      <c r="D679" t="str">
        <f t="shared" si="298"/>
        <v>3809</v>
      </c>
      <c r="E679" t="str">
        <f t="shared" si="292"/>
        <v>COM</v>
      </c>
      <c r="F679" t="str">
        <f t="shared" si="299"/>
        <v>FARMÁCIA INDIANA LJ 85 (10128)</v>
      </c>
      <c r="G679" t="str">
        <f t="shared" si="300"/>
        <v>Serv.Prest. 03/11/2025 a 09/11/2025 - RPS: 1572 - NFSe: 3809</v>
      </c>
      <c r="H679" t="str">
        <f t="shared" si="301"/>
        <v>19/11/2025</v>
      </c>
      <c r="I679" t="str">
        <f t="shared" si="302"/>
        <v>11/11/2025</v>
      </c>
      <c r="J679" t="str">
        <f t="shared" si="293"/>
        <v>19/11/2025</v>
      </c>
      <c r="M679">
        <v>303</v>
      </c>
      <c r="N679" t="str">
        <f t="shared" si="296"/>
        <v>RECEITAS COM ENTREGAS</v>
      </c>
      <c r="P679">
        <v>17.920000000000002</v>
      </c>
      <c r="Q679" t="str">
        <f>"FARMÁCIA INDIANA LJ 235 (10190)"</f>
        <v>FARMÁCIA INDIANA LJ 235 (10190)</v>
      </c>
      <c r="R679" t="str">
        <f t="shared" si="297"/>
        <v>RECEITAS COM ENTREGAS (303)</v>
      </c>
      <c r="S679">
        <v>3223</v>
      </c>
      <c r="T679">
        <v>2518</v>
      </c>
      <c r="U679" t="s">
        <v>21</v>
      </c>
    </row>
    <row r="680" spans="1:21">
      <c r="A680" t="str">
        <f t="shared" si="291"/>
        <v>19/11/2025</v>
      </c>
      <c r="B680" t="str">
        <f t="shared" si="294"/>
        <v>ENTRADA</v>
      </c>
      <c r="C680" t="str">
        <f t="shared" si="295"/>
        <v>NFSE</v>
      </c>
      <c r="D680" t="str">
        <f>"3818"</f>
        <v>3818</v>
      </c>
      <c r="E680" t="str">
        <f t="shared" si="292"/>
        <v>COM</v>
      </c>
      <c r="F680" t="str">
        <f>"PENSE FARMA 44 (10231)"</f>
        <v>PENSE FARMA 44 (10231)</v>
      </c>
      <c r="G680" t="str">
        <f>"Serv.Prest. 10/11/2025 a 16/11/2025 - RPS: 1581 - NFSe: 3818"</f>
        <v>Serv.Prest. 10/11/2025 a 16/11/2025 - RPS: 1581 - NFSe: 3818</v>
      </c>
      <c r="H680" t="str">
        <f t="shared" si="301"/>
        <v>19/11/2025</v>
      </c>
      <c r="I680" t="str">
        <f t="shared" ref="I680:I711" si="303">("17/11/2025")</f>
        <v>17/11/2025</v>
      </c>
      <c r="J680" t="str">
        <f t="shared" si="293"/>
        <v>19/11/2025</v>
      </c>
      <c r="K680">
        <v>630.80999999999995</v>
      </c>
      <c r="L680">
        <v>630.80999999999995</v>
      </c>
      <c r="M680">
        <v>303</v>
      </c>
      <c r="N680" t="str">
        <f t="shared" si="296"/>
        <v>RECEITAS COM ENTREGAS</v>
      </c>
      <c r="O680">
        <v>630.80999999999995</v>
      </c>
      <c r="R680" t="str">
        <f t="shared" si="297"/>
        <v>RECEITAS COM ENTREGAS (303)</v>
      </c>
      <c r="S680">
        <v>3224</v>
      </c>
      <c r="T680">
        <v>2621</v>
      </c>
      <c r="U680" t="s">
        <v>21</v>
      </c>
    </row>
    <row r="681" spans="1:21">
      <c r="A681" t="str">
        <f t="shared" si="291"/>
        <v>19/11/2025</v>
      </c>
      <c r="B681" t="str">
        <f t="shared" si="294"/>
        <v>ENTRADA</v>
      </c>
      <c r="C681" t="str">
        <f t="shared" si="295"/>
        <v>NFSE</v>
      </c>
      <c r="D681" t="str">
        <f>"3818"</f>
        <v>3818</v>
      </c>
      <c r="E681" t="str">
        <f t="shared" si="292"/>
        <v>COM</v>
      </c>
      <c r="F681" t="str">
        <f>"PENSE FARMA 44 (10231)"</f>
        <v>PENSE FARMA 44 (10231)</v>
      </c>
      <c r="G681" t="str">
        <f>"Serv.Prest. 10/11/2025 a 16/11/2025 - RPS: 1581 - NFSe: 3818"</f>
        <v>Serv.Prest. 10/11/2025 a 16/11/2025 - RPS: 1581 - NFSe: 3818</v>
      </c>
      <c r="H681" t="str">
        <f t="shared" si="301"/>
        <v>19/11/2025</v>
      </c>
      <c r="I681" t="str">
        <f t="shared" si="303"/>
        <v>17/11/2025</v>
      </c>
      <c r="J681" t="str">
        <f t="shared" si="293"/>
        <v>19/11/2025</v>
      </c>
      <c r="M681">
        <v>303</v>
      </c>
      <c r="N681" t="str">
        <f t="shared" si="296"/>
        <v>RECEITAS COM ENTREGAS</v>
      </c>
      <c r="P681">
        <v>314.89999999999998</v>
      </c>
      <c r="Q681" t="str">
        <f>"PENSE FARMA 44 (10231)"</f>
        <v>PENSE FARMA 44 (10231)</v>
      </c>
      <c r="R681" t="str">
        <f t="shared" si="297"/>
        <v>RECEITAS COM ENTREGAS (303)</v>
      </c>
      <c r="S681">
        <v>3224</v>
      </c>
      <c r="T681">
        <v>2621</v>
      </c>
      <c r="U681" t="s">
        <v>21</v>
      </c>
    </row>
    <row r="682" spans="1:21">
      <c r="A682" t="str">
        <f t="shared" si="291"/>
        <v>19/11/2025</v>
      </c>
      <c r="B682" t="str">
        <f t="shared" si="294"/>
        <v>ENTRADA</v>
      </c>
      <c r="C682" t="str">
        <f t="shared" si="295"/>
        <v>NFSE</v>
      </c>
      <c r="D682" t="str">
        <f>"3818"</f>
        <v>3818</v>
      </c>
      <c r="E682" t="str">
        <f t="shared" si="292"/>
        <v>COM</v>
      </c>
      <c r="F682" t="str">
        <f>"PENSE FARMA 44 (10231)"</f>
        <v>PENSE FARMA 44 (10231)</v>
      </c>
      <c r="G682" t="str">
        <f>"Serv.Prest. 10/11/2025 a 16/11/2025 - RPS: 1581 - NFSe: 3818"</f>
        <v>Serv.Prest. 10/11/2025 a 16/11/2025 - RPS: 1581 - NFSe: 3818</v>
      </c>
      <c r="H682" t="str">
        <f t="shared" si="301"/>
        <v>19/11/2025</v>
      </c>
      <c r="I682" t="str">
        <f t="shared" si="303"/>
        <v>17/11/2025</v>
      </c>
      <c r="J682" t="str">
        <f t="shared" si="293"/>
        <v>19/11/2025</v>
      </c>
      <c r="M682">
        <v>303</v>
      </c>
      <c r="N682" t="str">
        <f t="shared" si="296"/>
        <v>RECEITAS COM ENTREGAS</v>
      </c>
      <c r="P682">
        <v>315.91000000000003</v>
      </c>
      <c r="Q682" t="str">
        <f>"PENSE FARMA 48 (10233)"</f>
        <v>PENSE FARMA 48 (10233)</v>
      </c>
      <c r="R682" t="str">
        <f t="shared" si="297"/>
        <v>RECEITAS COM ENTREGAS (303)</v>
      </c>
      <c r="S682">
        <v>3224</v>
      </c>
      <c r="T682">
        <v>2621</v>
      </c>
      <c r="U682" t="s">
        <v>21</v>
      </c>
    </row>
    <row r="683" spans="1:21">
      <c r="A683" t="str">
        <f t="shared" si="291"/>
        <v>19/11/2025</v>
      </c>
      <c r="B683" t="str">
        <f t="shared" si="294"/>
        <v>ENTRADA</v>
      </c>
      <c r="C683" t="str">
        <f t="shared" si="295"/>
        <v>NFSE</v>
      </c>
      <c r="D683" t="str">
        <f>"3820"</f>
        <v>3820</v>
      </c>
      <c r="E683" t="str">
        <f t="shared" si="292"/>
        <v>COM</v>
      </c>
      <c r="F683" t="str">
        <f>"PENSE FARMA 19 (10223)"</f>
        <v>PENSE FARMA 19 (10223)</v>
      </c>
      <c r="G683" t="str">
        <f>"Serv.Prest. 10/11/2025 a 16/11/2025 - RPS: 1583 - NFSe: 3820"</f>
        <v>Serv.Prest. 10/11/2025 a 16/11/2025 - RPS: 1583 - NFSe: 3820</v>
      </c>
      <c r="H683" t="str">
        <f t="shared" si="301"/>
        <v>19/11/2025</v>
      </c>
      <c r="I683" t="str">
        <f t="shared" si="303"/>
        <v>17/11/2025</v>
      </c>
      <c r="J683" t="str">
        <f t="shared" si="293"/>
        <v>19/11/2025</v>
      </c>
      <c r="K683">
        <v>507.65</v>
      </c>
      <c r="L683">
        <v>507.65</v>
      </c>
      <c r="M683">
        <v>303</v>
      </c>
      <c r="N683" t="str">
        <f t="shared" si="296"/>
        <v>RECEITAS COM ENTREGAS</v>
      </c>
      <c r="O683">
        <v>507.65</v>
      </c>
      <c r="R683" t="str">
        <f t="shared" si="297"/>
        <v>RECEITAS COM ENTREGAS (303)</v>
      </c>
      <c r="S683">
        <v>3225</v>
      </c>
      <c r="T683">
        <v>2623</v>
      </c>
      <c r="U683" t="s">
        <v>21</v>
      </c>
    </row>
    <row r="684" spans="1:21">
      <c r="A684" t="str">
        <f t="shared" si="291"/>
        <v>19/11/2025</v>
      </c>
      <c r="B684" t="str">
        <f t="shared" si="294"/>
        <v>ENTRADA</v>
      </c>
      <c r="C684" t="str">
        <f t="shared" si="295"/>
        <v>NFSE</v>
      </c>
      <c r="D684" t="str">
        <f>"3820"</f>
        <v>3820</v>
      </c>
      <c r="E684" t="str">
        <f t="shared" si="292"/>
        <v>COM</v>
      </c>
      <c r="F684" t="str">
        <f>"PENSE FARMA 19 (10223)"</f>
        <v>PENSE FARMA 19 (10223)</v>
      </c>
      <c r="G684" t="str">
        <f>"Serv.Prest. 10/11/2025 a 16/11/2025 - RPS: 1583 - NFSe: 3820"</f>
        <v>Serv.Prest. 10/11/2025 a 16/11/2025 - RPS: 1583 - NFSe: 3820</v>
      </c>
      <c r="H684" t="str">
        <f t="shared" si="301"/>
        <v>19/11/2025</v>
      </c>
      <c r="I684" t="str">
        <f t="shared" si="303"/>
        <v>17/11/2025</v>
      </c>
      <c r="J684" t="str">
        <f t="shared" si="293"/>
        <v>19/11/2025</v>
      </c>
      <c r="M684">
        <v>303</v>
      </c>
      <c r="N684" t="str">
        <f t="shared" si="296"/>
        <v>RECEITAS COM ENTREGAS</v>
      </c>
      <c r="P684">
        <v>507.65</v>
      </c>
      <c r="Q684" t="str">
        <f>"PENSE FARMA 19 (10223)"</f>
        <v>PENSE FARMA 19 (10223)</v>
      </c>
      <c r="R684" t="str">
        <f t="shared" si="297"/>
        <v>RECEITAS COM ENTREGAS (303)</v>
      </c>
      <c r="S684">
        <v>3225</v>
      </c>
      <c r="T684">
        <v>2623</v>
      </c>
      <c r="U684" t="s">
        <v>21</v>
      </c>
    </row>
    <row r="685" spans="1:21">
      <c r="A685" t="str">
        <f t="shared" si="291"/>
        <v>19/11/2025</v>
      </c>
      <c r="B685" t="str">
        <f t="shared" si="294"/>
        <v>ENTRADA</v>
      </c>
      <c r="C685" t="str">
        <f t="shared" si="295"/>
        <v>NFSE</v>
      </c>
      <c r="D685" t="str">
        <f>"3821"</f>
        <v>3821</v>
      </c>
      <c r="E685" t="str">
        <f t="shared" si="292"/>
        <v>COM</v>
      </c>
      <c r="F685" t="str">
        <f>"PENSE FARMA 49 (10234)"</f>
        <v>PENSE FARMA 49 (10234)</v>
      </c>
      <c r="G685" t="str">
        <f>"Serv.Prest. 10/11/2025 a 16/11/2025 - RPS: 1584 - NFSe: 3821"</f>
        <v>Serv.Prest. 10/11/2025 a 16/11/2025 - RPS: 1584 - NFSe: 3821</v>
      </c>
      <c r="H685" t="str">
        <f t="shared" si="301"/>
        <v>19/11/2025</v>
      </c>
      <c r="I685" t="str">
        <f t="shared" si="303"/>
        <v>17/11/2025</v>
      </c>
      <c r="J685" t="str">
        <f t="shared" si="293"/>
        <v>19/11/2025</v>
      </c>
      <c r="K685">
        <v>213.43</v>
      </c>
      <c r="L685">
        <v>213.43</v>
      </c>
      <c r="M685">
        <v>303</v>
      </c>
      <c r="N685" t="str">
        <f t="shared" si="296"/>
        <v>RECEITAS COM ENTREGAS</v>
      </c>
      <c r="O685">
        <v>213.43</v>
      </c>
      <c r="R685" t="str">
        <f t="shared" si="297"/>
        <v>RECEITAS COM ENTREGAS (303)</v>
      </c>
      <c r="S685">
        <v>3226</v>
      </c>
      <c r="T685">
        <v>2624</v>
      </c>
      <c r="U685" t="s">
        <v>21</v>
      </c>
    </row>
    <row r="686" spans="1:21">
      <c r="A686" t="str">
        <f t="shared" si="291"/>
        <v>19/11/2025</v>
      </c>
      <c r="B686" t="str">
        <f t="shared" si="294"/>
        <v>ENTRADA</v>
      </c>
      <c r="C686" t="str">
        <f t="shared" si="295"/>
        <v>NFSE</v>
      </c>
      <c r="D686" t="str">
        <f>"3821"</f>
        <v>3821</v>
      </c>
      <c r="E686" t="str">
        <f t="shared" si="292"/>
        <v>COM</v>
      </c>
      <c r="F686" t="str">
        <f>"PENSE FARMA 49 (10234)"</f>
        <v>PENSE FARMA 49 (10234)</v>
      </c>
      <c r="G686" t="str">
        <f>"Serv.Prest. 10/11/2025 a 16/11/2025 - RPS: 1584 - NFSe: 3821"</f>
        <v>Serv.Prest. 10/11/2025 a 16/11/2025 - RPS: 1584 - NFSe: 3821</v>
      </c>
      <c r="H686" t="str">
        <f t="shared" si="301"/>
        <v>19/11/2025</v>
      </c>
      <c r="I686" t="str">
        <f t="shared" si="303"/>
        <v>17/11/2025</v>
      </c>
      <c r="J686" t="str">
        <f t="shared" si="293"/>
        <v>19/11/2025</v>
      </c>
      <c r="M686">
        <v>303</v>
      </c>
      <c r="N686" t="str">
        <f t="shared" si="296"/>
        <v>RECEITAS COM ENTREGAS</v>
      </c>
      <c r="P686">
        <v>213.43</v>
      </c>
      <c r="Q686" t="str">
        <f>"PENSE FARMA 49 (10234)"</f>
        <v>PENSE FARMA 49 (10234)</v>
      </c>
      <c r="R686" t="str">
        <f t="shared" si="297"/>
        <v>RECEITAS COM ENTREGAS (303)</v>
      </c>
      <c r="S686">
        <v>3226</v>
      </c>
      <c r="T686">
        <v>2624</v>
      </c>
      <c r="U686" t="s">
        <v>21</v>
      </c>
    </row>
    <row r="687" spans="1:21">
      <c r="A687" t="str">
        <f t="shared" si="291"/>
        <v>19/11/2025</v>
      </c>
      <c r="B687" t="str">
        <f t="shared" si="294"/>
        <v>ENTRADA</v>
      </c>
      <c r="C687" t="str">
        <f t="shared" si="295"/>
        <v>NFSE</v>
      </c>
      <c r="D687" t="str">
        <f>"3823"</f>
        <v>3823</v>
      </c>
      <c r="E687" t="str">
        <f t="shared" si="292"/>
        <v>COM</v>
      </c>
      <c r="F687" t="str">
        <f>"PENSE FARMA 47 (10232)"</f>
        <v>PENSE FARMA 47 (10232)</v>
      </c>
      <c r="G687" t="str">
        <f>"Serv.Prest. 10/11/2025 a 16/11/2025 - RPS: 1586 - NFSe: 3823"</f>
        <v>Serv.Prest. 10/11/2025 a 16/11/2025 - RPS: 1586 - NFSe: 3823</v>
      </c>
      <c r="H687" t="str">
        <f t="shared" si="301"/>
        <v>19/11/2025</v>
      </c>
      <c r="I687" t="str">
        <f t="shared" si="303"/>
        <v>17/11/2025</v>
      </c>
      <c r="J687" t="str">
        <f t="shared" si="293"/>
        <v>19/11/2025</v>
      </c>
      <c r="K687">
        <v>320.23</v>
      </c>
      <c r="L687">
        <v>320.23</v>
      </c>
      <c r="M687">
        <v>303</v>
      </c>
      <c r="N687" t="str">
        <f t="shared" si="296"/>
        <v>RECEITAS COM ENTREGAS</v>
      </c>
      <c r="O687">
        <v>320.23</v>
      </c>
      <c r="R687" t="str">
        <f t="shared" si="297"/>
        <v>RECEITAS COM ENTREGAS (303)</v>
      </c>
      <c r="S687">
        <v>3227</v>
      </c>
      <c r="T687">
        <v>2626</v>
      </c>
      <c r="U687" t="s">
        <v>21</v>
      </c>
    </row>
    <row r="688" spans="1:21">
      <c r="A688" t="str">
        <f t="shared" si="291"/>
        <v>19/11/2025</v>
      </c>
      <c r="B688" t="str">
        <f t="shared" si="294"/>
        <v>ENTRADA</v>
      </c>
      <c r="C688" t="str">
        <f t="shared" si="295"/>
        <v>NFSE</v>
      </c>
      <c r="D688" t="str">
        <f>"3823"</f>
        <v>3823</v>
      </c>
      <c r="E688" t="str">
        <f t="shared" si="292"/>
        <v>COM</v>
      </c>
      <c r="F688" t="str">
        <f>"PENSE FARMA 47 (10232)"</f>
        <v>PENSE FARMA 47 (10232)</v>
      </c>
      <c r="G688" t="str">
        <f>"Serv.Prest. 10/11/2025 a 16/11/2025 - RPS: 1586 - NFSe: 3823"</f>
        <v>Serv.Prest. 10/11/2025 a 16/11/2025 - RPS: 1586 - NFSe: 3823</v>
      </c>
      <c r="H688" t="str">
        <f t="shared" si="301"/>
        <v>19/11/2025</v>
      </c>
      <c r="I688" t="str">
        <f t="shared" si="303"/>
        <v>17/11/2025</v>
      </c>
      <c r="J688" t="str">
        <f t="shared" si="293"/>
        <v>19/11/2025</v>
      </c>
      <c r="M688">
        <v>303</v>
      </c>
      <c r="N688" t="str">
        <f t="shared" si="296"/>
        <v>RECEITAS COM ENTREGAS</v>
      </c>
      <c r="P688">
        <v>320.23</v>
      </c>
      <c r="Q688" t="str">
        <f>"PENSE FARMA 47 (10232)"</f>
        <v>PENSE FARMA 47 (10232)</v>
      </c>
      <c r="R688" t="str">
        <f t="shared" si="297"/>
        <v>RECEITAS COM ENTREGAS (303)</v>
      </c>
      <c r="S688">
        <v>3227</v>
      </c>
      <c r="T688">
        <v>2626</v>
      </c>
      <c r="U688" t="s">
        <v>21</v>
      </c>
    </row>
    <row r="689" spans="1:21">
      <c r="A689" t="str">
        <f t="shared" si="291"/>
        <v>19/11/2025</v>
      </c>
      <c r="B689" t="str">
        <f t="shared" si="294"/>
        <v>ENTRADA</v>
      </c>
      <c r="C689" t="str">
        <f t="shared" si="295"/>
        <v>NFSE</v>
      </c>
      <c r="D689" t="str">
        <f>"3825"</f>
        <v>3825</v>
      </c>
      <c r="E689" t="str">
        <f t="shared" si="292"/>
        <v>COM</v>
      </c>
      <c r="F689" t="str">
        <f>"DROGARIA AGAPEAMA (10167)"</f>
        <v>DROGARIA AGAPEAMA (10167)</v>
      </c>
      <c r="G689" t="str">
        <f>"Serv.Prest. 10/11/2025 a 16/11/2025 - RPS: 1588 - NFSe: 3825"</f>
        <v>Serv.Prest. 10/11/2025 a 16/11/2025 - RPS: 1588 - NFSe: 3825</v>
      </c>
      <c r="H689" t="str">
        <f t="shared" si="301"/>
        <v>19/11/2025</v>
      </c>
      <c r="I689" t="str">
        <f t="shared" si="303"/>
        <v>17/11/2025</v>
      </c>
      <c r="J689" t="str">
        <f t="shared" si="293"/>
        <v>19/11/2025</v>
      </c>
      <c r="K689">
        <v>433.6</v>
      </c>
      <c r="L689">
        <v>433.6</v>
      </c>
      <c r="M689">
        <v>303</v>
      </c>
      <c r="N689" t="str">
        <f t="shared" si="296"/>
        <v>RECEITAS COM ENTREGAS</v>
      </c>
      <c r="O689">
        <v>433.6</v>
      </c>
      <c r="R689" t="str">
        <f t="shared" si="297"/>
        <v>RECEITAS COM ENTREGAS (303)</v>
      </c>
      <c r="S689">
        <v>3228</v>
      </c>
      <c r="T689">
        <v>2628</v>
      </c>
      <c r="U689" t="s">
        <v>21</v>
      </c>
    </row>
    <row r="690" spans="1:21">
      <c r="A690" t="str">
        <f t="shared" si="291"/>
        <v>19/11/2025</v>
      </c>
      <c r="B690" t="str">
        <f t="shared" si="294"/>
        <v>ENTRADA</v>
      </c>
      <c r="C690" t="str">
        <f t="shared" si="295"/>
        <v>NFSE</v>
      </c>
      <c r="D690" t="str">
        <f>"3825"</f>
        <v>3825</v>
      </c>
      <c r="E690" t="str">
        <f t="shared" si="292"/>
        <v>COM</v>
      </c>
      <c r="F690" t="str">
        <f>"DROGARIA AGAPEAMA (10167)"</f>
        <v>DROGARIA AGAPEAMA (10167)</v>
      </c>
      <c r="G690" t="str">
        <f>"Serv.Prest. 10/11/2025 a 16/11/2025 - RPS: 1588 - NFSe: 3825"</f>
        <v>Serv.Prest. 10/11/2025 a 16/11/2025 - RPS: 1588 - NFSe: 3825</v>
      </c>
      <c r="H690" t="str">
        <f t="shared" si="301"/>
        <v>19/11/2025</v>
      </c>
      <c r="I690" t="str">
        <f t="shared" si="303"/>
        <v>17/11/2025</v>
      </c>
      <c r="J690" t="str">
        <f t="shared" si="293"/>
        <v>19/11/2025</v>
      </c>
      <c r="M690">
        <v>303</v>
      </c>
      <c r="N690" t="str">
        <f t="shared" si="296"/>
        <v>RECEITAS COM ENTREGAS</v>
      </c>
      <c r="P690">
        <v>433.6</v>
      </c>
      <c r="Q690" t="str">
        <f>"DROGARIA AGAPEAMA (10167)"</f>
        <v>DROGARIA AGAPEAMA (10167)</v>
      </c>
      <c r="R690" t="str">
        <f t="shared" si="297"/>
        <v>RECEITAS COM ENTREGAS (303)</v>
      </c>
      <c r="S690">
        <v>3228</v>
      </c>
      <c r="T690">
        <v>2628</v>
      </c>
      <c r="U690" t="s">
        <v>21</v>
      </c>
    </row>
    <row r="691" spans="1:21">
      <c r="A691" t="str">
        <f t="shared" si="291"/>
        <v>19/11/2025</v>
      </c>
      <c r="B691" t="str">
        <f t="shared" si="294"/>
        <v>ENTRADA</v>
      </c>
      <c r="C691" t="str">
        <f t="shared" si="295"/>
        <v>NFSE</v>
      </c>
      <c r="D691" t="str">
        <f>"3826"</f>
        <v>3826</v>
      </c>
      <c r="E691" t="str">
        <f t="shared" si="292"/>
        <v>COM</v>
      </c>
      <c r="F691" t="str">
        <f>"PENSE FARMA 25 (10224)"</f>
        <v>PENSE FARMA 25 (10224)</v>
      </c>
      <c r="G691" t="str">
        <f>"Serv.Prest. 10/11/2025 a 16/11/2025 - RPS: 1589 - NFSe: 3826"</f>
        <v>Serv.Prest. 10/11/2025 a 16/11/2025 - RPS: 1589 - NFSe: 3826</v>
      </c>
      <c r="H691" t="str">
        <f t="shared" si="301"/>
        <v>19/11/2025</v>
      </c>
      <c r="I691" t="str">
        <f t="shared" si="303"/>
        <v>17/11/2025</v>
      </c>
      <c r="J691" t="str">
        <f t="shared" si="293"/>
        <v>19/11/2025</v>
      </c>
      <c r="K691">
        <v>599.04999999999995</v>
      </c>
      <c r="L691">
        <v>599.04999999999995</v>
      </c>
      <c r="M691">
        <v>303</v>
      </c>
      <c r="N691" t="str">
        <f t="shared" si="296"/>
        <v>RECEITAS COM ENTREGAS</v>
      </c>
      <c r="O691">
        <v>599.04999999999995</v>
      </c>
      <c r="R691" t="str">
        <f t="shared" si="297"/>
        <v>RECEITAS COM ENTREGAS (303)</v>
      </c>
      <c r="S691">
        <v>3229</v>
      </c>
      <c r="T691">
        <v>2629</v>
      </c>
      <c r="U691" t="s">
        <v>21</v>
      </c>
    </row>
    <row r="692" spans="1:21">
      <c r="A692" t="str">
        <f t="shared" si="291"/>
        <v>19/11/2025</v>
      </c>
      <c r="B692" t="str">
        <f t="shared" si="294"/>
        <v>ENTRADA</v>
      </c>
      <c r="C692" t="str">
        <f t="shared" si="295"/>
        <v>NFSE</v>
      </c>
      <c r="D692" t="str">
        <f>"3826"</f>
        <v>3826</v>
      </c>
      <c r="E692" t="str">
        <f t="shared" si="292"/>
        <v>COM</v>
      </c>
      <c r="F692" t="str">
        <f>"PENSE FARMA 25 (10224)"</f>
        <v>PENSE FARMA 25 (10224)</v>
      </c>
      <c r="G692" t="str">
        <f>"Serv.Prest. 10/11/2025 a 16/11/2025 - RPS: 1589 - NFSe: 3826"</f>
        <v>Serv.Prest. 10/11/2025 a 16/11/2025 - RPS: 1589 - NFSe: 3826</v>
      </c>
      <c r="H692" t="str">
        <f t="shared" si="301"/>
        <v>19/11/2025</v>
      </c>
      <c r="I692" t="str">
        <f t="shared" si="303"/>
        <v>17/11/2025</v>
      </c>
      <c r="J692" t="str">
        <f t="shared" si="293"/>
        <v>19/11/2025</v>
      </c>
      <c r="M692">
        <v>303</v>
      </c>
      <c r="N692" t="str">
        <f t="shared" si="296"/>
        <v>RECEITAS COM ENTREGAS</v>
      </c>
      <c r="P692">
        <v>599.04999999999995</v>
      </c>
      <c r="Q692" t="str">
        <f>"PENSE FARMA 25 (10224)"</f>
        <v>PENSE FARMA 25 (10224)</v>
      </c>
      <c r="R692" t="str">
        <f t="shared" si="297"/>
        <v>RECEITAS COM ENTREGAS (303)</v>
      </c>
      <c r="S692">
        <v>3229</v>
      </c>
      <c r="T692">
        <v>2629</v>
      </c>
      <c r="U692" t="s">
        <v>21</v>
      </c>
    </row>
    <row r="693" spans="1:21">
      <c r="A693" t="str">
        <f t="shared" si="291"/>
        <v>19/11/2025</v>
      </c>
      <c r="B693" t="str">
        <f t="shared" si="294"/>
        <v>ENTRADA</v>
      </c>
      <c r="C693" t="str">
        <f t="shared" si="295"/>
        <v>NFSE</v>
      </c>
      <c r="D693" t="str">
        <f>"3828"</f>
        <v>3828</v>
      </c>
      <c r="E693" t="str">
        <f t="shared" si="292"/>
        <v>COM</v>
      </c>
      <c r="F693" t="str">
        <f>"PENSE FARMA 35 (10227)"</f>
        <v>PENSE FARMA 35 (10227)</v>
      </c>
      <c r="G693" t="str">
        <f>"Serv.Prest. 10/11/2025 a 16/11/2025 - RPS: 1591 - NFSe: 3828"</f>
        <v>Serv.Prest. 10/11/2025 a 16/11/2025 - RPS: 1591 - NFSe: 3828</v>
      </c>
      <c r="H693" t="str">
        <f t="shared" si="301"/>
        <v>19/11/2025</v>
      </c>
      <c r="I693" t="str">
        <f t="shared" si="303"/>
        <v>17/11/2025</v>
      </c>
      <c r="J693" t="str">
        <f t="shared" si="293"/>
        <v>19/11/2025</v>
      </c>
      <c r="K693">
        <v>171.45</v>
      </c>
      <c r="L693">
        <v>171.45</v>
      </c>
      <c r="M693">
        <v>303</v>
      </c>
      <c r="N693" t="str">
        <f t="shared" si="296"/>
        <v>RECEITAS COM ENTREGAS</v>
      </c>
      <c r="O693">
        <v>171.45</v>
      </c>
      <c r="R693" t="str">
        <f t="shared" si="297"/>
        <v>RECEITAS COM ENTREGAS (303)</v>
      </c>
      <c r="S693">
        <v>3230</v>
      </c>
      <c r="T693">
        <v>2631</v>
      </c>
      <c r="U693" t="s">
        <v>21</v>
      </c>
    </row>
    <row r="694" spans="1:21">
      <c r="A694" t="str">
        <f t="shared" si="291"/>
        <v>19/11/2025</v>
      </c>
      <c r="B694" t="str">
        <f t="shared" si="294"/>
        <v>ENTRADA</v>
      </c>
      <c r="C694" t="str">
        <f t="shared" si="295"/>
        <v>NFSE</v>
      </c>
      <c r="D694" t="str">
        <f>"3828"</f>
        <v>3828</v>
      </c>
      <c r="E694" t="str">
        <f t="shared" si="292"/>
        <v>COM</v>
      </c>
      <c r="F694" t="str">
        <f>"PENSE FARMA 35 (10227)"</f>
        <v>PENSE FARMA 35 (10227)</v>
      </c>
      <c r="G694" t="str">
        <f>"Serv.Prest. 10/11/2025 a 16/11/2025 - RPS: 1591 - NFSe: 3828"</f>
        <v>Serv.Prest. 10/11/2025 a 16/11/2025 - RPS: 1591 - NFSe: 3828</v>
      </c>
      <c r="H694" t="str">
        <f t="shared" si="301"/>
        <v>19/11/2025</v>
      </c>
      <c r="I694" t="str">
        <f t="shared" si="303"/>
        <v>17/11/2025</v>
      </c>
      <c r="J694" t="str">
        <f t="shared" si="293"/>
        <v>19/11/2025</v>
      </c>
      <c r="M694">
        <v>303</v>
      </c>
      <c r="N694" t="str">
        <f t="shared" si="296"/>
        <v>RECEITAS COM ENTREGAS</v>
      </c>
      <c r="P694">
        <v>171.45</v>
      </c>
      <c r="Q694" t="str">
        <f>"PENSE FARMA 35 (10227)"</f>
        <v>PENSE FARMA 35 (10227)</v>
      </c>
      <c r="R694" t="str">
        <f t="shared" si="297"/>
        <v>RECEITAS COM ENTREGAS (303)</v>
      </c>
      <c r="S694">
        <v>3230</v>
      </c>
      <c r="T694">
        <v>2631</v>
      </c>
      <c r="U694" t="s">
        <v>21</v>
      </c>
    </row>
    <row r="695" spans="1:21">
      <c r="A695" t="str">
        <f t="shared" si="291"/>
        <v>19/11/2025</v>
      </c>
      <c r="B695" t="str">
        <f t="shared" si="294"/>
        <v>ENTRADA</v>
      </c>
      <c r="C695" t="str">
        <f t="shared" si="295"/>
        <v>NFSE</v>
      </c>
      <c r="D695" t="str">
        <f>"3829"</f>
        <v>3829</v>
      </c>
      <c r="E695" t="str">
        <f t="shared" si="292"/>
        <v>COM</v>
      </c>
      <c r="F695" t="str">
        <f>"ENTREFARMA (10164)"</f>
        <v>ENTREFARMA (10164)</v>
      </c>
      <c r="G695" t="str">
        <f>"Serv.Prest. 10/11/2025 a 16/11/2025 - RPS: 1592 - NFSe: 3829"</f>
        <v>Serv.Prest. 10/11/2025 a 16/11/2025 - RPS: 1592 - NFSe: 3829</v>
      </c>
      <c r="H695" t="str">
        <f t="shared" si="301"/>
        <v>19/11/2025</v>
      </c>
      <c r="I695" t="str">
        <f t="shared" si="303"/>
        <v>17/11/2025</v>
      </c>
      <c r="J695" t="str">
        <f t="shared" si="293"/>
        <v>19/11/2025</v>
      </c>
      <c r="K695">
        <v>1198.5</v>
      </c>
      <c r="L695">
        <v>1198.5</v>
      </c>
      <c r="M695">
        <v>303</v>
      </c>
      <c r="N695" t="str">
        <f t="shared" si="296"/>
        <v>RECEITAS COM ENTREGAS</v>
      </c>
      <c r="O695">
        <v>1198.5</v>
      </c>
      <c r="R695" t="str">
        <f t="shared" si="297"/>
        <v>RECEITAS COM ENTREGAS (303)</v>
      </c>
      <c r="S695">
        <v>3231</v>
      </c>
      <c r="T695">
        <v>2632</v>
      </c>
      <c r="U695" t="s">
        <v>21</v>
      </c>
    </row>
    <row r="696" spans="1:21">
      <c r="A696" t="str">
        <f t="shared" si="291"/>
        <v>19/11/2025</v>
      </c>
      <c r="B696" t="str">
        <f t="shared" si="294"/>
        <v>ENTRADA</v>
      </c>
      <c r="C696" t="str">
        <f t="shared" si="295"/>
        <v>NFSE</v>
      </c>
      <c r="D696" t="str">
        <f>"3829"</f>
        <v>3829</v>
      </c>
      <c r="E696" t="str">
        <f t="shared" si="292"/>
        <v>COM</v>
      </c>
      <c r="F696" t="str">
        <f>"ENTREFARMA (10164)"</f>
        <v>ENTREFARMA (10164)</v>
      </c>
      <c r="G696" t="str">
        <f>"Serv.Prest. 10/11/2025 a 16/11/2025 - RPS: 1592 - NFSe: 3829"</f>
        <v>Serv.Prest. 10/11/2025 a 16/11/2025 - RPS: 1592 - NFSe: 3829</v>
      </c>
      <c r="H696" t="str">
        <f t="shared" si="301"/>
        <v>19/11/2025</v>
      </c>
      <c r="I696" t="str">
        <f t="shared" si="303"/>
        <v>17/11/2025</v>
      </c>
      <c r="J696" t="str">
        <f t="shared" si="293"/>
        <v>19/11/2025</v>
      </c>
      <c r="M696">
        <v>303</v>
      </c>
      <c r="N696" t="str">
        <f t="shared" si="296"/>
        <v>RECEITAS COM ENTREGAS</v>
      </c>
      <c r="P696">
        <v>1198.5</v>
      </c>
      <c r="Q696" t="str">
        <f>"ENTREFARMA (10164)"</f>
        <v>ENTREFARMA (10164)</v>
      </c>
      <c r="R696" t="str">
        <f t="shared" si="297"/>
        <v>RECEITAS COM ENTREGAS (303)</v>
      </c>
      <c r="S696">
        <v>3231</v>
      </c>
      <c r="T696">
        <v>2632</v>
      </c>
      <c r="U696" t="s">
        <v>21</v>
      </c>
    </row>
    <row r="697" spans="1:21">
      <c r="A697" t="str">
        <f t="shared" si="291"/>
        <v>19/11/2025</v>
      </c>
      <c r="B697" t="str">
        <f t="shared" si="294"/>
        <v>ENTRADA</v>
      </c>
      <c r="C697" t="str">
        <f t="shared" si="295"/>
        <v>NFSE</v>
      </c>
      <c r="D697" t="str">
        <f t="shared" ref="D697:D702" si="304">"3830"</f>
        <v>3830</v>
      </c>
      <c r="E697" t="str">
        <f t="shared" si="292"/>
        <v>COM</v>
      </c>
      <c r="F697" t="str">
        <f t="shared" ref="F697:F702" si="305">"PENSE FARMA 08 (10217)"</f>
        <v>PENSE FARMA 08 (10217)</v>
      </c>
      <c r="G697" t="str">
        <f t="shared" ref="G697:G702" si="306">"Serv.Prest. 10/11/2025 a 16/11/2025 - RPS: 1593 - NFSe: 3830"</f>
        <v>Serv.Prest. 10/11/2025 a 16/11/2025 - RPS: 1593 - NFSe: 3830</v>
      </c>
      <c r="H697" t="str">
        <f t="shared" si="301"/>
        <v>19/11/2025</v>
      </c>
      <c r="I697" t="str">
        <f t="shared" si="303"/>
        <v>17/11/2025</v>
      </c>
      <c r="J697" t="str">
        <f t="shared" si="293"/>
        <v>19/11/2025</v>
      </c>
      <c r="K697">
        <v>589.5</v>
      </c>
      <c r="L697">
        <v>589.5</v>
      </c>
      <c r="M697">
        <v>303</v>
      </c>
      <c r="N697" t="str">
        <f t="shared" si="296"/>
        <v>RECEITAS COM ENTREGAS</v>
      </c>
      <c r="O697">
        <v>589.5</v>
      </c>
      <c r="R697" t="str">
        <f t="shared" si="297"/>
        <v>RECEITAS COM ENTREGAS (303)</v>
      </c>
      <c r="S697">
        <v>3232</v>
      </c>
      <c r="T697">
        <v>2633</v>
      </c>
      <c r="U697" t="s">
        <v>21</v>
      </c>
    </row>
    <row r="698" spans="1:21">
      <c r="A698" t="str">
        <f t="shared" si="291"/>
        <v>19/11/2025</v>
      </c>
      <c r="B698" t="str">
        <f t="shared" ref="B698:B729" si="307">"ENTRADA"</f>
        <v>ENTRADA</v>
      </c>
      <c r="C698" t="str">
        <f t="shared" ref="C698:C729" si="308">"NFSE"</f>
        <v>NFSE</v>
      </c>
      <c r="D698" t="str">
        <f t="shared" si="304"/>
        <v>3830</v>
      </c>
      <c r="E698" t="str">
        <f t="shared" si="292"/>
        <v>COM</v>
      </c>
      <c r="F698" t="str">
        <f t="shared" si="305"/>
        <v>PENSE FARMA 08 (10217)</v>
      </c>
      <c r="G698" t="str">
        <f t="shared" si="306"/>
        <v>Serv.Prest. 10/11/2025 a 16/11/2025 - RPS: 1593 - NFSe: 3830</v>
      </c>
      <c r="H698" t="str">
        <f t="shared" si="301"/>
        <v>19/11/2025</v>
      </c>
      <c r="I698" t="str">
        <f t="shared" si="303"/>
        <v>17/11/2025</v>
      </c>
      <c r="J698" t="str">
        <f t="shared" si="293"/>
        <v>19/11/2025</v>
      </c>
      <c r="M698">
        <v>303</v>
      </c>
      <c r="N698" t="str">
        <f t="shared" ref="N698:N729" si="309">"RECEITAS COM ENTREGAS"</f>
        <v>RECEITAS COM ENTREGAS</v>
      </c>
      <c r="P698">
        <v>117.9</v>
      </c>
      <c r="Q698" t="str">
        <f>"PENSE FARMA 08 (10217)"</f>
        <v>PENSE FARMA 08 (10217)</v>
      </c>
      <c r="R698" t="str">
        <f t="shared" ref="R698:R729" si="310">"RECEITAS COM ENTREGAS (303)"</f>
        <v>RECEITAS COM ENTREGAS (303)</v>
      </c>
      <c r="S698">
        <v>3232</v>
      </c>
      <c r="T698">
        <v>2633</v>
      </c>
      <c r="U698" t="s">
        <v>21</v>
      </c>
    </row>
    <row r="699" spans="1:21">
      <c r="A699" t="str">
        <f t="shared" si="291"/>
        <v>19/11/2025</v>
      </c>
      <c r="B699" t="str">
        <f t="shared" si="307"/>
        <v>ENTRADA</v>
      </c>
      <c r="C699" t="str">
        <f t="shared" si="308"/>
        <v>NFSE</v>
      </c>
      <c r="D699" t="str">
        <f t="shared" si="304"/>
        <v>3830</v>
      </c>
      <c r="E699" t="str">
        <f t="shared" si="292"/>
        <v>COM</v>
      </c>
      <c r="F699" t="str">
        <f t="shared" si="305"/>
        <v>PENSE FARMA 08 (10217)</v>
      </c>
      <c r="G699" t="str">
        <f t="shared" si="306"/>
        <v>Serv.Prest. 10/11/2025 a 16/11/2025 - RPS: 1593 - NFSe: 3830</v>
      </c>
      <c r="H699" t="str">
        <f t="shared" si="301"/>
        <v>19/11/2025</v>
      </c>
      <c r="I699" t="str">
        <f t="shared" si="303"/>
        <v>17/11/2025</v>
      </c>
      <c r="J699" t="str">
        <f t="shared" si="293"/>
        <v>19/11/2025</v>
      </c>
      <c r="M699">
        <v>303</v>
      </c>
      <c r="N699" t="str">
        <f t="shared" si="309"/>
        <v>RECEITAS COM ENTREGAS</v>
      </c>
      <c r="P699">
        <v>117.9</v>
      </c>
      <c r="Q699" t="str">
        <f>"PENSE FARMA 11 (10220)"</f>
        <v>PENSE FARMA 11 (10220)</v>
      </c>
      <c r="R699" t="str">
        <f t="shared" si="310"/>
        <v>RECEITAS COM ENTREGAS (303)</v>
      </c>
      <c r="S699">
        <v>3232</v>
      </c>
      <c r="T699">
        <v>2633</v>
      </c>
      <c r="U699" t="s">
        <v>21</v>
      </c>
    </row>
    <row r="700" spans="1:21">
      <c r="A700" t="str">
        <f t="shared" si="291"/>
        <v>19/11/2025</v>
      </c>
      <c r="B700" t="str">
        <f t="shared" si="307"/>
        <v>ENTRADA</v>
      </c>
      <c r="C700" t="str">
        <f t="shared" si="308"/>
        <v>NFSE</v>
      </c>
      <c r="D700" t="str">
        <f t="shared" si="304"/>
        <v>3830</v>
      </c>
      <c r="E700" t="str">
        <f t="shared" si="292"/>
        <v>COM</v>
      </c>
      <c r="F700" t="str">
        <f t="shared" si="305"/>
        <v>PENSE FARMA 08 (10217)</v>
      </c>
      <c r="G700" t="str">
        <f t="shared" si="306"/>
        <v>Serv.Prest. 10/11/2025 a 16/11/2025 - RPS: 1593 - NFSe: 3830</v>
      </c>
      <c r="H700" t="str">
        <f t="shared" si="301"/>
        <v>19/11/2025</v>
      </c>
      <c r="I700" t="str">
        <f t="shared" si="303"/>
        <v>17/11/2025</v>
      </c>
      <c r="J700" t="str">
        <f t="shared" si="293"/>
        <v>19/11/2025</v>
      </c>
      <c r="M700">
        <v>303</v>
      </c>
      <c r="N700" t="str">
        <f t="shared" si="309"/>
        <v>RECEITAS COM ENTREGAS</v>
      </c>
      <c r="P700">
        <v>117.9</v>
      </c>
      <c r="Q700" t="str">
        <f>"PENSE FARMA 41 (10229)"</f>
        <v>PENSE FARMA 41 (10229)</v>
      </c>
      <c r="R700" t="str">
        <f t="shared" si="310"/>
        <v>RECEITAS COM ENTREGAS (303)</v>
      </c>
      <c r="S700">
        <v>3232</v>
      </c>
      <c r="T700">
        <v>2633</v>
      </c>
      <c r="U700" t="s">
        <v>21</v>
      </c>
    </row>
    <row r="701" spans="1:21">
      <c r="A701" t="str">
        <f t="shared" si="291"/>
        <v>19/11/2025</v>
      </c>
      <c r="B701" t="str">
        <f t="shared" si="307"/>
        <v>ENTRADA</v>
      </c>
      <c r="C701" t="str">
        <f t="shared" si="308"/>
        <v>NFSE</v>
      </c>
      <c r="D701" t="str">
        <f t="shared" si="304"/>
        <v>3830</v>
      </c>
      <c r="E701" t="str">
        <f t="shared" si="292"/>
        <v>COM</v>
      </c>
      <c r="F701" t="str">
        <f t="shared" si="305"/>
        <v>PENSE FARMA 08 (10217)</v>
      </c>
      <c r="G701" t="str">
        <f t="shared" si="306"/>
        <v>Serv.Prest. 10/11/2025 a 16/11/2025 - RPS: 1593 - NFSe: 3830</v>
      </c>
      <c r="H701" t="str">
        <f t="shared" ref="H701:H732" si="311">("19/11/2025")</f>
        <v>19/11/2025</v>
      </c>
      <c r="I701" t="str">
        <f t="shared" si="303"/>
        <v>17/11/2025</v>
      </c>
      <c r="J701" t="str">
        <f t="shared" si="293"/>
        <v>19/11/2025</v>
      </c>
      <c r="M701">
        <v>303</v>
      </c>
      <c r="N701" t="str">
        <f t="shared" si="309"/>
        <v>RECEITAS COM ENTREGAS</v>
      </c>
      <c r="P701">
        <v>117.9</v>
      </c>
      <c r="Q701" t="str">
        <f>"PENSE FARMA 42 (10230)"</f>
        <v>PENSE FARMA 42 (10230)</v>
      </c>
      <c r="R701" t="str">
        <f t="shared" si="310"/>
        <v>RECEITAS COM ENTREGAS (303)</v>
      </c>
      <c r="S701">
        <v>3232</v>
      </c>
      <c r="T701">
        <v>2633</v>
      </c>
      <c r="U701" t="s">
        <v>21</v>
      </c>
    </row>
    <row r="702" spans="1:21">
      <c r="A702" t="str">
        <f t="shared" si="291"/>
        <v>19/11/2025</v>
      </c>
      <c r="B702" t="str">
        <f t="shared" si="307"/>
        <v>ENTRADA</v>
      </c>
      <c r="C702" t="str">
        <f t="shared" si="308"/>
        <v>NFSE</v>
      </c>
      <c r="D702" t="str">
        <f t="shared" si="304"/>
        <v>3830</v>
      </c>
      <c r="E702" t="str">
        <f t="shared" si="292"/>
        <v>COM</v>
      </c>
      <c r="F702" t="str">
        <f t="shared" si="305"/>
        <v>PENSE FARMA 08 (10217)</v>
      </c>
      <c r="G702" t="str">
        <f t="shared" si="306"/>
        <v>Serv.Prest. 10/11/2025 a 16/11/2025 - RPS: 1593 - NFSe: 3830</v>
      </c>
      <c r="H702" t="str">
        <f t="shared" si="311"/>
        <v>19/11/2025</v>
      </c>
      <c r="I702" t="str">
        <f t="shared" si="303"/>
        <v>17/11/2025</v>
      </c>
      <c r="J702" t="str">
        <f t="shared" si="293"/>
        <v>19/11/2025</v>
      </c>
      <c r="M702">
        <v>303</v>
      </c>
      <c r="N702" t="str">
        <f t="shared" si="309"/>
        <v>RECEITAS COM ENTREGAS</v>
      </c>
      <c r="P702">
        <v>117.9</v>
      </c>
      <c r="Q702" t="str">
        <f>"PENSE FARMA 52 (10236)"</f>
        <v>PENSE FARMA 52 (10236)</v>
      </c>
      <c r="R702" t="str">
        <f t="shared" si="310"/>
        <v>RECEITAS COM ENTREGAS (303)</v>
      </c>
      <c r="S702">
        <v>3232</v>
      </c>
      <c r="T702">
        <v>2633</v>
      </c>
      <c r="U702" t="s">
        <v>21</v>
      </c>
    </row>
    <row r="703" spans="1:21">
      <c r="A703" t="str">
        <f t="shared" si="291"/>
        <v>19/11/2025</v>
      </c>
      <c r="B703" t="str">
        <f t="shared" si="307"/>
        <v>ENTRADA</v>
      </c>
      <c r="C703" t="str">
        <f t="shared" si="308"/>
        <v>NFSE</v>
      </c>
      <c r="D703" t="str">
        <f>"3832"</f>
        <v>3832</v>
      </c>
      <c r="E703" t="str">
        <f t="shared" si="292"/>
        <v>COM</v>
      </c>
      <c r="F703" t="str">
        <f>"PENSE FARMA 09 (10218)"</f>
        <v>PENSE FARMA 09 (10218)</v>
      </c>
      <c r="G703" t="str">
        <f>"Serv.Prest. 10/11/2025 a 16/11/2025 - RPS: 1595 - NFSe: 3832"</f>
        <v>Serv.Prest. 10/11/2025 a 16/11/2025 - RPS: 1595 - NFSe: 3832</v>
      </c>
      <c r="H703" t="str">
        <f t="shared" si="311"/>
        <v>19/11/2025</v>
      </c>
      <c r="I703" t="str">
        <f t="shared" si="303"/>
        <v>17/11/2025</v>
      </c>
      <c r="J703" t="str">
        <f t="shared" si="293"/>
        <v>19/11/2025</v>
      </c>
      <c r="K703">
        <v>336.54</v>
      </c>
      <c r="L703">
        <v>336.54</v>
      </c>
      <c r="M703">
        <v>303</v>
      </c>
      <c r="N703" t="str">
        <f t="shared" si="309"/>
        <v>RECEITAS COM ENTREGAS</v>
      </c>
      <c r="O703">
        <v>336.54</v>
      </c>
      <c r="R703" t="str">
        <f t="shared" si="310"/>
        <v>RECEITAS COM ENTREGAS (303)</v>
      </c>
      <c r="S703">
        <v>3233</v>
      </c>
      <c r="T703">
        <v>2635</v>
      </c>
      <c r="U703" t="s">
        <v>21</v>
      </c>
    </row>
    <row r="704" spans="1:21">
      <c r="A704" t="str">
        <f t="shared" si="291"/>
        <v>19/11/2025</v>
      </c>
      <c r="B704" t="str">
        <f t="shared" si="307"/>
        <v>ENTRADA</v>
      </c>
      <c r="C704" t="str">
        <f t="shared" si="308"/>
        <v>NFSE</v>
      </c>
      <c r="D704" t="str">
        <f>"3832"</f>
        <v>3832</v>
      </c>
      <c r="E704" t="str">
        <f t="shared" si="292"/>
        <v>COM</v>
      </c>
      <c r="F704" t="str">
        <f>"PENSE FARMA 09 (10218)"</f>
        <v>PENSE FARMA 09 (10218)</v>
      </c>
      <c r="G704" t="str">
        <f>"Serv.Prest. 10/11/2025 a 16/11/2025 - RPS: 1595 - NFSe: 3832"</f>
        <v>Serv.Prest. 10/11/2025 a 16/11/2025 - RPS: 1595 - NFSe: 3832</v>
      </c>
      <c r="H704" t="str">
        <f t="shared" si="311"/>
        <v>19/11/2025</v>
      </c>
      <c r="I704" t="str">
        <f t="shared" si="303"/>
        <v>17/11/2025</v>
      </c>
      <c r="J704" t="str">
        <f t="shared" si="293"/>
        <v>19/11/2025</v>
      </c>
      <c r="M704">
        <v>303</v>
      </c>
      <c r="N704" t="str">
        <f t="shared" si="309"/>
        <v>RECEITAS COM ENTREGAS</v>
      </c>
      <c r="P704">
        <v>168.27</v>
      </c>
      <c r="Q704" t="str">
        <f>"PENSE FARMA 09 (10218)"</f>
        <v>PENSE FARMA 09 (10218)</v>
      </c>
      <c r="R704" t="str">
        <f t="shared" si="310"/>
        <v>RECEITAS COM ENTREGAS (303)</v>
      </c>
      <c r="S704">
        <v>3233</v>
      </c>
      <c r="T704">
        <v>2635</v>
      </c>
      <c r="U704" t="s">
        <v>21</v>
      </c>
    </row>
    <row r="705" spans="1:21">
      <c r="A705" t="str">
        <f t="shared" si="291"/>
        <v>19/11/2025</v>
      </c>
      <c r="B705" t="str">
        <f t="shared" si="307"/>
        <v>ENTRADA</v>
      </c>
      <c r="C705" t="str">
        <f t="shared" si="308"/>
        <v>NFSE</v>
      </c>
      <c r="D705" t="str">
        <f>"3832"</f>
        <v>3832</v>
      </c>
      <c r="E705" t="str">
        <f t="shared" si="292"/>
        <v>COM</v>
      </c>
      <c r="F705" t="str">
        <f>"PENSE FARMA 09 (10218)"</f>
        <v>PENSE FARMA 09 (10218)</v>
      </c>
      <c r="G705" t="str">
        <f>"Serv.Prest. 10/11/2025 a 16/11/2025 - RPS: 1595 - NFSe: 3832"</f>
        <v>Serv.Prest. 10/11/2025 a 16/11/2025 - RPS: 1595 - NFSe: 3832</v>
      </c>
      <c r="H705" t="str">
        <f t="shared" si="311"/>
        <v>19/11/2025</v>
      </c>
      <c r="I705" t="str">
        <f t="shared" si="303"/>
        <v>17/11/2025</v>
      </c>
      <c r="J705" t="str">
        <f t="shared" si="293"/>
        <v>19/11/2025</v>
      </c>
      <c r="M705">
        <v>303</v>
      </c>
      <c r="N705" t="str">
        <f t="shared" si="309"/>
        <v>RECEITAS COM ENTREGAS</v>
      </c>
      <c r="P705">
        <v>168.27</v>
      </c>
      <c r="Q705" t="str">
        <f>"PENSE FARMA 10 (10219)"</f>
        <v>PENSE FARMA 10 (10219)</v>
      </c>
      <c r="R705" t="str">
        <f t="shared" si="310"/>
        <v>RECEITAS COM ENTREGAS (303)</v>
      </c>
      <c r="S705">
        <v>3233</v>
      </c>
      <c r="T705">
        <v>2635</v>
      </c>
      <c r="U705" t="s">
        <v>21</v>
      </c>
    </row>
    <row r="706" spans="1:21">
      <c r="A706" t="str">
        <f t="shared" si="291"/>
        <v>19/11/2025</v>
      </c>
      <c r="B706" t="str">
        <f t="shared" si="307"/>
        <v>ENTRADA</v>
      </c>
      <c r="C706" t="str">
        <f t="shared" si="308"/>
        <v>NFSE</v>
      </c>
      <c r="D706" t="str">
        <f>"3833"</f>
        <v>3833</v>
      </c>
      <c r="E706" t="str">
        <f t="shared" si="292"/>
        <v>COM</v>
      </c>
      <c r="F706" t="str">
        <f>"FRAN FARMA (10124)"</f>
        <v>FRAN FARMA (10124)</v>
      </c>
      <c r="G706" t="str">
        <f>"Serv.Prest. 10/11/2025 a 16/11/2025 - RPS: 1596 - NFSe: 3833"</f>
        <v>Serv.Prest. 10/11/2025 a 16/11/2025 - RPS: 1596 - NFSe: 3833</v>
      </c>
      <c r="H706" t="str">
        <f t="shared" si="311"/>
        <v>19/11/2025</v>
      </c>
      <c r="I706" t="str">
        <f t="shared" si="303"/>
        <v>17/11/2025</v>
      </c>
      <c r="J706" t="str">
        <f t="shared" si="293"/>
        <v>19/11/2025</v>
      </c>
      <c r="K706">
        <v>160</v>
      </c>
      <c r="L706">
        <v>160</v>
      </c>
      <c r="M706">
        <v>303</v>
      </c>
      <c r="N706" t="str">
        <f t="shared" si="309"/>
        <v>RECEITAS COM ENTREGAS</v>
      </c>
      <c r="O706">
        <v>160</v>
      </c>
      <c r="R706" t="str">
        <f t="shared" si="310"/>
        <v>RECEITAS COM ENTREGAS (303)</v>
      </c>
      <c r="S706">
        <v>3234</v>
      </c>
      <c r="T706">
        <v>2636</v>
      </c>
      <c r="U706" t="s">
        <v>21</v>
      </c>
    </row>
    <row r="707" spans="1:21">
      <c r="A707" t="str">
        <f t="shared" si="291"/>
        <v>19/11/2025</v>
      </c>
      <c r="B707" t="str">
        <f t="shared" si="307"/>
        <v>ENTRADA</v>
      </c>
      <c r="C707" t="str">
        <f t="shared" si="308"/>
        <v>NFSE</v>
      </c>
      <c r="D707" t="str">
        <f>"3833"</f>
        <v>3833</v>
      </c>
      <c r="E707" t="str">
        <f t="shared" si="292"/>
        <v>COM</v>
      </c>
      <c r="F707" t="str">
        <f>"FRAN FARMA (10124)"</f>
        <v>FRAN FARMA (10124)</v>
      </c>
      <c r="G707" t="str">
        <f>"Serv.Prest. 10/11/2025 a 16/11/2025 - RPS: 1596 - NFSe: 3833"</f>
        <v>Serv.Prest. 10/11/2025 a 16/11/2025 - RPS: 1596 - NFSe: 3833</v>
      </c>
      <c r="H707" t="str">
        <f t="shared" si="311"/>
        <v>19/11/2025</v>
      </c>
      <c r="I707" t="str">
        <f t="shared" si="303"/>
        <v>17/11/2025</v>
      </c>
      <c r="J707" t="str">
        <f t="shared" si="293"/>
        <v>19/11/2025</v>
      </c>
      <c r="M707">
        <v>303</v>
      </c>
      <c r="N707" t="str">
        <f t="shared" si="309"/>
        <v>RECEITAS COM ENTREGAS</v>
      </c>
      <c r="P707">
        <v>96</v>
      </c>
      <c r="Q707" t="str">
        <f>"FRAN FARMA LJ 2 (10131)"</f>
        <v>FRAN FARMA LJ 2 (10131)</v>
      </c>
      <c r="R707" t="str">
        <f t="shared" si="310"/>
        <v>RECEITAS COM ENTREGAS (303)</v>
      </c>
      <c r="S707">
        <v>3234</v>
      </c>
      <c r="T707">
        <v>2636</v>
      </c>
      <c r="U707" t="s">
        <v>21</v>
      </c>
    </row>
    <row r="708" spans="1:21">
      <c r="A708" t="str">
        <f t="shared" si="291"/>
        <v>19/11/2025</v>
      </c>
      <c r="B708" t="str">
        <f t="shared" si="307"/>
        <v>ENTRADA</v>
      </c>
      <c r="C708" t="str">
        <f t="shared" si="308"/>
        <v>NFSE</v>
      </c>
      <c r="D708" t="str">
        <f>"3833"</f>
        <v>3833</v>
      </c>
      <c r="E708" t="str">
        <f t="shared" si="292"/>
        <v>COM</v>
      </c>
      <c r="F708" t="str">
        <f>"FRAN FARMA (10124)"</f>
        <v>FRAN FARMA (10124)</v>
      </c>
      <c r="G708" t="str">
        <f>"Serv.Prest. 10/11/2025 a 16/11/2025 - RPS: 1596 - NFSe: 3833"</f>
        <v>Serv.Prest. 10/11/2025 a 16/11/2025 - RPS: 1596 - NFSe: 3833</v>
      </c>
      <c r="H708" t="str">
        <f t="shared" si="311"/>
        <v>19/11/2025</v>
      </c>
      <c r="I708" t="str">
        <f t="shared" si="303"/>
        <v>17/11/2025</v>
      </c>
      <c r="J708" t="str">
        <f t="shared" si="293"/>
        <v>19/11/2025</v>
      </c>
      <c r="M708">
        <v>303</v>
      </c>
      <c r="N708" t="str">
        <f t="shared" si="309"/>
        <v>RECEITAS COM ENTREGAS</v>
      </c>
      <c r="P708">
        <v>64</v>
      </c>
      <c r="Q708" t="str">
        <f>"FRAN FARMA LJ 3 (10132)"</f>
        <v>FRAN FARMA LJ 3 (10132)</v>
      </c>
      <c r="R708" t="str">
        <f t="shared" si="310"/>
        <v>RECEITAS COM ENTREGAS (303)</v>
      </c>
      <c r="S708">
        <v>3234</v>
      </c>
      <c r="T708">
        <v>2636</v>
      </c>
      <c r="U708" t="s">
        <v>21</v>
      </c>
    </row>
    <row r="709" spans="1:21">
      <c r="A709" t="str">
        <f t="shared" si="291"/>
        <v>19/11/2025</v>
      </c>
      <c r="B709" t="str">
        <f t="shared" si="307"/>
        <v>ENTRADA</v>
      </c>
      <c r="C709" t="str">
        <f t="shared" si="308"/>
        <v>NFSE</v>
      </c>
      <c r="D709" t="str">
        <f>"3834"</f>
        <v>3834</v>
      </c>
      <c r="E709" t="str">
        <f t="shared" si="292"/>
        <v>COM</v>
      </c>
      <c r="F709" t="str">
        <f>"PENSE FARMA 15 (10195)"</f>
        <v>PENSE FARMA 15 (10195)</v>
      </c>
      <c r="G709" t="str">
        <f>"Serv.Prest. 10/11/2025 a 16/11/2025 - RPS: 1597 - NFSe: 3834"</f>
        <v>Serv.Prest. 10/11/2025 a 16/11/2025 - RPS: 1597 - NFSe: 3834</v>
      </c>
      <c r="H709" t="str">
        <f t="shared" si="311"/>
        <v>19/11/2025</v>
      </c>
      <c r="I709" t="str">
        <f t="shared" si="303"/>
        <v>17/11/2025</v>
      </c>
      <c r="J709" t="str">
        <f t="shared" si="293"/>
        <v>19/11/2025</v>
      </c>
      <c r="K709">
        <v>642</v>
      </c>
      <c r="L709">
        <v>642</v>
      </c>
      <c r="M709">
        <v>303</v>
      </c>
      <c r="N709" t="str">
        <f t="shared" si="309"/>
        <v>RECEITAS COM ENTREGAS</v>
      </c>
      <c r="O709">
        <v>642</v>
      </c>
      <c r="R709" t="str">
        <f t="shared" si="310"/>
        <v>RECEITAS COM ENTREGAS (303)</v>
      </c>
      <c r="S709">
        <v>3235</v>
      </c>
      <c r="T709">
        <v>2637</v>
      </c>
      <c r="U709" t="s">
        <v>21</v>
      </c>
    </row>
    <row r="710" spans="1:21">
      <c r="A710" t="str">
        <f t="shared" si="291"/>
        <v>19/11/2025</v>
      </c>
      <c r="B710" t="str">
        <f t="shared" si="307"/>
        <v>ENTRADA</v>
      </c>
      <c r="C710" t="str">
        <f t="shared" si="308"/>
        <v>NFSE</v>
      </c>
      <c r="D710" t="str">
        <f>"3834"</f>
        <v>3834</v>
      </c>
      <c r="E710" t="str">
        <f t="shared" si="292"/>
        <v>COM</v>
      </c>
      <c r="F710" t="str">
        <f>"PENSE FARMA 15 (10195)"</f>
        <v>PENSE FARMA 15 (10195)</v>
      </c>
      <c r="G710" t="str">
        <f>"Serv.Prest. 10/11/2025 a 16/11/2025 - RPS: 1597 - NFSe: 3834"</f>
        <v>Serv.Prest. 10/11/2025 a 16/11/2025 - RPS: 1597 - NFSe: 3834</v>
      </c>
      <c r="H710" t="str">
        <f t="shared" si="311"/>
        <v>19/11/2025</v>
      </c>
      <c r="I710" t="str">
        <f t="shared" si="303"/>
        <v>17/11/2025</v>
      </c>
      <c r="J710" t="str">
        <f t="shared" si="293"/>
        <v>19/11/2025</v>
      </c>
      <c r="M710">
        <v>303</v>
      </c>
      <c r="N710" t="str">
        <f t="shared" si="309"/>
        <v>RECEITAS COM ENTREGAS</v>
      </c>
      <c r="P710">
        <v>160.5</v>
      </c>
      <c r="Q710" t="str">
        <f>"PENSE FARMA 15 (10195)"</f>
        <v>PENSE FARMA 15 (10195)</v>
      </c>
      <c r="R710" t="str">
        <f t="shared" si="310"/>
        <v>RECEITAS COM ENTREGAS (303)</v>
      </c>
      <c r="S710">
        <v>3235</v>
      </c>
      <c r="T710">
        <v>2637</v>
      </c>
      <c r="U710" t="s">
        <v>21</v>
      </c>
    </row>
    <row r="711" spans="1:21">
      <c r="A711" t="str">
        <f t="shared" si="291"/>
        <v>19/11/2025</v>
      </c>
      <c r="B711" t="str">
        <f t="shared" si="307"/>
        <v>ENTRADA</v>
      </c>
      <c r="C711" t="str">
        <f t="shared" si="308"/>
        <v>NFSE</v>
      </c>
      <c r="D711" t="str">
        <f>"3834"</f>
        <v>3834</v>
      </c>
      <c r="E711" t="str">
        <f t="shared" si="292"/>
        <v>COM</v>
      </c>
      <c r="F711" t="str">
        <f>"PENSE FARMA 15 (10195)"</f>
        <v>PENSE FARMA 15 (10195)</v>
      </c>
      <c r="G711" t="str">
        <f>"Serv.Prest. 10/11/2025 a 16/11/2025 - RPS: 1597 - NFSe: 3834"</f>
        <v>Serv.Prest. 10/11/2025 a 16/11/2025 - RPS: 1597 - NFSe: 3834</v>
      </c>
      <c r="H711" t="str">
        <f t="shared" si="311"/>
        <v>19/11/2025</v>
      </c>
      <c r="I711" t="str">
        <f t="shared" si="303"/>
        <v>17/11/2025</v>
      </c>
      <c r="J711" t="str">
        <f t="shared" si="293"/>
        <v>19/11/2025</v>
      </c>
      <c r="M711">
        <v>303</v>
      </c>
      <c r="N711" t="str">
        <f t="shared" si="309"/>
        <v>RECEITAS COM ENTREGAS</v>
      </c>
      <c r="P711">
        <v>160.5</v>
      </c>
      <c r="Q711" t="str">
        <f>"PENSE FARMA 26 (10196)"</f>
        <v>PENSE FARMA 26 (10196)</v>
      </c>
      <c r="R711" t="str">
        <f t="shared" si="310"/>
        <v>RECEITAS COM ENTREGAS (303)</v>
      </c>
      <c r="S711">
        <v>3235</v>
      </c>
      <c r="T711">
        <v>2637</v>
      </c>
      <c r="U711" t="s">
        <v>21</v>
      </c>
    </row>
    <row r="712" spans="1:21">
      <c r="A712" t="str">
        <f t="shared" si="291"/>
        <v>19/11/2025</v>
      </c>
      <c r="B712" t="str">
        <f t="shared" si="307"/>
        <v>ENTRADA</v>
      </c>
      <c r="C712" t="str">
        <f t="shared" si="308"/>
        <v>NFSE</v>
      </c>
      <c r="D712" t="str">
        <f>"3834"</f>
        <v>3834</v>
      </c>
      <c r="E712" t="str">
        <f t="shared" si="292"/>
        <v>COM</v>
      </c>
      <c r="F712" t="str">
        <f>"PENSE FARMA 15 (10195)"</f>
        <v>PENSE FARMA 15 (10195)</v>
      </c>
      <c r="G712" t="str">
        <f>"Serv.Prest. 10/11/2025 a 16/11/2025 - RPS: 1597 - NFSe: 3834"</f>
        <v>Serv.Prest. 10/11/2025 a 16/11/2025 - RPS: 1597 - NFSe: 3834</v>
      </c>
      <c r="H712" t="str">
        <f t="shared" si="311"/>
        <v>19/11/2025</v>
      </c>
      <c r="I712" t="str">
        <f t="shared" ref="I712:I728" si="312">("17/11/2025")</f>
        <v>17/11/2025</v>
      </c>
      <c r="J712" t="str">
        <f t="shared" si="293"/>
        <v>19/11/2025</v>
      </c>
      <c r="M712">
        <v>303</v>
      </c>
      <c r="N712" t="str">
        <f t="shared" si="309"/>
        <v>RECEITAS COM ENTREGAS</v>
      </c>
      <c r="P712">
        <v>160.5</v>
      </c>
      <c r="Q712" t="str">
        <f>"PENSE FARMA 60 (10197)"</f>
        <v>PENSE FARMA 60 (10197)</v>
      </c>
      <c r="R712" t="str">
        <f t="shared" si="310"/>
        <v>RECEITAS COM ENTREGAS (303)</v>
      </c>
      <c r="S712">
        <v>3235</v>
      </c>
      <c r="T712">
        <v>2637</v>
      </c>
      <c r="U712" t="s">
        <v>21</v>
      </c>
    </row>
    <row r="713" spans="1:21">
      <c r="A713" t="str">
        <f t="shared" si="291"/>
        <v>19/11/2025</v>
      </c>
      <c r="B713" t="str">
        <f t="shared" si="307"/>
        <v>ENTRADA</v>
      </c>
      <c r="C713" t="str">
        <f t="shared" si="308"/>
        <v>NFSE</v>
      </c>
      <c r="D713" t="str">
        <f>"3834"</f>
        <v>3834</v>
      </c>
      <c r="E713" t="str">
        <f t="shared" si="292"/>
        <v>COM</v>
      </c>
      <c r="F713" t="str">
        <f>"PENSE FARMA 15 (10195)"</f>
        <v>PENSE FARMA 15 (10195)</v>
      </c>
      <c r="G713" t="str">
        <f>"Serv.Prest. 10/11/2025 a 16/11/2025 - RPS: 1597 - NFSe: 3834"</f>
        <v>Serv.Prest. 10/11/2025 a 16/11/2025 - RPS: 1597 - NFSe: 3834</v>
      </c>
      <c r="H713" t="str">
        <f t="shared" si="311"/>
        <v>19/11/2025</v>
      </c>
      <c r="I713" t="str">
        <f t="shared" si="312"/>
        <v>17/11/2025</v>
      </c>
      <c r="J713" t="str">
        <f t="shared" si="293"/>
        <v>19/11/2025</v>
      </c>
      <c r="M713">
        <v>303</v>
      </c>
      <c r="N713" t="str">
        <f t="shared" si="309"/>
        <v>RECEITAS COM ENTREGAS</v>
      </c>
      <c r="P713">
        <v>160.5</v>
      </c>
      <c r="Q713" t="str">
        <f>"PENSE FARMA 61 (10243)"</f>
        <v>PENSE FARMA 61 (10243)</v>
      </c>
      <c r="R713" t="str">
        <f t="shared" si="310"/>
        <v>RECEITAS COM ENTREGAS (303)</v>
      </c>
      <c r="S713">
        <v>3235</v>
      </c>
      <c r="T713">
        <v>2637</v>
      </c>
      <c r="U713" t="s">
        <v>21</v>
      </c>
    </row>
    <row r="714" spans="1:21">
      <c r="A714" t="str">
        <f t="shared" si="291"/>
        <v>19/11/2025</v>
      </c>
      <c r="B714" t="str">
        <f t="shared" si="307"/>
        <v>ENTRADA</v>
      </c>
      <c r="C714" t="str">
        <f t="shared" si="308"/>
        <v>NFSE</v>
      </c>
      <c r="D714" t="str">
        <f t="shared" ref="D714:D720" si="313">"3837"</f>
        <v>3837</v>
      </c>
      <c r="E714" t="str">
        <f t="shared" si="292"/>
        <v>COM</v>
      </c>
      <c r="F714" t="str">
        <f t="shared" ref="F714:F720" si="314">"PENSE FARMA 36 (10206)"</f>
        <v>PENSE FARMA 36 (10206)</v>
      </c>
      <c r="G714" t="str">
        <f t="shared" ref="G714:G720" si="315">"Serv.Prest. 10/11/2025 a 16/11/2025 - RPS: 1600 - NFSe: 3837"</f>
        <v>Serv.Prest. 10/11/2025 a 16/11/2025 - RPS: 1600 - NFSe: 3837</v>
      </c>
      <c r="H714" t="str">
        <f t="shared" si="311"/>
        <v>19/11/2025</v>
      </c>
      <c r="I714" t="str">
        <f t="shared" si="312"/>
        <v>17/11/2025</v>
      </c>
      <c r="J714" t="str">
        <f t="shared" si="293"/>
        <v>19/11/2025</v>
      </c>
      <c r="K714">
        <v>894.35</v>
      </c>
      <c r="L714">
        <v>894.35</v>
      </c>
      <c r="M714">
        <v>303</v>
      </c>
      <c r="N714" t="str">
        <f t="shared" si="309"/>
        <v>RECEITAS COM ENTREGAS</v>
      </c>
      <c r="O714">
        <v>894.35</v>
      </c>
      <c r="R714" t="str">
        <f t="shared" si="310"/>
        <v>RECEITAS COM ENTREGAS (303)</v>
      </c>
      <c r="S714">
        <v>3236</v>
      </c>
      <c r="T714">
        <v>2640</v>
      </c>
      <c r="U714" t="s">
        <v>21</v>
      </c>
    </row>
    <row r="715" spans="1:21">
      <c r="A715" t="str">
        <f t="shared" si="291"/>
        <v>19/11/2025</v>
      </c>
      <c r="B715" t="str">
        <f t="shared" si="307"/>
        <v>ENTRADA</v>
      </c>
      <c r="C715" t="str">
        <f t="shared" si="308"/>
        <v>NFSE</v>
      </c>
      <c r="D715" t="str">
        <f t="shared" si="313"/>
        <v>3837</v>
      </c>
      <c r="E715" t="str">
        <f t="shared" si="292"/>
        <v>COM</v>
      </c>
      <c r="F715" t="str">
        <f t="shared" si="314"/>
        <v>PENSE FARMA 36 (10206)</v>
      </c>
      <c r="G715" t="str">
        <f t="shared" si="315"/>
        <v>Serv.Prest. 10/11/2025 a 16/11/2025 - RPS: 1600 - NFSe: 3837</v>
      </c>
      <c r="H715" t="str">
        <f t="shared" si="311"/>
        <v>19/11/2025</v>
      </c>
      <c r="I715" t="str">
        <f t="shared" si="312"/>
        <v>17/11/2025</v>
      </c>
      <c r="J715" t="str">
        <f t="shared" si="293"/>
        <v>19/11/2025</v>
      </c>
      <c r="M715">
        <v>303</v>
      </c>
      <c r="N715" t="str">
        <f t="shared" si="309"/>
        <v>RECEITAS COM ENTREGAS</v>
      </c>
      <c r="P715">
        <v>148.30000000000001</v>
      </c>
      <c r="Q715" t="str">
        <f>"PENSE FARMA 20 (10203)"</f>
        <v>PENSE FARMA 20 (10203)</v>
      </c>
      <c r="R715" t="str">
        <f t="shared" si="310"/>
        <v>RECEITAS COM ENTREGAS (303)</v>
      </c>
      <c r="S715">
        <v>3236</v>
      </c>
      <c r="T715">
        <v>2640</v>
      </c>
      <c r="U715" t="s">
        <v>21</v>
      </c>
    </row>
    <row r="716" spans="1:21">
      <c r="A716" t="str">
        <f t="shared" si="291"/>
        <v>19/11/2025</v>
      </c>
      <c r="B716" t="str">
        <f t="shared" si="307"/>
        <v>ENTRADA</v>
      </c>
      <c r="C716" t="str">
        <f t="shared" si="308"/>
        <v>NFSE</v>
      </c>
      <c r="D716" t="str">
        <f t="shared" si="313"/>
        <v>3837</v>
      </c>
      <c r="E716" t="str">
        <f t="shared" si="292"/>
        <v>COM</v>
      </c>
      <c r="F716" t="str">
        <f t="shared" si="314"/>
        <v>PENSE FARMA 36 (10206)</v>
      </c>
      <c r="G716" t="str">
        <f t="shared" si="315"/>
        <v>Serv.Prest. 10/11/2025 a 16/11/2025 - RPS: 1600 - NFSe: 3837</v>
      </c>
      <c r="H716" t="str">
        <f t="shared" si="311"/>
        <v>19/11/2025</v>
      </c>
      <c r="I716" t="str">
        <f t="shared" si="312"/>
        <v>17/11/2025</v>
      </c>
      <c r="J716" t="str">
        <f t="shared" si="293"/>
        <v>19/11/2025</v>
      </c>
      <c r="M716">
        <v>303</v>
      </c>
      <c r="N716" t="str">
        <f t="shared" si="309"/>
        <v>RECEITAS COM ENTREGAS</v>
      </c>
      <c r="P716">
        <v>148.28</v>
      </c>
      <c r="Q716" t="str">
        <f>"PENSE FARMA 36 (10206)"</f>
        <v>PENSE FARMA 36 (10206)</v>
      </c>
      <c r="R716" t="str">
        <f t="shared" si="310"/>
        <v>RECEITAS COM ENTREGAS (303)</v>
      </c>
      <c r="S716">
        <v>3236</v>
      </c>
      <c r="T716">
        <v>2640</v>
      </c>
      <c r="U716" t="s">
        <v>21</v>
      </c>
    </row>
    <row r="717" spans="1:21">
      <c r="A717" t="str">
        <f t="shared" si="291"/>
        <v>19/11/2025</v>
      </c>
      <c r="B717" t="str">
        <f t="shared" si="307"/>
        <v>ENTRADA</v>
      </c>
      <c r="C717" t="str">
        <f t="shared" si="308"/>
        <v>NFSE</v>
      </c>
      <c r="D717" t="str">
        <f t="shared" si="313"/>
        <v>3837</v>
      </c>
      <c r="E717" t="str">
        <f t="shared" si="292"/>
        <v>COM</v>
      </c>
      <c r="F717" t="str">
        <f t="shared" si="314"/>
        <v>PENSE FARMA 36 (10206)</v>
      </c>
      <c r="G717" t="str">
        <f t="shared" si="315"/>
        <v>Serv.Prest. 10/11/2025 a 16/11/2025 - RPS: 1600 - NFSe: 3837</v>
      </c>
      <c r="H717" t="str">
        <f t="shared" si="311"/>
        <v>19/11/2025</v>
      </c>
      <c r="I717" t="str">
        <f t="shared" si="312"/>
        <v>17/11/2025</v>
      </c>
      <c r="J717" t="str">
        <f t="shared" si="293"/>
        <v>19/11/2025</v>
      </c>
      <c r="M717">
        <v>303</v>
      </c>
      <c r="N717" t="str">
        <f t="shared" si="309"/>
        <v>RECEITAS COM ENTREGAS</v>
      </c>
      <c r="P717">
        <v>148.28</v>
      </c>
      <c r="Q717" t="str">
        <f>"PENSE FARMA 40 (10207)"</f>
        <v>PENSE FARMA 40 (10207)</v>
      </c>
      <c r="R717" t="str">
        <f t="shared" si="310"/>
        <v>RECEITAS COM ENTREGAS (303)</v>
      </c>
      <c r="S717">
        <v>3236</v>
      </c>
      <c r="T717">
        <v>2640</v>
      </c>
      <c r="U717" t="s">
        <v>21</v>
      </c>
    </row>
    <row r="718" spans="1:21">
      <c r="A718" t="str">
        <f t="shared" si="291"/>
        <v>19/11/2025</v>
      </c>
      <c r="B718" t="str">
        <f t="shared" si="307"/>
        <v>ENTRADA</v>
      </c>
      <c r="C718" t="str">
        <f t="shared" si="308"/>
        <v>NFSE</v>
      </c>
      <c r="D718" t="str">
        <f t="shared" si="313"/>
        <v>3837</v>
      </c>
      <c r="E718" t="str">
        <f t="shared" si="292"/>
        <v>COM</v>
      </c>
      <c r="F718" t="str">
        <f t="shared" si="314"/>
        <v>PENSE FARMA 36 (10206)</v>
      </c>
      <c r="G718" t="str">
        <f t="shared" si="315"/>
        <v>Serv.Prest. 10/11/2025 a 16/11/2025 - RPS: 1600 - NFSe: 3837</v>
      </c>
      <c r="H718" t="str">
        <f t="shared" si="311"/>
        <v>19/11/2025</v>
      </c>
      <c r="I718" t="str">
        <f t="shared" si="312"/>
        <v>17/11/2025</v>
      </c>
      <c r="J718" t="str">
        <f t="shared" si="293"/>
        <v>19/11/2025</v>
      </c>
      <c r="M718">
        <v>303</v>
      </c>
      <c r="N718" t="str">
        <f t="shared" si="309"/>
        <v>RECEITAS COM ENTREGAS</v>
      </c>
      <c r="P718">
        <v>148.28</v>
      </c>
      <c r="Q718" t="str">
        <f>"PENSE FARMA 43 (10208)"</f>
        <v>PENSE FARMA 43 (10208)</v>
      </c>
      <c r="R718" t="str">
        <f t="shared" si="310"/>
        <v>RECEITAS COM ENTREGAS (303)</v>
      </c>
      <c r="S718">
        <v>3236</v>
      </c>
      <c r="T718">
        <v>2640</v>
      </c>
      <c r="U718" t="s">
        <v>21</v>
      </c>
    </row>
    <row r="719" spans="1:21">
      <c r="A719" t="str">
        <f t="shared" si="291"/>
        <v>19/11/2025</v>
      </c>
      <c r="B719" t="str">
        <f t="shared" si="307"/>
        <v>ENTRADA</v>
      </c>
      <c r="C719" t="str">
        <f t="shared" si="308"/>
        <v>NFSE</v>
      </c>
      <c r="D719" t="str">
        <f t="shared" si="313"/>
        <v>3837</v>
      </c>
      <c r="E719" t="str">
        <f t="shared" si="292"/>
        <v>COM</v>
      </c>
      <c r="F719" t="str">
        <f t="shared" si="314"/>
        <v>PENSE FARMA 36 (10206)</v>
      </c>
      <c r="G719" t="str">
        <f t="shared" si="315"/>
        <v>Serv.Prest. 10/11/2025 a 16/11/2025 - RPS: 1600 - NFSe: 3837</v>
      </c>
      <c r="H719" t="str">
        <f t="shared" si="311"/>
        <v>19/11/2025</v>
      </c>
      <c r="I719" t="str">
        <f t="shared" si="312"/>
        <v>17/11/2025</v>
      </c>
      <c r="J719" t="str">
        <f t="shared" si="293"/>
        <v>19/11/2025</v>
      </c>
      <c r="M719">
        <v>303</v>
      </c>
      <c r="N719" t="str">
        <f t="shared" si="309"/>
        <v>RECEITAS COM ENTREGAS</v>
      </c>
      <c r="P719">
        <v>148.28</v>
      </c>
      <c r="Q719" t="str">
        <f>"PENSE FARMA 59 (10211)"</f>
        <v>PENSE FARMA 59 (10211)</v>
      </c>
      <c r="R719" t="str">
        <f t="shared" si="310"/>
        <v>RECEITAS COM ENTREGAS (303)</v>
      </c>
      <c r="S719">
        <v>3236</v>
      </c>
      <c r="T719">
        <v>2640</v>
      </c>
      <c r="U719" t="s">
        <v>21</v>
      </c>
    </row>
    <row r="720" spans="1:21">
      <c r="A720" t="str">
        <f t="shared" si="291"/>
        <v>19/11/2025</v>
      </c>
      <c r="B720" t="str">
        <f t="shared" si="307"/>
        <v>ENTRADA</v>
      </c>
      <c r="C720" t="str">
        <f t="shared" si="308"/>
        <v>NFSE</v>
      </c>
      <c r="D720" t="str">
        <f t="shared" si="313"/>
        <v>3837</v>
      </c>
      <c r="E720" t="str">
        <f t="shared" si="292"/>
        <v>COM</v>
      </c>
      <c r="F720" t="str">
        <f t="shared" si="314"/>
        <v>PENSE FARMA 36 (10206)</v>
      </c>
      <c r="G720" t="str">
        <f t="shared" si="315"/>
        <v>Serv.Prest. 10/11/2025 a 16/11/2025 - RPS: 1600 - NFSe: 3837</v>
      </c>
      <c r="H720" t="str">
        <f t="shared" si="311"/>
        <v>19/11/2025</v>
      </c>
      <c r="I720" t="str">
        <f t="shared" si="312"/>
        <v>17/11/2025</v>
      </c>
      <c r="J720" t="str">
        <f t="shared" si="293"/>
        <v>19/11/2025</v>
      </c>
      <c r="M720">
        <v>303</v>
      </c>
      <c r="N720" t="str">
        <f t="shared" si="309"/>
        <v>RECEITAS COM ENTREGAS</v>
      </c>
      <c r="P720">
        <v>152.93</v>
      </c>
      <c r="Q720" t="str">
        <f>"PENSE FARMA DARK STORE 361 (10212)"</f>
        <v>PENSE FARMA DARK STORE 361 (10212)</v>
      </c>
      <c r="R720" t="str">
        <f t="shared" si="310"/>
        <v>RECEITAS COM ENTREGAS (303)</v>
      </c>
      <c r="S720">
        <v>3236</v>
      </c>
      <c r="T720">
        <v>2640</v>
      </c>
      <c r="U720" t="s">
        <v>21</v>
      </c>
    </row>
    <row r="721" spans="1:21">
      <c r="A721" t="str">
        <f t="shared" si="291"/>
        <v>19/11/2025</v>
      </c>
      <c r="B721" t="str">
        <f t="shared" si="307"/>
        <v>ENTRADA</v>
      </c>
      <c r="C721" t="str">
        <f t="shared" si="308"/>
        <v>NFSE</v>
      </c>
      <c r="D721" t="str">
        <f>"3838"</f>
        <v>3838</v>
      </c>
      <c r="E721" t="str">
        <f t="shared" si="292"/>
        <v>COM</v>
      </c>
      <c r="F721" t="str">
        <f>"PENSE FARMA 27 (10204)"</f>
        <v>PENSE FARMA 27 (10204)</v>
      </c>
      <c r="G721" t="str">
        <f>"Serv.Prest. 10/11/2025 a 16/11/2025 - RPS: 1601 - NFSe: 3838"</f>
        <v>Serv.Prest. 10/11/2025 a 16/11/2025 - RPS: 1601 - NFSe: 3838</v>
      </c>
      <c r="H721" t="str">
        <f t="shared" si="311"/>
        <v>19/11/2025</v>
      </c>
      <c r="I721" t="str">
        <f t="shared" si="312"/>
        <v>17/11/2025</v>
      </c>
      <c r="J721" t="str">
        <f t="shared" si="293"/>
        <v>19/11/2025</v>
      </c>
      <c r="K721">
        <v>577.5</v>
      </c>
      <c r="L721">
        <v>577.5</v>
      </c>
      <c r="M721">
        <v>303</v>
      </c>
      <c r="N721" t="str">
        <f t="shared" si="309"/>
        <v>RECEITAS COM ENTREGAS</v>
      </c>
      <c r="O721">
        <v>577.5</v>
      </c>
      <c r="R721" t="str">
        <f t="shared" si="310"/>
        <v>RECEITAS COM ENTREGAS (303)</v>
      </c>
      <c r="S721">
        <v>3237</v>
      </c>
      <c r="T721">
        <v>2641</v>
      </c>
      <c r="U721" t="s">
        <v>21</v>
      </c>
    </row>
    <row r="722" spans="1:21">
      <c r="A722" t="str">
        <f t="shared" si="291"/>
        <v>19/11/2025</v>
      </c>
      <c r="B722" t="str">
        <f t="shared" si="307"/>
        <v>ENTRADA</v>
      </c>
      <c r="C722" t="str">
        <f t="shared" si="308"/>
        <v>NFSE</v>
      </c>
      <c r="D722" t="str">
        <f>"3838"</f>
        <v>3838</v>
      </c>
      <c r="E722" t="str">
        <f t="shared" si="292"/>
        <v>COM</v>
      </c>
      <c r="F722" t="str">
        <f>"PENSE FARMA 27 (10204)"</f>
        <v>PENSE FARMA 27 (10204)</v>
      </c>
      <c r="G722" t="str">
        <f>"Serv.Prest. 10/11/2025 a 16/11/2025 - RPS: 1601 - NFSe: 3838"</f>
        <v>Serv.Prest. 10/11/2025 a 16/11/2025 - RPS: 1601 - NFSe: 3838</v>
      </c>
      <c r="H722" t="str">
        <f t="shared" si="311"/>
        <v>19/11/2025</v>
      </c>
      <c r="I722" t="str">
        <f t="shared" si="312"/>
        <v>17/11/2025</v>
      </c>
      <c r="J722" t="str">
        <f t="shared" si="293"/>
        <v>19/11/2025</v>
      </c>
      <c r="M722">
        <v>303</v>
      </c>
      <c r="N722" t="str">
        <f t="shared" si="309"/>
        <v>RECEITAS COM ENTREGAS</v>
      </c>
      <c r="P722">
        <v>192.14</v>
      </c>
      <c r="Q722" t="str">
        <f>"PENSE FARMA 05 (10200)"</f>
        <v>PENSE FARMA 05 (10200)</v>
      </c>
      <c r="R722" t="str">
        <f t="shared" si="310"/>
        <v>RECEITAS COM ENTREGAS (303)</v>
      </c>
      <c r="S722">
        <v>3237</v>
      </c>
      <c r="T722">
        <v>2641</v>
      </c>
      <c r="U722" t="s">
        <v>21</v>
      </c>
    </row>
    <row r="723" spans="1:21">
      <c r="A723" t="str">
        <f t="shared" si="291"/>
        <v>19/11/2025</v>
      </c>
      <c r="B723" t="str">
        <f t="shared" si="307"/>
        <v>ENTRADA</v>
      </c>
      <c r="C723" t="str">
        <f t="shared" si="308"/>
        <v>NFSE</v>
      </c>
      <c r="D723" t="str">
        <f>"3838"</f>
        <v>3838</v>
      </c>
      <c r="E723" t="str">
        <f t="shared" si="292"/>
        <v>COM</v>
      </c>
      <c r="F723" t="str">
        <f>"PENSE FARMA 27 (10204)"</f>
        <v>PENSE FARMA 27 (10204)</v>
      </c>
      <c r="G723" t="str">
        <f>"Serv.Prest. 10/11/2025 a 16/11/2025 - RPS: 1601 - NFSe: 3838"</f>
        <v>Serv.Prest. 10/11/2025 a 16/11/2025 - RPS: 1601 - NFSe: 3838</v>
      </c>
      <c r="H723" t="str">
        <f t="shared" si="311"/>
        <v>19/11/2025</v>
      </c>
      <c r="I723" t="str">
        <f t="shared" si="312"/>
        <v>17/11/2025</v>
      </c>
      <c r="J723" t="str">
        <f t="shared" si="293"/>
        <v>19/11/2025</v>
      </c>
      <c r="M723">
        <v>303</v>
      </c>
      <c r="N723" t="str">
        <f t="shared" si="309"/>
        <v>RECEITAS COM ENTREGAS</v>
      </c>
      <c r="P723">
        <v>192.13</v>
      </c>
      <c r="Q723" t="str">
        <f>"PENSE FARMA 13 (10202)"</f>
        <v>PENSE FARMA 13 (10202)</v>
      </c>
      <c r="R723" t="str">
        <f t="shared" si="310"/>
        <v>RECEITAS COM ENTREGAS (303)</v>
      </c>
      <c r="S723">
        <v>3237</v>
      </c>
      <c r="T723">
        <v>2641</v>
      </c>
      <c r="U723" t="s">
        <v>21</v>
      </c>
    </row>
    <row r="724" spans="1:21">
      <c r="A724" t="str">
        <f t="shared" si="291"/>
        <v>19/11/2025</v>
      </c>
      <c r="B724" t="str">
        <f t="shared" si="307"/>
        <v>ENTRADA</v>
      </c>
      <c r="C724" t="str">
        <f t="shared" si="308"/>
        <v>NFSE</v>
      </c>
      <c r="D724" t="str">
        <f>"3838"</f>
        <v>3838</v>
      </c>
      <c r="E724" t="str">
        <f t="shared" si="292"/>
        <v>COM</v>
      </c>
      <c r="F724" t="str">
        <f>"PENSE FARMA 27 (10204)"</f>
        <v>PENSE FARMA 27 (10204)</v>
      </c>
      <c r="G724" t="str">
        <f>"Serv.Prest. 10/11/2025 a 16/11/2025 - RPS: 1601 - NFSe: 3838"</f>
        <v>Serv.Prest. 10/11/2025 a 16/11/2025 - RPS: 1601 - NFSe: 3838</v>
      </c>
      <c r="H724" t="str">
        <f t="shared" si="311"/>
        <v>19/11/2025</v>
      </c>
      <c r="I724" t="str">
        <f t="shared" si="312"/>
        <v>17/11/2025</v>
      </c>
      <c r="J724" t="str">
        <f t="shared" si="293"/>
        <v>19/11/2025</v>
      </c>
      <c r="M724">
        <v>303</v>
      </c>
      <c r="N724" t="str">
        <f t="shared" si="309"/>
        <v>RECEITAS COM ENTREGAS</v>
      </c>
      <c r="P724">
        <v>193.23</v>
      </c>
      <c r="Q724" t="str">
        <f>"PENSE FARMA 27 (10204)"</f>
        <v>PENSE FARMA 27 (10204)</v>
      </c>
      <c r="R724" t="str">
        <f t="shared" si="310"/>
        <v>RECEITAS COM ENTREGAS (303)</v>
      </c>
      <c r="S724">
        <v>3237</v>
      </c>
      <c r="T724">
        <v>2641</v>
      </c>
      <c r="U724" t="s">
        <v>21</v>
      </c>
    </row>
    <row r="725" spans="1:21">
      <c r="A725" t="str">
        <f t="shared" si="291"/>
        <v>19/11/2025</v>
      </c>
      <c r="B725" t="str">
        <f t="shared" si="307"/>
        <v>ENTRADA</v>
      </c>
      <c r="C725" t="str">
        <f t="shared" si="308"/>
        <v>NFSE</v>
      </c>
      <c r="D725" t="str">
        <f>"3839"</f>
        <v>3839</v>
      </c>
      <c r="E725" t="str">
        <f t="shared" si="292"/>
        <v>COM</v>
      </c>
      <c r="F725" t="str">
        <f>"PENSE FARMA 07 (10201)"</f>
        <v>PENSE FARMA 07 (10201)</v>
      </c>
      <c r="G725" t="str">
        <f>"Serv.Prest. 10/11/2025 a 16/11/2025 - RPS: 1602 - NFSe: 3839"</f>
        <v>Serv.Prest. 10/11/2025 a 16/11/2025 - RPS: 1602 - NFSe: 3839</v>
      </c>
      <c r="H725" t="str">
        <f t="shared" si="311"/>
        <v>19/11/2025</v>
      </c>
      <c r="I725" t="str">
        <f t="shared" si="312"/>
        <v>17/11/2025</v>
      </c>
      <c r="J725" t="str">
        <f t="shared" si="293"/>
        <v>19/11/2025</v>
      </c>
      <c r="K725">
        <v>309.75</v>
      </c>
      <c r="L725">
        <v>309.75</v>
      </c>
      <c r="M725">
        <v>303</v>
      </c>
      <c r="N725" t="str">
        <f t="shared" si="309"/>
        <v>RECEITAS COM ENTREGAS</v>
      </c>
      <c r="O725">
        <v>309.75</v>
      </c>
      <c r="R725" t="str">
        <f t="shared" si="310"/>
        <v>RECEITAS COM ENTREGAS (303)</v>
      </c>
      <c r="S725">
        <v>3238</v>
      </c>
      <c r="T725">
        <v>2642</v>
      </c>
      <c r="U725" t="s">
        <v>21</v>
      </c>
    </row>
    <row r="726" spans="1:21">
      <c r="A726" t="str">
        <f t="shared" ref="A726:A789" si="316">("19/11/2025")</f>
        <v>19/11/2025</v>
      </c>
      <c r="B726" t="str">
        <f t="shared" si="307"/>
        <v>ENTRADA</v>
      </c>
      <c r="C726" t="str">
        <f t="shared" si="308"/>
        <v>NFSE</v>
      </c>
      <c r="D726" t="str">
        <f>"3839"</f>
        <v>3839</v>
      </c>
      <c r="E726" t="str">
        <f t="shared" ref="E726:E789" si="317">"COM"</f>
        <v>COM</v>
      </c>
      <c r="F726" t="str">
        <f>"PENSE FARMA 07 (10201)"</f>
        <v>PENSE FARMA 07 (10201)</v>
      </c>
      <c r="G726" t="str">
        <f>"Serv.Prest. 10/11/2025 a 16/11/2025 - RPS: 1602 - NFSe: 3839"</f>
        <v>Serv.Prest. 10/11/2025 a 16/11/2025 - RPS: 1602 - NFSe: 3839</v>
      </c>
      <c r="H726" t="str">
        <f t="shared" si="311"/>
        <v>19/11/2025</v>
      </c>
      <c r="I726" t="str">
        <f t="shared" si="312"/>
        <v>17/11/2025</v>
      </c>
      <c r="J726" t="str">
        <f t="shared" ref="J726:J789" si="318">("19/11/2025")</f>
        <v>19/11/2025</v>
      </c>
      <c r="M726">
        <v>303</v>
      </c>
      <c r="N726" t="str">
        <f t="shared" si="309"/>
        <v>RECEITAS COM ENTREGAS</v>
      </c>
      <c r="P726">
        <v>102.9</v>
      </c>
      <c r="Q726" t="str">
        <f>"PENSE FARMA 07 (10201)"</f>
        <v>PENSE FARMA 07 (10201)</v>
      </c>
      <c r="R726" t="str">
        <f t="shared" si="310"/>
        <v>RECEITAS COM ENTREGAS (303)</v>
      </c>
      <c r="S726">
        <v>3238</v>
      </c>
      <c r="T726">
        <v>2642</v>
      </c>
      <c r="U726" t="s">
        <v>21</v>
      </c>
    </row>
    <row r="727" spans="1:21">
      <c r="A727" t="str">
        <f t="shared" si="316"/>
        <v>19/11/2025</v>
      </c>
      <c r="B727" t="str">
        <f t="shared" si="307"/>
        <v>ENTRADA</v>
      </c>
      <c r="C727" t="str">
        <f t="shared" si="308"/>
        <v>NFSE</v>
      </c>
      <c r="D727" t="str">
        <f>"3839"</f>
        <v>3839</v>
      </c>
      <c r="E727" t="str">
        <f t="shared" si="317"/>
        <v>COM</v>
      </c>
      <c r="F727" t="str">
        <f>"PENSE FARMA 07 (10201)"</f>
        <v>PENSE FARMA 07 (10201)</v>
      </c>
      <c r="G727" t="str">
        <f>"Serv.Prest. 10/11/2025 a 16/11/2025 - RPS: 1602 - NFSe: 3839"</f>
        <v>Serv.Prest. 10/11/2025 a 16/11/2025 - RPS: 1602 - NFSe: 3839</v>
      </c>
      <c r="H727" t="str">
        <f t="shared" si="311"/>
        <v>19/11/2025</v>
      </c>
      <c r="I727" t="str">
        <f t="shared" si="312"/>
        <v>17/11/2025</v>
      </c>
      <c r="J727" t="str">
        <f t="shared" si="318"/>
        <v>19/11/2025</v>
      </c>
      <c r="M727">
        <v>303</v>
      </c>
      <c r="N727" t="str">
        <f t="shared" si="309"/>
        <v>RECEITAS COM ENTREGAS</v>
      </c>
      <c r="P727">
        <v>102.9</v>
      </c>
      <c r="Q727" t="str">
        <f>"PENSE FARMA 45 (10209)"</f>
        <v>PENSE FARMA 45 (10209)</v>
      </c>
      <c r="R727" t="str">
        <f t="shared" si="310"/>
        <v>RECEITAS COM ENTREGAS (303)</v>
      </c>
      <c r="S727">
        <v>3238</v>
      </c>
      <c r="T727">
        <v>2642</v>
      </c>
      <c r="U727" t="s">
        <v>21</v>
      </c>
    </row>
    <row r="728" spans="1:21">
      <c r="A728" t="str">
        <f t="shared" si="316"/>
        <v>19/11/2025</v>
      </c>
      <c r="B728" t="str">
        <f t="shared" si="307"/>
        <v>ENTRADA</v>
      </c>
      <c r="C728" t="str">
        <f t="shared" si="308"/>
        <v>NFSE</v>
      </c>
      <c r="D728" t="str">
        <f>"3839"</f>
        <v>3839</v>
      </c>
      <c r="E728" t="str">
        <f t="shared" si="317"/>
        <v>COM</v>
      </c>
      <c r="F728" t="str">
        <f>"PENSE FARMA 07 (10201)"</f>
        <v>PENSE FARMA 07 (10201)</v>
      </c>
      <c r="G728" t="str">
        <f>"Serv.Prest. 10/11/2025 a 16/11/2025 - RPS: 1602 - NFSe: 3839"</f>
        <v>Serv.Prest. 10/11/2025 a 16/11/2025 - RPS: 1602 - NFSe: 3839</v>
      </c>
      <c r="H728" t="str">
        <f t="shared" si="311"/>
        <v>19/11/2025</v>
      </c>
      <c r="I728" t="str">
        <f t="shared" si="312"/>
        <v>17/11/2025</v>
      </c>
      <c r="J728" t="str">
        <f t="shared" si="318"/>
        <v>19/11/2025</v>
      </c>
      <c r="M728">
        <v>303</v>
      </c>
      <c r="N728" t="str">
        <f t="shared" si="309"/>
        <v>RECEITAS COM ENTREGAS</v>
      </c>
      <c r="P728">
        <v>103.95</v>
      </c>
      <c r="Q728" t="str">
        <f>"PENSE FARMA 50 (10210)"</f>
        <v>PENSE FARMA 50 (10210)</v>
      </c>
      <c r="R728" t="str">
        <f t="shared" si="310"/>
        <v>RECEITAS COM ENTREGAS (303)</v>
      </c>
      <c r="S728">
        <v>3238</v>
      </c>
      <c r="T728">
        <v>2642</v>
      </c>
      <c r="U728" t="s">
        <v>21</v>
      </c>
    </row>
    <row r="729" spans="1:21">
      <c r="A729" t="str">
        <f t="shared" si="316"/>
        <v>19/11/2025</v>
      </c>
      <c r="B729" t="str">
        <f t="shared" si="307"/>
        <v>ENTRADA</v>
      </c>
      <c r="C729" t="str">
        <f t="shared" si="308"/>
        <v>NFSE</v>
      </c>
      <c r="D729" t="str">
        <f>"3846"</f>
        <v>3846</v>
      </c>
      <c r="E729" t="str">
        <f t="shared" si="317"/>
        <v>COM</v>
      </c>
      <c r="F729" t="str">
        <f>"DROGARIA ANA VISCONDE DO RIO BRANCO (10182)"</f>
        <v>DROGARIA ANA VISCONDE DO RIO BRANCO (10182)</v>
      </c>
      <c r="G729" t="str">
        <f>"Serv.Prest. 10/11/2025 a 16/11/2025 - RPS: 1609 - NFSe: 3846"</f>
        <v>Serv.Prest. 10/11/2025 a 16/11/2025 - RPS: 1609 - NFSe: 3846</v>
      </c>
      <c r="H729" t="str">
        <f t="shared" si="311"/>
        <v>19/11/2025</v>
      </c>
      <c r="I729" t="str">
        <f t="shared" ref="I729:I740" si="319">("18/11/2025")</f>
        <v>18/11/2025</v>
      </c>
      <c r="J729" t="str">
        <f t="shared" si="318"/>
        <v>19/11/2025</v>
      </c>
      <c r="K729">
        <v>899.77</v>
      </c>
      <c r="L729">
        <v>899.77</v>
      </c>
      <c r="M729">
        <v>303</v>
      </c>
      <c r="N729" t="str">
        <f t="shared" si="309"/>
        <v>RECEITAS COM ENTREGAS</v>
      </c>
      <c r="O729">
        <v>899.77</v>
      </c>
      <c r="R729" t="str">
        <f t="shared" si="310"/>
        <v>RECEITAS COM ENTREGAS (303)</v>
      </c>
      <c r="S729">
        <v>3239</v>
      </c>
      <c r="T729">
        <v>2649</v>
      </c>
      <c r="U729" t="s">
        <v>21</v>
      </c>
    </row>
    <row r="730" spans="1:21">
      <c r="A730" t="str">
        <f t="shared" si="316"/>
        <v>19/11/2025</v>
      </c>
      <c r="B730" t="str">
        <f t="shared" ref="B730:B740" si="320">"ENTRADA"</f>
        <v>ENTRADA</v>
      </c>
      <c r="C730" t="str">
        <f t="shared" ref="C730:C740" si="321">"NFSE"</f>
        <v>NFSE</v>
      </c>
      <c r="D730" t="str">
        <f>"3846"</f>
        <v>3846</v>
      </c>
      <c r="E730" t="str">
        <f t="shared" si="317"/>
        <v>COM</v>
      </c>
      <c r="F730" t="str">
        <f>"DROGARIA ANA VISCONDE DO RIO BRANCO (10182)"</f>
        <v>DROGARIA ANA VISCONDE DO RIO BRANCO (10182)</v>
      </c>
      <c r="G730" t="str">
        <f>"Serv.Prest. 10/11/2025 a 16/11/2025 - RPS: 1609 - NFSe: 3846"</f>
        <v>Serv.Prest. 10/11/2025 a 16/11/2025 - RPS: 1609 - NFSe: 3846</v>
      </c>
      <c r="H730" t="str">
        <f t="shared" si="311"/>
        <v>19/11/2025</v>
      </c>
      <c r="I730" t="str">
        <f t="shared" si="319"/>
        <v>18/11/2025</v>
      </c>
      <c r="J730" t="str">
        <f t="shared" si="318"/>
        <v>19/11/2025</v>
      </c>
      <c r="M730">
        <v>303</v>
      </c>
      <c r="N730" t="str">
        <f t="shared" ref="N730:N740" si="322">"RECEITAS COM ENTREGAS"</f>
        <v>RECEITAS COM ENTREGAS</v>
      </c>
      <c r="P730">
        <v>899.77</v>
      </c>
      <c r="Q730" t="str">
        <f>"DROGARIA ANA VISCONDE DO RIO BRANCO (10182)"</f>
        <v>DROGARIA ANA VISCONDE DO RIO BRANCO (10182)</v>
      </c>
      <c r="R730" t="str">
        <f t="shared" ref="R730:R740" si="323">"RECEITAS COM ENTREGAS (303)"</f>
        <v>RECEITAS COM ENTREGAS (303)</v>
      </c>
      <c r="S730">
        <v>3239</v>
      </c>
      <c r="T730">
        <v>2649</v>
      </c>
      <c r="U730" t="s">
        <v>21</v>
      </c>
    </row>
    <row r="731" spans="1:21">
      <c r="A731" t="str">
        <f t="shared" si="316"/>
        <v>19/11/2025</v>
      </c>
      <c r="B731" t="str">
        <f t="shared" si="320"/>
        <v>ENTRADA</v>
      </c>
      <c r="C731" t="str">
        <f t="shared" si="321"/>
        <v>NFSE</v>
      </c>
      <c r="D731" t="str">
        <f>"3847"</f>
        <v>3847</v>
      </c>
      <c r="E731" t="str">
        <f t="shared" si="317"/>
        <v>COM</v>
      </c>
      <c r="F731" t="str">
        <f>"DROGARIA MEDIC CENTER LTDA (10172)"</f>
        <v>DROGARIA MEDIC CENTER LTDA (10172)</v>
      </c>
      <c r="G731" t="str">
        <f>"Serv.Prest. 10/11/2025 a 16/11/2025 - RPS: 1610 - NFSe: 3847"</f>
        <v>Serv.Prest. 10/11/2025 a 16/11/2025 - RPS: 1610 - NFSe: 3847</v>
      </c>
      <c r="H731" t="str">
        <f t="shared" si="311"/>
        <v>19/11/2025</v>
      </c>
      <c r="I731" t="str">
        <f t="shared" si="319"/>
        <v>18/11/2025</v>
      </c>
      <c r="J731" t="str">
        <f t="shared" si="318"/>
        <v>19/11/2025</v>
      </c>
      <c r="K731">
        <v>130.5</v>
      </c>
      <c r="L731">
        <v>130.5</v>
      </c>
      <c r="M731">
        <v>303</v>
      </c>
      <c r="N731" t="str">
        <f t="shared" si="322"/>
        <v>RECEITAS COM ENTREGAS</v>
      </c>
      <c r="O731">
        <v>130.5</v>
      </c>
      <c r="R731" t="str">
        <f t="shared" si="323"/>
        <v>RECEITAS COM ENTREGAS (303)</v>
      </c>
      <c r="S731">
        <v>3240</v>
      </c>
      <c r="T731">
        <v>2650</v>
      </c>
      <c r="U731" t="s">
        <v>21</v>
      </c>
    </row>
    <row r="732" spans="1:21">
      <c r="A732" t="str">
        <f t="shared" si="316"/>
        <v>19/11/2025</v>
      </c>
      <c r="B732" t="str">
        <f t="shared" si="320"/>
        <v>ENTRADA</v>
      </c>
      <c r="C732" t="str">
        <f t="shared" si="321"/>
        <v>NFSE</v>
      </c>
      <c r="D732" t="str">
        <f>"3847"</f>
        <v>3847</v>
      </c>
      <c r="E732" t="str">
        <f t="shared" si="317"/>
        <v>COM</v>
      </c>
      <c r="F732" t="str">
        <f>"DROGARIA MEDIC CENTER LTDA (10172)"</f>
        <v>DROGARIA MEDIC CENTER LTDA (10172)</v>
      </c>
      <c r="G732" t="str">
        <f>"Serv.Prest. 10/11/2025 a 16/11/2025 - RPS: 1610 - NFSe: 3847"</f>
        <v>Serv.Prest. 10/11/2025 a 16/11/2025 - RPS: 1610 - NFSe: 3847</v>
      </c>
      <c r="H732" t="str">
        <f t="shared" si="311"/>
        <v>19/11/2025</v>
      </c>
      <c r="I732" t="str">
        <f t="shared" si="319"/>
        <v>18/11/2025</v>
      </c>
      <c r="J732" t="str">
        <f t="shared" si="318"/>
        <v>19/11/2025</v>
      </c>
      <c r="M732">
        <v>303</v>
      </c>
      <c r="N732" t="str">
        <f t="shared" si="322"/>
        <v>RECEITAS COM ENTREGAS</v>
      </c>
      <c r="P732">
        <v>130.5</v>
      </c>
      <c r="Q732" t="str">
        <f>"DROGARIA MEDIC CENTER LTDA (10172)"</f>
        <v>DROGARIA MEDIC CENTER LTDA (10172)</v>
      </c>
      <c r="R732" t="str">
        <f t="shared" si="323"/>
        <v>RECEITAS COM ENTREGAS (303)</v>
      </c>
      <c r="S732">
        <v>3240</v>
      </c>
      <c r="T732">
        <v>2650</v>
      </c>
      <c r="U732" t="s">
        <v>21</v>
      </c>
    </row>
    <row r="733" spans="1:21">
      <c r="A733" t="str">
        <f t="shared" si="316"/>
        <v>19/11/2025</v>
      </c>
      <c r="B733" t="str">
        <f t="shared" si="320"/>
        <v>ENTRADA</v>
      </c>
      <c r="C733" t="str">
        <f t="shared" si="321"/>
        <v>NFSE</v>
      </c>
      <c r="D733" t="str">
        <f>"3848"</f>
        <v>3848</v>
      </c>
      <c r="E733" t="str">
        <f t="shared" si="317"/>
        <v>COM</v>
      </c>
      <c r="F733" t="str">
        <f>"DROGARIA MORENO LTDA (10171)"</f>
        <v>DROGARIA MORENO LTDA (10171)</v>
      </c>
      <c r="G733" t="str">
        <f>"Serv.Prest. 10/11/2025 a 16/11/2025 - RPS: 1611 - NFSe: 3848"</f>
        <v>Serv.Prest. 10/11/2025 a 16/11/2025 - RPS: 1611 - NFSe: 3848</v>
      </c>
      <c r="H733" t="str">
        <f t="shared" ref="H733:H764" si="324">("19/11/2025")</f>
        <v>19/11/2025</v>
      </c>
      <c r="I733" t="str">
        <f t="shared" si="319"/>
        <v>18/11/2025</v>
      </c>
      <c r="J733" t="str">
        <f t="shared" si="318"/>
        <v>19/11/2025</v>
      </c>
      <c r="K733">
        <v>412.2</v>
      </c>
      <c r="L733">
        <v>412.2</v>
      </c>
      <c r="M733">
        <v>303</v>
      </c>
      <c r="N733" t="str">
        <f t="shared" si="322"/>
        <v>RECEITAS COM ENTREGAS</v>
      </c>
      <c r="O733">
        <v>412.2</v>
      </c>
      <c r="R733" t="str">
        <f t="shared" si="323"/>
        <v>RECEITAS COM ENTREGAS (303)</v>
      </c>
      <c r="S733">
        <v>3241</v>
      </c>
      <c r="T733">
        <v>2651</v>
      </c>
      <c r="U733" t="s">
        <v>21</v>
      </c>
    </row>
    <row r="734" spans="1:21">
      <c r="A734" t="str">
        <f t="shared" si="316"/>
        <v>19/11/2025</v>
      </c>
      <c r="B734" t="str">
        <f t="shared" si="320"/>
        <v>ENTRADA</v>
      </c>
      <c r="C734" t="str">
        <f t="shared" si="321"/>
        <v>NFSE</v>
      </c>
      <c r="D734" t="str">
        <f>"3848"</f>
        <v>3848</v>
      </c>
      <c r="E734" t="str">
        <f t="shared" si="317"/>
        <v>COM</v>
      </c>
      <c r="F734" t="str">
        <f>"DROGARIA MORENO LTDA (10171)"</f>
        <v>DROGARIA MORENO LTDA (10171)</v>
      </c>
      <c r="G734" t="str">
        <f>"Serv.Prest. 10/11/2025 a 16/11/2025 - RPS: 1611 - NFSe: 3848"</f>
        <v>Serv.Prest. 10/11/2025 a 16/11/2025 - RPS: 1611 - NFSe: 3848</v>
      </c>
      <c r="H734" t="str">
        <f t="shared" si="324"/>
        <v>19/11/2025</v>
      </c>
      <c r="I734" t="str">
        <f t="shared" si="319"/>
        <v>18/11/2025</v>
      </c>
      <c r="J734" t="str">
        <f t="shared" si="318"/>
        <v>19/11/2025</v>
      </c>
      <c r="M734">
        <v>303</v>
      </c>
      <c r="N734" t="str">
        <f t="shared" si="322"/>
        <v>RECEITAS COM ENTREGAS</v>
      </c>
      <c r="P734">
        <v>412.2</v>
      </c>
      <c r="Q734" t="str">
        <f>"DROGARIA MORENO LTDA (10171)"</f>
        <v>DROGARIA MORENO LTDA (10171)</v>
      </c>
      <c r="R734" t="str">
        <f t="shared" si="323"/>
        <v>RECEITAS COM ENTREGAS (303)</v>
      </c>
      <c r="S734">
        <v>3241</v>
      </c>
      <c r="T734">
        <v>2651</v>
      </c>
      <c r="U734" t="s">
        <v>21</v>
      </c>
    </row>
    <row r="735" spans="1:21">
      <c r="A735" t="str">
        <f t="shared" si="316"/>
        <v>19/11/2025</v>
      </c>
      <c r="B735" t="str">
        <f t="shared" si="320"/>
        <v>ENTRADA</v>
      </c>
      <c r="C735" t="str">
        <f t="shared" si="321"/>
        <v>NFSE</v>
      </c>
      <c r="D735" t="str">
        <f>"3854"</f>
        <v>3854</v>
      </c>
      <c r="E735" t="str">
        <f t="shared" si="317"/>
        <v>COM</v>
      </c>
      <c r="F735" t="str">
        <f>"LBL FARMACIA LTDA (10189)"</f>
        <v>LBL FARMACIA LTDA (10189)</v>
      </c>
      <c r="G735" t="str">
        <f>"Serv.Prest. 10/11/2025 a 16/11/2025 - RPS: 1617 - NFSe: 3854"</f>
        <v>Serv.Prest. 10/11/2025 a 16/11/2025 - RPS: 1617 - NFSe: 3854</v>
      </c>
      <c r="H735" t="str">
        <f t="shared" si="324"/>
        <v>19/11/2025</v>
      </c>
      <c r="I735" t="str">
        <f t="shared" si="319"/>
        <v>18/11/2025</v>
      </c>
      <c r="J735" t="str">
        <f t="shared" si="318"/>
        <v>19/11/2025</v>
      </c>
      <c r="K735">
        <v>163.80000000000001</v>
      </c>
      <c r="L735">
        <v>163.80000000000001</v>
      </c>
      <c r="M735">
        <v>303</v>
      </c>
      <c r="N735" t="str">
        <f t="shared" si="322"/>
        <v>RECEITAS COM ENTREGAS</v>
      </c>
      <c r="O735">
        <v>163.80000000000001</v>
      </c>
      <c r="R735" t="str">
        <f t="shared" si="323"/>
        <v>RECEITAS COM ENTREGAS (303)</v>
      </c>
      <c r="S735">
        <v>3242</v>
      </c>
      <c r="T735">
        <v>2657</v>
      </c>
      <c r="U735" t="s">
        <v>21</v>
      </c>
    </row>
    <row r="736" spans="1:21">
      <c r="A736" t="str">
        <f t="shared" si="316"/>
        <v>19/11/2025</v>
      </c>
      <c r="B736" t="str">
        <f t="shared" si="320"/>
        <v>ENTRADA</v>
      </c>
      <c r="C736" t="str">
        <f t="shared" si="321"/>
        <v>NFSE</v>
      </c>
      <c r="D736" t="str">
        <f>"3854"</f>
        <v>3854</v>
      </c>
      <c r="E736" t="str">
        <f t="shared" si="317"/>
        <v>COM</v>
      </c>
      <c r="F736" t="str">
        <f>"LBL FARMACIA LTDA (10189)"</f>
        <v>LBL FARMACIA LTDA (10189)</v>
      </c>
      <c r="G736" t="str">
        <f>"Serv.Prest. 10/11/2025 a 16/11/2025 - RPS: 1617 - NFSe: 3854"</f>
        <v>Serv.Prest. 10/11/2025 a 16/11/2025 - RPS: 1617 - NFSe: 3854</v>
      </c>
      <c r="H736" t="str">
        <f t="shared" si="324"/>
        <v>19/11/2025</v>
      </c>
      <c r="I736" t="str">
        <f t="shared" si="319"/>
        <v>18/11/2025</v>
      </c>
      <c r="J736" t="str">
        <f t="shared" si="318"/>
        <v>19/11/2025</v>
      </c>
      <c r="M736">
        <v>303</v>
      </c>
      <c r="N736" t="str">
        <f t="shared" si="322"/>
        <v>RECEITAS COM ENTREGAS</v>
      </c>
      <c r="P736">
        <v>163.80000000000001</v>
      </c>
      <c r="Q736" t="str">
        <f>"LBL FARMACIA LTDA (10189)"</f>
        <v>LBL FARMACIA LTDA (10189)</v>
      </c>
      <c r="R736" t="str">
        <f t="shared" si="323"/>
        <v>RECEITAS COM ENTREGAS (303)</v>
      </c>
      <c r="S736">
        <v>3242</v>
      </c>
      <c r="T736">
        <v>2657</v>
      </c>
      <c r="U736" t="s">
        <v>21</v>
      </c>
    </row>
    <row r="737" spans="1:21">
      <c r="A737" t="str">
        <f t="shared" si="316"/>
        <v>19/11/2025</v>
      </c>
      <c r="B737" t="str">
        <f t="shared" si="320"/>
        <v>ENTRADA</v>
      </c>
      <c r="C737" t="str">
        <f t="shared" si="321"/>
        <v>NFSE</v>
      </c>
      <c r="D737" t="str">
        <f>"3855"</f>
        <v>3855</v>
      </c>
      <c r="E737" t="str">
        <f t="shared" si="317"/>
        <v>COM</v>
      </c>
      <c r="F737" t="str">
        <f>"LBL FARMACIA LTDA FILIAL (10192)"</f>
        <v>LBL FARMACIA LTDA FILIAL (10192)</v>
      </c>
      <c r="G737" t="str">
        <f>"Serv.Prest. 10/11/2025 a 16/11/2025 - RPS: 1618 - NFSe: 3855"</f>
        <v>Serv.Prest. 10/11/2025 a 16/11/2025 - RPS: 1618 - NFSe: 3855</v>
      </c>
      <c r="H737" t="str">
        <f t="shared" si="324"/>
        <v>19/11/2025</v>
      </c>
      <c r="I737" t="str">
        <f t="shared" si="319"/>
        <v>18/11/2025</v>
      </c>
      <c r="J737" t="str">
        <f t="shared" si="318"/>
        <v>19/11/2025</v>
      </c>
      <c r="K737">
        <v>244.65</v>
      </c>
      <c r="L737">
        <v>244.65</v>
      </c>
      <c r="M737">
        <v>303</v>
      </c>
      <c r="N737" t="str">
        <f t="shared" si="322"/>
        <v>RECEITAS COM ENTREGAS</v>
      </c>
      <c r="O737">
        <v>244.65</v>
      </c>
      <c r="R737" t="str">
        <f t="shared" si="323"/>
        <v>RECEITAS COM ENTREGAS (303)</v>
      </c>
      <c r="S737">
        <v>3243</v>
      </c>
      <c r="T737">
        <v>2658</v>
      </c>
      <c r="U737" t="s">
        <v>21</v>
      </c>
    </row>
    <row r="738" spans="1:21">
      <c r="A738" t="str">
        <f t="shared" si="316"/>
        <v>19/11/2025</v>
      </c>
      <c r="B738" t="str">
        <f t="shared" si="320"/>
        <v>ENTRADA</v>
      </c>
      <c r="C738" t="str">
        <f t="shared" si="321"/>
        <v>NFSE</v>
      </c>
      <c r="D738" t="str">
        <f>"3855"</f>
        <v>3855</v>
      </c>
      <c r="E738" t="str">
        <f t="shared" si="317"/>
        <v>COM</v>
      </c>
      <c r="F738" t="str">
        <f>"LBL FARMACIA LTDA FILIAL (10192)"</f>
        <v>LBL FARMACIA LTDA FILIAL (10192)</v>
      </c>
      <c r="G738" t="str">
        <f>"Serv.Prest. 10/11/2025 a 16/11/2025 - RPS: 1618 - NFSe: 3855"</f>
        <v>Serv.Prest. 10/11/2025 a 16/11/2025 - RPS: 1618 - NFSe: 3855</v>
      </c>
      <c r="H738" t="str">
        <f t="shared" si="324"/>
        <v>19/11/2025</v>
      </c>
      <c r="I738" t="str">
        <f t="shared" si="319"/>
        <v>18/11/2025</v>
      </c>
      <c r="J738" t="str">
        <f t="shared" si="318"/>
        <v>19/11/2025</v>
      </c>
      <c r="M738">
        <v>303</v>
      </c>
      <c r="N738" t="str">
        <f t="shared" si="322"/>
        <v>RECEITAS COM ENTREGAS</v>
      </c>
      <c r="P738">
        <v>244.65</v>
      </c>
      <c r="Q738" t="str">
        <f>"LBL FARMACIA LTDA FILIAL (10192)"</f>
        <v>LBL FARMACIA LTDA FILIAL (10192)</v>
      </c>
      <c r="R738" t="str">
        <f t="shared" si="323"/>
        <v>RECEITAS COM ENTREGAS (303)</v>
      </c>
      <c r="S738">
        <v>3243</v>
      </c>
      <c r="T738">
        <v>2658</v>
      </c>
      <c r="U738" t="s">
        <v>21</v>
      </c>
    </row>
    <row r="739" spans="1:21">
      <c r="A739" t="str">
        <f t="shared" si="316"/>
        <v>19/11/2025</v>
      </c>
      <c r="B739" t="str">
        <f t="shared" si="320"/>
        <v>ENTRADA</v>
      </c>
      <c r="C739" t="str">
        <f t="shared" si="321"/>
        <v>NFSE</v>
      </c>
      <c r="D739" t="str">
        <f>"3856"</f>
        <v>3856</v>
      </c>
      <c r="E739" t="str">
        <f t="shared" si="317"/>
        <v>COM</v>
      </c>
      <c r="F739" t="str">
        <f>"PENSE FARMA 22 (10198)"</f>
        <v>PENSE FARMA 22 (10198)</v>
      </c>
      <c r="G739" t="str">
        <f>"Serv.Prest. 10/11/2025 a 16/11/2025 - RPS: 1619 - NFSe: 3856"</f>
        <v>Serv.Prest. 10/11/2025 a 16/11/2025 - RPS: 1619 - NFSe: 3856</v>
      </c>
      <c r="H739" t="str">
        <f t="shared" si="324"/>
        <v>19/11/2025</v>
      </c>
      <c r="I739" t="str">
        <f t="shared" si="319"/>
        <v>18/11/2025</v>
      </c>
      <c r="J739" t="str">
        <f t="shared" si="318"/>
        <v>19/11/2025</v>
      </c>
      <c r="K739">
        <v>770.79</v>
      </c>
      <c r="L739">
        <v>770.79</v>
      </c>
      <c r="M739">
        <v>303</v>
      </c>
      <c r="N739" t="str">
        <f t="shared" si="322"/>
        <v>RECEITAS COM ENTREGAS</v>
      </c>
      <c r="O739">
        <v>770.79</v>
      </c>
      <c r="R739" t="str">
        <f t="shared" si="323"/>
        <v>RECEITAS COM ENTREGAS (303)</v>
      </c>
      <c r="S739">
        <v>3244</v>
      </c>
      <c r="T739">
        <v>2659</v>
      </c>
      <c r="U739" t="s">
        <v>21</v>
      </c>
    </row>
    <row r="740" spans="1:21">
      <c r="A740" t="str">
        <f t="shared" si="316"/>
        <v>19/11/2025</v>
      </c>
      <c r="B740" t="str">
        <f t="shared" si="320"/>
        <v>ENTRADA</v>
      </c>
      <c r="C740" t="str">
        <f t="shared" si="321"/>
        <v>NFSE</v>
      </c>
      <c r="D740" t="str">
        <f>"3856"</f>
        <v>3856</v>
      </c>
      <c r="E740" t="str">
        <f t="shared" si="317"/>
        <v>COM</v>
      </c>
      <c r="F740" t="str">
        <f>"PENSE FARMA 22 (10198)"</f>
        <v>PENSE FARMA 22 (10198)</v>
      </c>
      <c r="G740" t="str">
        <f>"Serv.Prest. 10/11/2025 a 16/11/2025 - RPS: 1619 - NFSe: 3856"</f>
        <v>Serv.Prest. 10/11/2025 a 16/11/2025 - RPS: 1619 - NFSe: 3856</v>
      </c>
      <c r="H740" t="str">
        <f t="shared" si="324"/>
        <v>19/11/2025</v>
      </c>
      <c r="I740" t="str">
        <f t="shared" si="319"/>
        <v>18/11/2025</v>
      </c>
      <c r="J740" t="str">
        <f t="shared" si="318"/>
        <v>19/11/2025</v>
      </c>
      <c r="M740">
        <v>303</v>
      </c>
      <c r="N740" t="str">
        <f t="shared" si="322"/>
        <v>RECEITAS COM ENTREGAS</v>
      </c>
      <c r="P740">
        <v>770.79</v>
      </c>
      <c r="Q740" t="str">
        <f>"PENSE FARMA 22 (10198)"</f>
        <v>PENSE FARMA 22 (10198)</v>
      </c>
      <c r="R740" t="str">
        <f t="shared" si="323"/>
        <v>RECEITAS COM ENTREGAS (303)</v>
      </c>
      <c r="S740">
        <v>3244</v>
      </c>
      <c r="T740">
        <v>2659</v>
      </c>
      <c r="U740" t="s">
        <v>21</v>
      </c>
    </row>
    <row r="741" spans="1:21">
      <c r="A741" t="str">
        <f t="shared" si="316"/>
        <v>19/11/2025</v>
      </c>
      <c r="B741" t="str">
        <f t="shared" ref="B741:B788" si="325">"SAÍDA"</f>
        <v>SAÍDA</v>
      </c>
      <c r="C741" t="str">
        <f t="shared" ref="C741:C788" si="326">"BOLETO"</f>
        <v>BOLETO</v>
      </c>
      <c r="D741" t="str">
        <f t="shared" ref="D741:D788" si="327">"011125"</f>
        <v>011125</v>
      </c>
      <c r="E741" t="str">
        <f t="shared" si="317"/>
        <v>COM</v>
      </c>
      <c r="F741" t="str">
        <f t="shared" ref="F741:F788" si="328">"CORA SOCIEDADE DE CREDITO, FINANCIAMENTO E INVESTIMENTO (20035)"</f>
        <v>CORA SOCIEDADE DE CREDITO, FINANCIAMENTO E INVESTIMENTO (20035)</v>
      </c>
      <c r="G741" t="str">
        <f t="shared" ref="G741:G788" si="329">"TAXA BOLETO CORA"</f>
        <v>TAXA BOLETO CORA</v>
      </c>
      <c r="H741" t="str">
        <f t="shared" si="324"/>
        <v>19/11/2025</v>
      </c>
      <c r="I741" t="str">
        <f t="shared" ref="I741:I788" si="330">("01/11/2025")</f>
        <v>01/11/2025</v>
      </c>
      <c r="J741" t="str">
        <f t="shared" si="318"/>
        <v>19/11/2025</v>
      </c>
      <c r="K741">
        <v>1.7</v>
      </c>
      <c r="L741">
        <v>1.7</v>
      </c>
      <c r="M741">
        <v>401</v>
      </c>
      <c r="N741" t="str">
        <f t="shared" ref="N741:N788" si="331">"IOF/JUROS/DESP.FINANCEIRA"</f>
        <v>IOF/JUROS/DESP.FINANCEIRA</v>
      </c>
      <c r="O741">
        <v>1.7</v>
      </c>
      <c r="R741" t="str">
        <f t="shared" ref="R741:R788" si="332">"BANCO CORA (102)"</f>
        <v>BANCO CORA (102)</v>
      </c>
      <c r="S741">
        <v>3245</v>
      </c>
      <c r="T741">
        <v>2887</v>
      </c>
      <c r="U741" t="s">
        <v>21</v>
      </c>
    </row>
    <row r="742" spans="1:21">
      <c r="A742" t="str">
        <f t="shared" si="316"/>
        <v>19/11/2025</v>
      </c>
      <c r="B742" t="str">
        <f t="shared" si="325"/>
        <v>SAÍDA</v>
      </c>
      <c r="C742" t="str">
        <f t="shared" si="326"/>
        <v>BOLETO</v>
      </c>
      <c r="D742" t="str">
        <f t="shared" si="327"/>
        <v>011125</v>
      </c>
      <c r="E742" t="str">
        <f t="shared" si="317"/>
        <v>COM</v>
      </c>
      <c r="F742" t="str">
        <f t="shared" si="328"/>
        <v>CORA SOCIEDADE DE CREDITO, FINANCIAMENTO E INVESTIMENTO (20035)</v>
      </c>
      <c r="G742" t="str">
        <f t="shared" si="329"/>
        <v>TAXA BOLETO CORA</v>
      </c>
      <c r="H742" t="str">
        <f t="shared" si="324"/>
        <v>19/11/2025</v>
      </c>
      <c r="I742" t="str">
        <f t="shared" si="330"/>
        <v>01/11/2025</v>
      </c>
      <c r="J742" t="str">
        <f t="shared" si="318"/>
        <v>19/11/2025</v>
      </c>
      <c r="M742">
        <v>401</v>
      </c>
      <c r="N742" t="str">
        <f t="shared" si="331"/>
        <v>IOF/JUROS/DESP.FINANCEIRA</v>
      </c>
      <c r="P742">
        <v>1.7</v>
      </c>
      <c r="Q742" t="str">
        <f>"CORA SOCIEDADE DE CREDITO, FINANCIAMENTO E INVESTIMENTO (20035)"</f>
        <v>CORA SOCIEDADE DE CREDITO, FINANCIAMENTO E INVESTIMENTO (20035)</v>
      </c>
      <c r="R742" t="str">
        <f t="shared" si="332"/>
        <v>BANCO CORA (102)</v>
      </c>
      <c r="S742">
        <v>3245</v>
      </c>
      <c r="T742">
        <v>2887</v>
      </c>
      <c r="U742" t="s">
        <v>21</v>
      </c>
    </row>
    <row r="743" spans="1:21">
      <c r="A743" t="str">
        <f t="shared" si="316"/>
        <v>19/11/2025</v>
      </c>
      <c r="B743" t="str">
        <f t="shared" si="325"/>
        <v>SAÍDA</v>
      </c>
      <c r="C743" t="str">
        <f t="shared" si="326"/>
        <v>BOLETO</v>
      </c>
      <c r="D743" t="str">
        <f t="shared" si="327"/>
        <v>011125</v>
      </c>
      <c r="E743" t="str">
        <f t="shared" si="317"/>
        <v>COM</v>
      </c>
      <c r="F743" t="str">
        <f t="shared" si="328"/>
        <v>CORA SOCIEDADE DE CREDITO, FINANCIAMENTO E INVESTIMENTO (20035)</v>
      </c>
      <c r="G743" t="str">
        <f t="shared" si="329"/>
        <v>TAXA BOLETO CORA</v>
      </c>
      <c r="H743" t="str">
        <f t="shared" si="324"/>
        <v>19/11/2025</v>
      </c>
      <c r="I743" t="str">
        <f t="shared" si="330"/>
        <v>01/11/2025</v>
      </c>
      <c r="J743" t="str">
        <f t="shared" si="318"/>
        <v>19/11/2025</v>
      </c>
      <c r="K743">
        <v>1.7</v>
      </c>
      <c r="L743">
        <v>1.7</v>
      </c>
      <c r="M743">
        <v>401</v>
      </c>
      <c r="N743" t="str">
        <f t="shared" si="331"/>
        <v>IOF/JUROS/DESP.FINANCEIRA</v>
      </c>
      <c r="O743">
        <v>1.7</v>
      </c>
      <c r="R743" t="str">
        <f t="shared" si="332"/>
        <v>BANCO CORA (102)</v>
      </c>
      <c r="S743">
        <v>3246</v>
      </c>
      <c r="T743">
        <v>2888</v>
      </c>
      <c r="U743" t="s">
        <v>21</v>
      </c>
    </row>
    <row r="744" spans="1:21">
      <c r="A744" t="str">
        <f t="shared" si="316"/>
        <v>19/11/2025</v>
      </c>
      <c r="B744" t="str">
        <f t="shared" si="325"/>
        <v>SAÍDA</v>
      </c>
      <c r="C744" t="str">
        <f t="shared" si="326"/>
        <v>BOLETO</v>
      </c>
      <c r="D744" t="str">
        <f t="shared" si="327"/>
        <v>011125</v>
      </c>
      <c r="E744" t="str">
        <f t="shared" si="317"/>
        <v>COM</v>
      </c>
      <c r="F744" t="str">
        <f t="shared" si="328"/>
        <v>CORA SOCIEDADE DE CREDITO, FINANCIAMENTO E INVESTIMENTO (20035)</v>
      </c>
      <c r="G744" t="str">
        <f t="shared" si="329"/>
        <v>TAXA BOLETO CORA</v>
      </c>
      <c r="H744" t="str">
        <f t="shared" si="324"/>
        <v>19/11/2025</v>
      </c>
      <c r="I744" t="str">
        <f t="shared" si="330"/>
        <v>01/11/2025</v>
      </c>
      <c r="J744" t="str">
        <f t="shared" si="318"/>
        <v>19/11/2025</v>
      </c>
      <c r="M744">
        <v>401</v>
      </c>
      <c r="N744" t="str">
        <f t="shared" si="331"/>
        <v>IOF/JUROS/DESP.FINANCEIRA</v>
      </c>
      <c r="P744">
        <v>1.7</v>
      </c>
      <c r="Q744" t="str">
        <f>"CORA SOCIEDADE DE CREDITO, FINANCIAMENTO E INVESTIMENTO (20035)"</f>
        <v>CORA SOCIEDADE DE CREDITO, FINANCIAMENTO E INVESTIMENTO (20035)</v>
      </c>
      <c r="R744" t="str">
        <f t="shared" si="332"/>
        <v>BANCO CORA (102)</v>
      </c>
      <c r="S744">
        <v>3246</v>
      </c>
      <c r="T744">
        <v>2888</v>
      </c>
      <c r="U744" t="s">
        <v>21</v>
      </c>
    </row>
    <row r="745" spans="1:21">
      <c r="A745" t="str">
        <f t="shared" si="316"/>
        <v>19/11/2025</v>
      </c>
      <c r="B745" t="str">
        <f t="shared" si="325"/>
        <v>SAÍDA</v>
      </c>
      <c r="C745" t="str">
        <f t="shared" si="326"/>
        <v>BOLETO</v>
      </c>
      <c r="D745" t="str">
        <f t="shared" si="327"/>
        <v>011125</v>
      </c>
      <c r="E745" t="str">
        <f t="shared" si="317"/>
        <v>COM</v>
      </c>
      <c r="F745" t="str">
        <f t="shared" si="328"/>
        <v>CORA SOCIEDADE DE CREDITO, FINANCIAMENTO E INVESTIMENTO (20035)</v>
      </c>
      <c r="G745" t="str">
        <f t="shared" si="329"/>
        <v>TAXA BOLETO CORA</v>
      </c>
      <c r="H745" t="str">
        <f t="shared" si="324"/>
        <v>19/11/2025</v>
      </c>
      <c r="I745" t="str">
        <f t="shared" si="330"/>
        <v>01/11/2025</v>
      </c>
      <c r="J745" t="str">
        <f t="shared" si="318"/>
        <v>19/11/2025</v>
      </c>
      <c r="K745">
        <v>1.7</v>
      </c>
      <c r="L745">
        <v>1.7</v>
      </c>
      <c r="M745">
        <v>401</v>
      </c>
      <c r="N745" t="str">
        <f t="shared" si="331"/>
        <v>IOF/JUROS/DESP.FINANCEIRA</v>
      </c>
      <c r="O745">
        <v>1.7</v>
      </c>
      <c r="R745" t="str">
        <f t="shared" si="332"/>
        <v>BANCO CORA (102)</v>
      </c>
      <c r="S745">
        <v>3247</v>
      </c>
      <c r="T745">
        <v>2889</v>
      </c>
      <c r="U745" t="s">
        <v>21</v>
      </c>
    </row>
    <row r="746" spans="1:21">
      <c r="A746" t="str">
        <f t="shared" si="316"/>
        <v>19/11/2025</v>
      </c>
      <c r="B746" t="str">
        <f t="shared" si="325"/>
        <v>SAÍDA</v>
      </c>
      <c r="C746" t="str">
        <f t="shared" si="326"/>
        <v>BOLETO</v>
      </c>
      <c r="D746" t="str">
        <f t="shared" si="327"/>
        <v>011125</v>
      </c>
      <c r="E746" t="str">
        <f t="shared" si="317"/>
        <v>COM</v>
      </c>
      <c r="F746" t="str">
        <f t="shared" si="328"/>
        <v>CORA SOCIEDADE DE CREDITO, FINANCIAMENTO E INVESTIMENTO (20035)</v>
      </c>
      <c r="G746" t="str">
        <f t="shared" si="329"/>
        <v>TAXA BOLETO CORA</v>
      </c>
      <c r="H746" t="str">
        <f t="shared" si="324"/>
        <v>19/11/2025</v>
      </c>
      <c r="I746" t="str">
        <f t="shared" si="330"/>
        <v>01/11/2025</v>
      </c>
      <c r="J746" t="str">
        <f t="shared" si="318"/>
        <v>19/11/2025</v>
      </c>
      <c r="M746">
        <v>401</v>
      </c>
      <c r="N746" t="str">
        <f t="shared" si="331"/>
        <v>IOF/JUROS/DESP.FINANCEIRA</v>
      </c>
      <c r="P746">
        <v>1.7</v>
      </c>
      <c r="Q746" t="str">
        <f>"CORA SOCIEDADE DE CREDITO, FINANCIAMENTO E INVESTIMENTO (20035)"</f>
        <v>CORA SOCIEDADE DE CREDITO, FINANCIAMENTO E INVESTIMENTO (20035)</v>
      </c>
      <c r="R746" t="str">
        <f t="shared" si="332"/>
        <v>BANCO CORA (102)</v>
      </c>
      <c r="S746">
        <v>3247</v>
      </c>
      <c r="T746">
        <v>2889</v>
      </c>
      <c r="U746" t="s">
        <v>21</v>
      </c>
    </row>
    <row r="747" spans="1:21">
      <c r="A747" t="str">
        <f t="shared" si="316"/>
        <v>19/11/2025</v>
      </c>
      <c r="B747" t="str">
        <f t="shared" si="325"/>
        <v>SAÍDA</v>
      </c>
      <c r="C747" t="str">
        <f t="shared" si="326"/>
        <v>BOLETO</v>
      </c>
      <c r="D747" t="str">
        <f t="shared" si="327"/>
        <v>011125</v>
      </c>
      <c r="E747" t="str">
        <f t="shared" si="317"/>
        <v>COM</v>
      </c>
      <c r="F747" t="str">
        <f t="shared" si="328"/>
        <v>CORA SOCIEDADE DE CREDITO, FINANCIAMENTO E INVESTIMENTO (20035)</v>
      </c>
      <c r="G747" t="str">
        <f t="shared" si="329"/>
        <v>TAXA BOLETO CORA</v>
      </c>
      <c r="H747" t="str">
        <f t="shared" si="324"/>
        <v>19/11/2025</v>
      </c>
      <c r="I747" t="str">
        <f t="shared" si="330"/>
        <v>01/11/2025</v>
      </c>
      <c r="J747" t="str">
        <f t="shared" si="318"/>
        <v>19/11/2025</v>
      </c>
      <c r="K747">
        <v>1.7</v>
      </c>
      <c r="L747">
        <v>1.7</v>
      </c>
      <c r="M747">
        <v>401</v>
      </c>
      <c r="N747" t="str">
        <f t="shared" si="331"/>
        <v>IOF/JUROS/DESP.FINANCEIRA</v>
      </c>
      <c r="O747">
        <v>1.7</v>
      </c>
      <c r="R747" t="str">
        <f t="shared" si="332"/>
        <v>BANCO CORA (102)</v>
      </c>
      <c r="S747">
        <v>3248</v>
      </c>
      <c r="T747">
        <v>2890</v>
      </c>
      <c r="U747" t="s">
        <v>21</v>
      </c>
    </row>
    <row r="748" spans="1:21">
      <c r="A748" t="str">
        <f t="shared" si="316"/>
        <v>19/11/2025</v>
      </c>
      <c r="B748" t="str">
        <f t="shared" si="325"/>
        <v>SAÍDA</v>
      </c>
      <c r="C748" t="str">
        <f t="shared" si="326"/>
        <v>BOLETO</v>
      </c>
      <c r="D748" t="str">
        <f t="shared" si="327"/>
        <v>011125</v>
      </c>
      <c r="E748" t="str">
        <f t="shared" si="317"/>
        <v>COM</v>
      </c>
      <c r="F748" t="str">
        <f t="shared" si="328"/>
        <v>CORA SOCIEDADE DE CREDITO, FINANCIAMENTO E INVESTIMENTO (20035)</v>
      </c>
      <c r="G748" t="str">
        <f t="shared" si="329"/>
        <v>TAXA BOLETO CORA</v>
      </c>
      <c r="H748" t="str">
        <f t="shared" si="324"/>
        <v>19/11/2025</v>
      </c>
      <c r="I748" t="str">
        <f t="shared" si="330"/>
        <v>01/11/2025</v>
      </c>
      <c r="J748" t="str">
        <f t="shared" si="318"/>
        <v>19/11/2025</v>
      </c>
      <c r="M748">
        <v>401</v>
      </c>
      <c r="N748" t="str">
        <f t="shared" si="331"/>
        <v>IOF/JUROS/DESP.FINANCEIRA</v>
      </c>
      <c r="P748">
        <v>1.7</v>
      </c>
      <c r="Q748" t="str">
        <f>"CORA SOCIEDADE DE CREDITO, FINANCIAMENTO E INVESTIMENTO (20035)"</f>
        <v>CORA SOCIEDADE DE CREDITO, FINANCIAMENTO E INVESTIMENTO (20035)</v>
      </c>
      <c r="R748" t="str">
        <f t="shared" si="332"/>
        <v>BANCO CORA (102)</v>
      </c>
      <c r="S748">
        <v>3248</v>
      </c>
      <c r="T748">
        <v>2890</v>
      </c>
      <c r="U748" t="s">
        <v>21</v>
      </c>
    </row>
    <row r="749" spans="1:21">
      <c r="A749" t="str">
        <f t="shared" si="316"/>
        <v>19/11/2025</v>
      </c>
      <c r="B749" t="str">
        <f t="shared" si="325"/>
        <v>SAÍDA</v>
      </c>
      <c r="C749" t="str">
        <f t="shared" si="326"/>
        <v>BOLETO</v>
      </c>
      <c r="D749" t="str">
        <f t="shared" si="327"/>
        <v>011125</v>
      </c>
      <c r="E749" t="str">
        <f t="shared" si="317"/>
        <v>COM</v>
      </c>
      <c r="F749" t="str">
        <f t="shared" si="328"/>
        <v>CORA SOCIEDADE DE CREDITO, FINANCIAMENTO E INVESTIMENTO (20035)</v>
      </c>
      <c r="G749" t="str">
        <f t="shared" si="329"/>
        <v>TAXA BOLETO CORA</v>
      </c>
      <c r="H749" t="str">
        <f t="shared" si="324"/>
        <v>19/11/2025</v>
      </c>
      <c r="I749" t="str">
        <f t="shared" si="330"/>
        <v>01/11/2025</v>
      </c>
      <c r="J749" t="str">
        <f t="shared" si="318"/>
        <v>19/11/2025</v>
      </c>
      <c r="K749">
        <v>1.7</v>
      </c>
      <c r="L749">
        <v>1.7</v>
      </c>
      <c r="M749">
        <v>401</v>
      </c>
      <c r="N749" t="str">
        <f t="shared" si="331"/>
        <v>IOF/JUROS/DESP.FINANCEIRA</v>
      </c>
      <c r="O749">
        <v>1.7</v>
      </c>
      <c r="R749" t="str">
        <f t="shared" si="332"/>
        <v>BANCO CORA (102)</v>
      </c>
      <c r="S749">
        <v>3249</v>
      </c>
      <c r="T749">
        <v>2891</v>
      </c>
      <c r="U749" t="s">
        <v>21</v>
      </c>
    </row>
    <row r="750" spans="1:21">
      <c r="A750" t="str">
        <f t="shared" si="316"/>
        <v>19/11/2025</v>
      </c>
      <c r="B750" t="str">
        <f t="shared" si="325"/>
        <v>SAÍDA</v>
      </c>
      <c r="C750" t="str">
        <f t="shared" si="326"/>
        <v>BOLETO</v>
      </c>
      <c r="D750" t="str">
        <f t="shared" si="327"/>
        <v>011125</v>
      </c>
      <c r="E750" t="str">
        <f t="shared" si="317"/>
        <v>COM</v>
      </c>
      <c r="F750" t="str">
        <f t="shared" si="328"/>
        <v>CORA SOCIEDADE DE CREDITO, FINANCIAMENTO E INVESTIMENTO (20035)</v>
      </c>
      <c r="G750" t="str">
        <f t="shared" si="329"/>
        <v>TAXA BOLETO CORA</v>
      </c>
      <c r="H750" t="str">
        <f t="shared" si="324"/>
        <v>19/11/2025</v>
      </c>
      <c r="I750" t="str">
        <f t="shared" si="330"/>
        <v>01/11/2025</v>
      </c>
      <c r="J750" t="str">
        <f t="shared" si="318"/>
        <v>19/11/2025</v>
      </c>
      <c r="M750">
        <v>401</v>
      </c>
      <c r="N750" t="str">
        <f t="shared" si="331"/>
        <v>IOF/JUROS/DESP.FINANCEIRA</v>
      </c>
      <c r="P750">
        <v>1.7</v>
      </c>
      <c r="Q750" t="str">
        <f>"CORA SOCIEDADE DE CREDITO, FINANCIAMENTO E INVESTIMENTO (20035)"</f>
        <v>CORA SOCIEDADE DE CREDITO, FINANCIAMENTO E INVESTIMENTO (20035)</v>
      </c>
      <c r="R750" t="str">
        <f t="shared" si="332"/>
        <v>BANCO CORA (102)</v>
      </c>
      <c r="S750">
        <v>3249</v>
      </c>
      <c r="T750">
        <v>2891</v>
      </c>
      <c r="U750" t="s">
        <v>21</v>
      </c>
    </row>
    <row r="751" spans="1:21">
      <c r="A751" t="str">
        <f t="shared" si="316"/>
        <v>19/11/2025</v>
      </c>
      <c r="B751" t="str">
        <f t="shared" si="325"/>
        <v>SAÍDA</v>
      </c>
      <c r="C751" t="str">
        <f t="shared" si="326"/>
        <v>BOLETO</v>
      </c>
      <c r="D751" t="str">
        <f t="shared" si="327"/>
        <v>011125</v>
      </c>
      <c r="E751" t="str">
        <f t="shared" si="317"/>
        <v>COM</v>
      </c>
      <c r="F751" t="str">
        <f t="shared" si="328"/>
        <v>CORA SOCIEDADE DE CREDITO, FINANCIAMENTO E INVESTIMENTO (20035)</v>
      </c>
      <c r="G751" t="str">
        <f t="shared" si="329"/>
        <v>TAXA BOLETO CORA</v>
      </c>
      <c r="H751" t="str">
        <f t="shared" si="324"/>
        <v>19/11/2025</v>
      </c>
      <c r="I751" t="str">
        <f t="shared" si="330"/>
        <v>01/11/2025</v>
      </c>
      <c r="J751" t="str">
        <f t="shared" si="318"/>
        <v>19/11/2025</v>
      </c>
      <c r="K751">
        <v>1.7</v>
      </c>
      <c r="L751">
        <v>1.7</v>
      </c>
      <c r="M751">
        <v>401</v>
      </c>
      <c r="N751" t="str">
        <f t="shared" si="331"/>
        <v>IOF/JUROS/DESP.FINANCEIRA</v>
      </c>
      <c r="O751">
        <v>1.7</v>
      </c>
      <c r="R751" t="str">
        <f t="shared" si="332"/>
        <v>BANCO CORA (102)</v>
      </c>
      <c r="S751">
        <v>3250</v>
      </c>
      <c r="T751">
        <v>2892</v>
      </c>
      <c r="U751" t="s">
        <v>21</v>
      </c>
    </row>
    <row r="752" spans="1:21">
      <c r="A752" t="str">
        <f t="shared" si="316"/>
        <v>19/11/2025</v>
      </c>
      <c r="B752" t="str">
        <f t="shared" si="325"/>
        <v>SAÍDA</v>
      </c>
      <c r="C752" t="str">
        <f t="shared" si="326"/>
        <v>BOLETO</v>
      </c>
      <c r="D752" t="str">
        <f t="shared" si="327"/>
        <v>011125</v>
      </c>
      <c r="E752" t="str">
        <f t="shared" si="317"/>
        <v>COM</v>
      </c>
      <c r="F752" t="str">
        <f t="shared" si="328"/>
        <v>CORA SOCIEDADE DE CREDITO, FINANCIAMENTO E INVESTIMENTO (20035)</v>
      </c>
      <c r="G752" t="str">
        <f t="shared" si="329"/>
        <v>TAXA BOLETO CORA</v>
      </c>
      <c r="H752" t="str">
        <f t="shared" si="324"/>
        <v>19/11/2025</v>
      </c>
      <c r="I752" t="str">
        <f t="shared" si="330"/>
        <v>01/11/2025</v>
      </c>
      <c r="J752" t="str">
        <f t="shared" si="318"/>
        <v>19/11/2025</v>
      </c>
      <c r="M752">
        <v>401</v>
      </c>
      <c r="N752" t="str">
        <f t="shared" si="331"/>
        <v>IOF/JUROS/DESP.FINANCEIRA</v>
      </c>
      <c r="P752">
        <v>1.7</v>
      </c>
      <c r="Q752" t="str">
        <f>"CORA SOCIEDADE DE CREDITO, FINANCIAMENTO E INVESTIMENTO (20035)"</f>
        <v>CORA SOCIEDADE DE CREDITO, FINANCIAMENTO E INVESTIMENTO (20035)</v>
      </c>
      <c r="R752" t="str">
        <f t="shared" si="332"/>
        <v>BANCO CORA (102)</v>
      </c>
      <c r="S752">
        <v>3250</v>
      </c>
      <c r="T752">
        <v>2892</v>
      </c>
      <c r="U752" t="s">
        <v>21</v>
      </c>
    </row>
    <row r="753" spans="1:21">
      <c r="A753" t="str">
        <f t="shared" si="316"/>
        <v>19/11/2025</v>
      </c>
      <c r="B753" t="str">
        <f t="shared" si="325"/>
        <v>SAÍDA</v>
      </c>
      <c r="C753" t="str">
        <f t="shared" si="326"/>
        <v>BOLETO</v>
      </c>
      <c r="D753" t="str">
        <f t="shared" si="327"/>
        <v>011125</v>
      </c>
      <c r="E753" t="str">
        <f t="shared" si="317"/>
        <v>COM</v>
      </c>
      <c r="F753" t="str">
        <f t="shared" si="328"/>
        <v>CORA SOCIEDADE DE CREDITO, FINANCIAMENTO E INVESTIMENTO (20035)</v>
      </c>
      <c r="G753" t="str">
        <f t="shared" si="329"/>
        <v>TAXA BOLETO CORA</v>
      </c>
      <c r="H753" t="str">
        <f t="shared" si="324"/>
        <v>19/11/2025</v>
      </c>
      <c r="I753" t="str">
        <f t="shared" si="330"/>
        <v>01/11/2025</v>
      </c>
      <c r="J753" t="str">
        <f t="shared" si="318"/>
        <v>19/11/2025</v>
      </c>
      <c r="K753">
        <v>1.7</v>
      </c>
      <c r="L753">
        <v>1.7</v>
      </c>
      <c r="M753">
        <v>401</v>
      </c>
      <c r="N753" t="str">
        <f t="shared" si="331"/>
        <v>IOF/JUROS/DESP.FINANCEIRA</v>
      </c>
      <c r="O753">
        <v>1.7</v>
      </c>
      <c r="R753" t="str">
        <f t="shared" si="332"/>
        <v>BANCO CORA (102)</v>
      </c>
      <c r="S753">
        <v>3251</v>
      </c>
      <c r="T753">
        <v>2893</v>
      </c>
      <c r="U753" t="s">
        <v>21</v>
      </c>
    </row>
    <row r="754" spans="1:21">
      <c r="A754" t="str">
        <f t="shared" si="316"/>
        <v>19/11/2025</v>
      </c>
      <c r="B754" t="str">
        <f t="shared" si="325"/>
        <v>SAÍDA</v>
      </c>
      <c r="C754" t="str">
        <f t="shared" si="326"/>
        <v>BOLETO</v>
      </c>
      <c r="D754" t="str">
        <f t="shared" si="327"/>
        <v>011125</v>
      </c>
      <c r="E754" t="str">
        <f t="shared" si="317"/>
        <v>COM</v>
      </c>
      <c r="F754" t="str">
        <f t="shared" si="328"/>
        <v>CORA SOCIEDADE DE CREDITO, FINANCIAMENTO E INVESTIMENTO (20035)</v>
      </c>
      <c r="G754" t="str">
        <f t="shared" si="329"/>
        <v>TAXA BOLETO CORA</v>
      </c>
      <c r="H754" t="str">
        <f t="shared" si="324"/>
        <v>19/11/2025</v>
      </c>
      <c r="I754" t="str">
        <f t="shared" si="330"/>
        <v>01/11/2025</v>
      </c>
      <c r="J754" t="str">
        <f t="shared" si="318"/>
        <v>19/11/2025</v>
      </c>
      <c r="M754">
        <v>401</v>
      </c>
      <c r="N754" t="str">
        <f t="shared" si="331"/>
        <v>IOF/JUROS/DESP.FINANCEIRA</v>
      </c>
      <c r="P754">
        <v>1.7</v>
      </c>
      <c r="Q754" t="str">
        <f>"CORA SOCIEDADE DE CREDITO, FINANCIAMENTO E INVESTIMENTO (20035)"</f>
        <v>CORA SOCIEDADE DE CREDITO, FINANCIAMENTO E INVESTIMENTO (20035)</v>
      </c>
      <c r="R754" t="str">
        <f t="shared" si="332"/>
        <v>BANCO CORA (102)</v>
      </c>
      <c r="S754">
        <v>3251</v>
      </c>
      <c r="T754">
        <v>2893</v>
      </c>
      <c r="U754" t="s">
        <v>21</v>
      </c>
    </row>
    <row r="755" spans="1:21">
      <c r="A755" t="str">
        <f t="shared" si="316"/>
        <v>19/11/2025</v>
      </c>
      <c r="B755" t="str">
        <f t="shared" si="325"/>
        <v>SAÍDA</v>
      </c>
      <c r="C755" t="str">
        <f t="shared" si="326"/>
        <v>BOLETO</v>
      </c>
      <c r="D755" t="str">
        <f t="shared" si="327"/>
        <v>011125</v>
      </c>
      <c r="E755" t="str">
        <f t="shared" si="317"/>
        <v>COM</v>
      </c>
      <c r="F755" t="str">
        <f t="shared" si="328"/>
        <v>CORA SOCIEDADE DE CREDITO, FINANCIAMENTO E INVESTIMENTO (20035)</v>
      </c>
      <c r="G755" t="str">
        <f t="shared" si="329"/>
        <v>TAXA BOLETO CORA</v>
      </c>
      <c r="H755" t="str">
        <f t="shared" si="324"/>
        <v>19/11/2025</v>
      </c>
      <c r="I755" t="str">
        <f t="shared" si="330"/>
        <v>01/11/2025</v>
      </c>
      <c r="J755" t="str">
        <f t="shared" si="318"/>
        <v>19/11/2025</v>
      </c>
      <c r="K755">
        <v>1.7</v>
      </c>
      <c r="L755">
        <v>1.7</v>
      </c>
      <c r="M755">
        <v>401</v>
      </c>
      <c r="N755" t="str">
        <f t="shared" si="331"/>
        <v>IOF/JUROS/DESP.FINANCEIRA</v>
      </c>
      <c r="O755">
        <v>1.7</v>
      </c>
      <c r="R755" t="str">
        <f t="shared" si="332"/>
        <v>BANCO CORA (102)</v>
      </c>
      <c r="S755">
        <v>3252</v>
      </c>
      <c r="T755">
        <v>2894</v>
      </c>
      <c r="U755" t="s">
        <v>21</v>
      </c>
    </row>
    <row r="756" spans="1:21">
      <c r="A756" t="str">
        <f t="shared" si="316"/>
        <v>19/11/2025</v>
      </c>
      <c r="B756" t="str">
        <f t="shared" si="325"/>
        <v>SAÍDA</v>
      </c>
      <c r="C756" t="str">
        <f t="shared" si="326"/>
        <v>BOLETO</v>
      </c>
      <c r="D756" t="str">
        <f t="shared" si="327"/>
        <v>011125</v>
      </c>
      <c r="E756" t="str">
        <f t="shared" si="317"/>
        <v>COM</v>
      </c>
      <c r="F756" t="str">
        <f t="shared" si="328"/>
        <v>CORA SOCIEDADE DE CREDITO, FINANCIAMENTO E INVESTIMENTO (20035)</v>
      </c>
      <c r="G756" t="str">
        <f t="shared" si="329"/>
        <v>TAXA BOLETO CORA</v>
      </c>
      <c r="H756" t="str">
        <f t="shared" si="324"/>
        <v>19/11/2025</v>
      </c>
      <c r="I756" t="str">
        <f t="shared" si="330"/>
        <v>01/11/2025</v>
      </c>
      <c r="J756" t="str">
        <f t="shared" si="318"/>
        <v>19/11/2025</v>
      </c>
      <c r="M756">
        <v>401</v>
      </c>
      <c r="N756" t="str">
        <f t="shared" si="331"/>
        <v>IOF/JUROS/DESP.FINANCEIRA</v>
      </c>
      <c r="P756">
        <v>1.7</v>
      </c>
      <c r="Q756" t="str">
        <f>"CORA SOCIEDADE DE CREDITO, FINANCIAMENTO E INVESTIMENTO (20035)"</f>
        <v>CORA SOCIEDADE DE CREDITO, FINANCIAMENTO E INVESTIMENTO (20035)</v>
      </c>
      <c r="R756" t="str">
        <f t="shared" si="332"/>
        <v>BANCO CORA (102)</v>
      </c>
      <c r="S756">
        <v>3252</v>
      </c>
      <c r="T756">
        <v>2894</v>
      </c>
      <c r="U756" t="s">
        <v>21</v>
      </c>
    </row>
    <row r="757" spans="1:21">
      <c r="A757" t="str">
        <f t="shared" si="316"/>
        <v>19/11/2025</v>
      </c>
      <c r="B757" t="str">
        <f t="shared" si="325"/>
        <v>SAÍDA</v>
      </c>
      <c r="C757" t="str">
        <f t="shared" si="326"/>
        <v>BOLETO</v>
      </c>
      <c r="D757" t="str">
        <f t="shared" si="327"/>
        <v>011125</v>
      </c>
      <c r="E757" t="str">
        <f t="shared" si="317"/>
        <v>COM</v>
      </c>
      <c r="F757" t="str">
        <f t="shared" si="328"/>
        <v>CORA SOCIEDADE DE CREDITO, FINANCIAMENTO E INVESTIMENTO (20035)</v>
      </c>
      <c r="G757" t="str">
        <f t="shared" si="329"/>
        <v>TAXA BOLETO CORA</v>
      </c>
      <c r="H757" t="str">
        <f t="shared" si="324"/>
        <v>19/11/2025</v>
      </c>
      <c r="I757" t="str">
        <f t="shared" si="330"/>
        <v>01/11/2025</v>
      </c>
      <c r="J757" t="str">
        <f t="shared" si="318"/>
        <v>19/11/2025</v>
      </c>
      <c r="K757">
        <v>1.7</v>
      </c>
      <c r="L757">
        <v>1.7</v>
      </c>
      <c r="M757">
        <v>401</v>
      </c>
      <c r="N757" t="str">
        <f t="shared" si="331"/>
        <v>IOF/JUROS/DESP.FINANCEIRA</v>
      </c>
      <c r="O757">
        <v>1.7</v>
      </c>
      <c r="R757" t="str">
        <f t="shared" si="332"/>
        <v>BANCO CORA (102)</v>
      </c>
      <c r="S757">
        <v>3253</v>
      </c>
      <c r="T757">
        <v>2895</v>
      </c>
      <c r="U757" t="s">
        <v>21</v>
      </c>
    </row>
    <row r="758" spans="1:21">
      <c r="A758" t="str">
        <f t="shared" si="316"/>
        <v>19/11/2025</v>
      </c>
      <c r="B758" t="str">
        <f t="shared" si="325"/>
        <v>SAÍDA</v>
      </c>
      <c r="C758" t="str">
        <f t="shared" si="326"/>
        <v>BOLETO</v>
      </c>
      <c r="D758" t="str">
        <f t="shared" si="327"/>
        <v>011125</v>
      </c>
      <c r="E758" t="str">
        <f t="shared" si="317"/>
        <v>COM</v>
      </c>
      <c r="F758" t="str">
        <f t="shared" si="328"/>
        <v>CORA SOCIEDADE DE CREDITO, FINANCIAMENTO E INVESTIMENTO (20035)</v>
      </c>
      <c r="G758" t="str">
        <f t="shared" si="329"/>
        <v>TAXA BOLETO CORA</v>
      </c>
      <c r="H758" t="str">
        <f t="shared" si="324"/>
        <v>19/11/2025</v>
      </c>
      <c r="I758" t="str">
        <f t="shared" si="330"/>
        <v>01/11/2025</v>
      </c>
      <c r="J758" t="str">
        <f t="shared" si="318"/>
        <v>19/11/2025</v>
      </c>
      <c r="M758">
        <v>401</v>
      </c>
      <c r="N758" t="str">
        <f t="shared" si="331"/>
        <v>IOF/JUROS/DESP.FINANCEIRA</v>
      </c>
      <c r="P758">
        <v>1.7</v>
      </c>
      <c r="Q758" t="str">
        <f>"CORA SOCIEDADE DE CREDITO, FINANCIAMENTO E INVESTIMENTO (20035)"</f>
        <v>CORA SOCIEDADE DE CREDITO, FINANCIAMENTO E INVESTIMENTO (20035)</v>
      </c>
      <c r="R758" t="str">
        <f t="shared" si="332"/>
        <v>BANCO CORA (102)</v>
      </c>
      <c r="S758">
        <v>3253</v>
      </c>
      <c r="T758">
        <v>2895</v>
      </c>
      <c r="U758" t="s">
        <v>21</v>
      </c>
    </row>
    <row r="759" spans="1:21">
      <c r="A759" t="str">
        <f t="shared" si="316"/>
        <v>19/11/2025</v>
      </c>
      <c r="B759" t="str">
        <f t="shared" si="325"/>
        <v>SAÍDA</v>
      </c>
      <c r="C759" t="str">
        <f t="shared" si="326"/>
        <v>BOLETO</v>
      </c>
      <c r="D759" t="str">
        <f t="shared" si="327"/>
        <v>011125</v>
      </c>
      <c r="E759" t="str">
        <f t="shared" si="317"/>
        <v>COM</v>
      </c>
      <c r="F759" t="str">
        <f t="shared" si="328"/>
        <v>CORA SOCIEDADE DE CREDITO, FINANCIAMENTO E INVESTIMENTO (20035)</v>
      </c>
      <c r="G759" t="str">
        <f t="shared" si="329"/>
        <v>TAXA BOLETO CORA</v>
      </c>
      <c r="H759" t="str">
        <f t="shared" si="324"/>
        <v>19/11/2025</v>
      </c>
      <c r="I759" t="str">
        <f t="shared" si="330"/>
        <v>01/11/2025</v>
      </c>
      <c r="J759" t="str">
        <f t="shared" si="318"/>
        <v>19/11/2025</v>
      </c>
      <c r="K759">
        <v>1.7</v>
      </c>
      <c r="L759">
        <v>1.7</v>
      </c>
      <c r="M759">
        <v>401</v>
      </c>
      <c r="N759" t="str">
        <f t="shared" si="331"/>
        <v>IOF/JUROS/DESP.FINANCEIRA</v>
      </c>
      <c r="O759">
        <v>1.7</v>
      </c>
      <c r="R759" t="str">
        <f t="shared" si="332"/>
        <v>BANCO CORA (102)</v>
      </c>
      <c r="S759">
        <v>3254</v>
      </c>
      <c r="T759">
        <v>2896</v>
      </c>
      <c r="U759" t="s">
        <v>21</v>
      </c>
    </row>
    <row r="760" spans="1:21">
      <c r="A760" t="str">
        <f t="shared" si="316"/>
        <v>19/11/2025</v>
      </c>
      <c r="B760" t="str">
        <f t="shared" si="325"/>
        <v>SAÍDA</v>
      </c>
      <c r="C760" t="str">
        <f t="shared" si="326"/>
        <v>BOLETO</v>
      </c>
      <c r="D760" t="str">
        <f t="shared" si="327"/>
        <v>011125</v>
      </c>
      <c r="E760" t="str">
        <f t="shared" si="317"/>
        <v>COM</v>
      </c>
      <c r="F760" t="str">
        <f t="shared" si="328"/>
        <v>CORA SOCIEDADE DE CREDITO, FINANCIAMENTO E INVESTIMENTO (20035)</v>
      </c>
      <c r="G760" t="str">
        <f t="shared" si="329"/>
        <v>TAXA BOLETO CORA</v>
      </c>
      <c r="H760" t="str">
        <f t="shared" si="324"/>
        <v>19/11/2025</v>
      </c>
      <c r="I760" t="str">
        <f t="shared" si="330"/>
        <v>01/11/2025</v>
      </c>
      <c r="J760" t="str">
        <f t="shared" si="318"/>
        <v>19/11/2025</v>
      </c>
      <c r="M760">
        <v>401</v>
      </c>
      <c r="N760" t="str">
        <f t="shared" si="331"/>
        <v>IOF/JUROS/DESP.FINANCEIRA</v>
      </c>
      <c r="P760">
        <v>1.7</v>
      </c>
      <c r="Q760" t="str">
        <f>"CORA SOCIEDADE DE CREDITO, FINANCIAMENTO E INVESTIMENTO (20035)"</f>
        <v>CORA SOCIEDADE DE CREDITO, FINANCIAMENTO E INVESTIMENTO (20035)</v>
      </c>
      <c r="R760" t="str">
        <f t="shared" si="332"/>
        <v>BANCO CORA (102)</v>
      </c>
      <c r="S760">
        <v>3254</v>
      </c>
      <c r="T760">
        <v>2896</v>
      </c>
      <c r="U760" t="s">
        <v>21</v>
      </c>
    </row>
    <row r="761" spans="1:21">
      <c r="A761" t="str">
        <f t="shared" si="316"/>
        <v>19/11/2025</v>
      </c>
      <c r="B761" t="str">
        <f t="shared" si="325"/>
        <v>SAÍDA</v>
      </c>
      <c r="C761" t="str">
        <f t="shared" si="326"/>
        <v>BOLETO</v>
      </c>
      <c r="D761" t="str">
        <f t="shared" si="327"/>
        <v>011125</v>
      </c>
      <c r="E761" t="str">
        <f t="shared" si="317"/>
        <v>COM</v>
      </c>
      <c r="F761" t="str">
        <f t="shared" si="328"/>
        <v>CORA SOCIEDADE DE CREDITO, FINANCIAMENTO E INVESTIMENTO (20035)</v>
      </c>
      <c r="G761" t="str">
        <f t="shared" si="329"/>
        <v>TAXA BOLETO CORA</v>
      </c>
      <c r="H761" t="str">
        <f t="shared" si="324"/>
        <v>19/11/2025</v>
      </c>
      <c r="I761" t="str">
        <f t="shared" si="330"/>
        <v>01/11/2025</v>
      </c>
      <c r="J761" t="str">
        <f t="shared" si="318"/>
        <v>19/11/2025</v>
      </c>
      <c r="K761">
        <v>1.7</v>
      </c>
      <c r="L761">
        <v>1.7</v>
      </c>
      <c r="M761">
        <v>401</v>
      </c>
      <c r="N761" t="str">
        <f t="shared" si="331"/>
        <v>IOF/JUROS/DESP.FINANCEIRA</v>
      </c>
      <c r="O761">
        <v>1.7</v>
      </c>
      <c r="R761" t="str">
        <f t="shared" si="332"/>
        <v>BANCO CORA (102)</v>
      </c>
      <c r="S761">
        <v>3255</v>
      </c>
      <c r="T761">
        <v>2897</v>
      </c>
      <c r="U761" t="s">
        <v>21</v>
      </c>
    </row>
    <row r="762" spans="1:21">
      <c r="A762" t="str">
        <f t="shared" si="316"/>
        <v>19/11/2025</v>
      </c>
      <c r="B762" t="str">
        <f t="shared" si="325"/>
        <v>SAÍDA</v>
      </c>
      <c r="C762" t="str">
        <f t="shared" si="326"/>
        <v>BOLETO</v>
      </c>
      <c r="D762" t="str">
        <f t="shared" si="327"/>
        <v>011125</v>
      </c>
      <c r="E762" t="str">
        <f t="shared" si="317"/>
        <v>COM</v>
      </c>
      <c r="F762" t="str">
        <f t="shared" si="328"/>
        <v>CORA SOCIEDADE DE CREDITO, FINANCIAMENTO E INVESTIMENTO (20035)</v>
      </c>
      <c r="G762" t="str">
        <f t="shared" si="329"/>
        <v>TAXA BOLETO CORA</v>
      </c>
      <c r="H762" t="str">
        <f t="shared" si="324"/>
        <v>19/11/2025</v>
      </c>
      <c r="I762" t="str">
        <f t="shared" si="330"/>
        <v>01/11/2025</v>
      </c>
      <c r="J762" t="str">
        <f t="shared" si="318"/>
        <v>19/11/2025</v>
      </c>
      <c r="M762">
        <v>401</v>
      </c>
      <c r="N762" t="str">
        <f t="shared" si="331"/>
        <v>IOF/JUROS/DESP.FINANCEIRA</v>
      </c>
      <c r="P762">
        <v>1.7</v>
      </c>
      <c r="Q762" t="str">
        <f>"CORA SOCIEDADE DE CREDITO, FINANCIAMENTO E INVESTIMENTO (20035)"</f>
        <v>CORA SOCIEDADE DE CREDITO, FINANCIAMENTO E INVESTIMENTO (20035)</v>
      </c>
      <c r="R762" t="str">
        <f t="shared" si="332"/>
        <v>BANCO CORA (102)</v>
      </c>
      <c r="S762">
        <v>3255</v>
      </c>
      <c r="T762">
        <v>2897</v>
      </c>
      <c r="U762" t="s">
        <v>21</v>
      </c>
    </row>
    <row r="763" spans="1:21">
      <c r="A763" t="str">
        <f t="shared" si="316"/>
        <v>19/11/2025</v>
      </c>
      <c r="B763" t="str">
        <f t="shared" si="325"/>
        <v>SAÍDA</v>
      </c>
      <c r="C763" t="str">
        <f t="shared" si="326"/>
        <v>BOLETO</v>
      </c>
      <c r="D763" t="str">
        <f t="shared" si="327"/>
        <v>011125</v>
      </c>
      <c r="E763" t="str">
        <f t="shared" si="317"/>
        <v>COM</v>
      </c>
      <c r="F763" t="str">
        <f t="shared" si="328"/>
        <v>CORA SOCIEDADE DE CREDITO, FINANCIAMENTO E INVESTIMENTO (20035)</v>
      </c>
      <c r="G763" t="str">
        <f t="shared" si="329"/>
        <v>TAXA BOLETO CORA</v>
      </c>
      <c r="H763" t="str">
        <f t="shared" si="324"/>
        <v>19/11/2025</v>
      </c>
      <c r="I763" t="str">
        <f t="shared" si="330"/>
        <v>01/11/2025</v>
      </c>
      <c r="J763" t="str">
        <f t="shared" si="318"/>
        <v>19/11/2025</v>
      </c>
      <c r="K763">
        <v>1.7</v>
      </c>
      <c r="L763">
        <v>1.7</v>
      </c>
      <c r="M763">
        <v>401</v>
      </c>
      <c r="N763" t="str">
        <f t="shared" si="331"/>
        <v>IOF/JUROS/DESP.FINANCEIRA</v>
      </c>
      <c r="O763">
        <v>1.7</v>
      </c>
      <c r="R763" t="str">
        <f t="shared" si="332"/>
        <v>BANCO CORA (102)</v>
      </c>
      <c r="S763">
        <v>3256</v>
      </c>
      <c r="T763">
        <v>2898</v>
      </c>
      <c r="U763" t="s">
        <v>21</v>
      </c>
    </row>
    <row r="764" spans="1:21">
      <c r="A764" t="str">
        <f t="shared" si="316"/>
        <v>19/11/2025</v>
      </c>
      <c r="B764" t="str">
        <f t="shared" si="325"/>
        <v>SAÍDA</v>
      </c>
      <c r="C764" t="str">
        <f t="shared" si="326"/>
        <v>BOLETO</v>
      </c>
      <c r="D764" t="str">
        <f t="shared" si="327"/>
        <v>011125</v>
      </c>
      <c r="E764" t="str">
        <f t="shared" si="317"/>
        <v>COM</v>
      </c>
      <c r="F764" t="str">
        <f t="shared" si="328"/>
        <v>CORA SOCIEDADE DE CREDITO, FINANCIAMENTO E INVESTIMENTO (20035)</v>
      </c>
      <c r="G764" t="str">
        <f t="shared" si="329"/>
        <v>TAXA BOLETO CORA</v>
      </c>
      <c r="H764" t="str">
        <f t="shared" si="324"/>
        <v>19/11/2025</v>
      </c>
      <c r="I764" t="str">
        <f t="shared" si="330"/>
        <v>01/11/2025</v>
      </c>
      <c r="J764" t="str">
        <f t="shared" si="318"/>
        <v>19/11/2025</v>
      </c>
      <c r="M764">
        <v>401</v>
      </c>
      <c r="N764" t="str">
        <f t="shared" si="331"/>
        <v>IOF/JUROS/DESP.FINANCEIRA</v>
      </c>
      <c r="P764">
        <v>1.7</v>
      </c>
      <c r="Q764" t="str">
        <f>"CORA SOCIEDADE DE CREDITO, FINANCIAMENTO E INVESTIMENTO (20035)"</f>
        <v>CORA SOCIEDADE DE CREDITO, FINANCIAMENTO E INVESTIMENTO (20035)</v>
      </c>
      <c r="R764" t="str">
        <f t="shared" si="332"/>
        <v>BANCO CORA (102)</v>
      </c>
      <c r="S764">
        <v>3256</v>
      </c>
      <c r="T764">
        <v>2898</v>
      </c>
      <c r="U764" t="s">
        <v>21</v>
      </c>
    </row>
    <row r="765" spans="1:21">
      <c r="A765" t="str">
        <f t="shared" si="316"/>
        <v>19/11/2025</v>
      </c>
      <c r="B765" t="str">
        <f t="shared" si="325"/>
        <v>SAÍDA</v>
      </c>
      <c r="C765" t="str">
        <f t="shared" si="326"/>
        <v>BOLETO</v>
      </c>
      <c r="D765" t="str">
        <f t="shared" si="327"/>
        <v>011125</v>
      </c>
      <c r="E765" t="str">
        <f t="shared" si="317"/>
        <v>COM</v>
      </c>
      <c r="F765" t="str">
        <f t="shared" si="328"/>
        <v>CORA SOCIEDADE DE CREDITO, FINANCIAMENTO E INVESTIMENTO (20035)</v>
      </c>
      <c r="G765" t="str">
        <f t="shared" si="329"/>
        <v>TAXA BOLETO CORA</v>
      </c>
      <c r="H765" t="str">
        <f t="shared" ref="H765:H796" si="333">("19/11/2025")</f>
        <v>19/11/2025</v>
      </c>
      <c r="I765" t="str">
        <f t="shared" si="330"/>
        <v>01/11/2025</v>
      </c>
      <c r="J765" t="str">
        <f t="shared" si="318"/>
        <v>19/11/2025</v>
      </c>
      <c r="K765">
        <v>1.7</v>
      </c>
      <c r="L765">
        <v>1.7</v>
      </c>
      <c r="M765">
        <v>401</v>
      </c>
      <c r="N765" t="str">
        <f t="shared" si="331"/>
        <v>IOF/JUROS/DESP.FINANCEIRA</v>
      </c>
      <c r="O765">
        <v>1.7</v>
      </c>
      <c r="R765" t="str">
        <f t="shared" si="332"/>
        <v>BANCO CORA (102)</v>
      </c>
      <c r="S765">
        <v>3257</v>
      </c>
      <c r="T765">
        <v>2899</v>
      </c>
      <c r="U765" t="s">
        <v>21</v>
      </c>
    </row>
    <row r="766" spans="1:21">
      <c r="A766" t="str">
        <f t="shared" si="316"/>
        <v>19/11/2025</v>
      </c>
      <c r="B766" t="str">
        <f t="shared" si="325"/>
        <v>SAÍDA</v>
      </c>
      <c r="C766" t="str">
        <f t="shared" si="326"/>
        <v>BOLETO</v>
      </c>
      <c r="D766" t="str">
        <f t="shared" si="327"/>
        <v>011125</v>
      </c>
      <c r="E766" t="str">
        <f t="shared" si="317"/>
        <v>COM</v>
      </c>
      <c r="F766" t="str">
        <f t="shared" si="328"/>
        <v>CORA SOCIEDADE DE CREDITO, FINANCIAMENTO E INVESTIMENTO (20035)</v>
      </c>
      <c r="G766" t="str">
        <f t="shared" si="329"/>
        <v>TAXA BOLETO CORA</v>
      </c>
      <c r="H766" t="str">
        <f t="shared" si="333"/>
        <v>19/11/2025</v>
      </c>
      <c r="I766" t="str">
        <f t="shared" si="330"/>
        <v>01/11/2025</v>
      </c>
      <c r="J766" t="str">
        <f t="shared" si="318"/>
        <v>19/11/2025</v>
      </c>
      <c r="M766">
        <v>401</v>
      </c>
      <c r="N766" t="str">
        <f t="shared" si="331"/>
        <v>IOF/JUROS/DESP.FINANCEIRA</v>
      </c>
      <c r="P766">
        <v>1.7</v>
      </c>
      <c r="Q766" t="str">
        <f>"CORA SOCIEDADE DE CREDITO, FINANCIAMENTO E INVESTIMENTO (20035)"</f>
        <v>CORA SOCIEDADE DE CREDITO, FINANCIAMENTO E INVESTIMENTO (20035)</v>
      </c>
      <c r="R766" t="str">
        <f t="shared" si="332"/>
        <v>BANCO CORA (102)</v>
      </c>
      <c r="S766">
        <v>3257</v>
      </c>
      <c r="T766">
        <v>2899</v>
      </c>
      <c r="U766" t="s">
        <v>21</v>
      </c>
    </row>
    <row r="767" spans="1:21">
      <c r="A767" t="str">
        <f t="shared" si="316"/>
        <v>19/11/2025</v>
      </c>
      <c r="B767" t="str">
        <f t="shared" si="325"/>
        <v>SAÍDA</v>
      </c>
      <c r="C767" t="str">
        <f t="shared" si="326"/>
        <v>BOLETO</v>
      </c>
      <c r="D767" t="str">
        <f t="shared" si="327"/>
        <v>011125</v>
      </c>
      <c r="E767" t="str">
        <f t="shared" si="317"/>
        <v>COM</v>
      </c>
      <c r="F767" t="str">
        <f t="shared" si="328"/>
        <v>CORA SOCIEDADE DE CREDITO, FINANCIAMENTO E INVESTIMENTO (20035)</v>
      </c>
      <c r="G767" t="str">
        <f t="shared" si="329"/>
        <v>TAXA BOLETO CORA</v>
      </c>
      <c r="H767" t="str">
        <f t="shared" si="333"/>
        <v>19/11/2025</v>
      </c>
      <c r="I767" t="str">
        <f t="shared" si="330"/>
        <v>01/11/2025</v>
      </c>
      <c r="J767" t="str">
        <f t="shared" si="318"/>
        <v>19/11/2025</v>
      </c>
      <c r="K767">
        <v>1.7</v>
      </c>
      <c r="L767">
        <v>1.7</v>
      </c>
      <c r="M767">
        <v>401</v>
      </c>
      <c r="N767" t="str">
        <f t="shared" si="331"/>
        <v>IOF/JUROS/DESP.FINANCEIRA</v>
      </c>
      <c r="O767">
        <v>1.7</v>
      </c>
      <c r="R767" t="str">
        <f t="shared" si="332"/>
        <v>BANCO CORA (102)</v>
      </c>
      <c r="S767">
        <v>3258</v>
      </c>
      <c r="T767">
        <v>2900</v>
      </c>
      <c r="U767" t="s">
        <v>21</v>
      </c>
    </row>
    <row r="768" spans="1:21">
      <c r="A768" t="str">
        <f t="shared" si="316"/>
        <v>19/11/2025</v>
      </c>
      <c r="B768" t="str">
        <f t="shared" si="325"/>
        <v>SAÍDA</v>
      </c>
      <c r="C768" t="str">
        <f t="shared" si="326"/>
        <v>BOLETO</v>
      </c>
      <c r="D768" t="str">
        <f t="shared" si="327"/>
        <v>011125</v>
      </c>
      <c r="E768" t="str">
        <f t="shared" si="317"/>
        <v>COM</v>
      </c>
      <c r="F768" t="str">
        <f t="shared" si="328"/>
        <v>CORA SOCIEDADE DE CREDITO, FINANCIAMENTO E INVESTIMENTO (20035)</v>
      </c>
      <c r="G768" t="str">
        <f t="shared" si="329"/>
        <v>TAXA BOLETO CORA</v>
      </c>
      <c r="H768" t="str">
        <f t="shared" si="333"/>
        <v>19/11/2025</v>
      </c>
      <c r="I768" t="str">
        <f t="shared" si="330"/>
        <v>01/11/2025</v>
      </c>
      <c r="J768" t="str">
        <f t="shared" si="318"/>
        <v>19/11/2025</v>
      </c>
      <c r="M768">
        <v>401</v>
      </c>
      <c r="N768" t="str">
        <f t="shared" si="331"/>
        <v>IOF/JUROS/DESP.FINANCEIRA</v>
      </c>
      <c r="P768">
        <v>1.7</v>
      </c>
      <c r="Q768" t="str">
        <f>"CORA SOCIEDADE DE CREDITO, FINANCIAMENTO E INVESTIMENTO (20035)"</f>
        <v>CORA SOCIEDADE DE CREDITO, FINANCIAMENTO E INVESTIMENTO (20035)</v>
      </c>
      <c r="R768" t="str">
        <f t="shared" si="332"/>
        <v>BANCO CORA (102)</v>
      </c>
      <c r="S768">
        <v>3258</v>
      </c>
      <c r="T768">
        <v>2900</v>
      </c>
      <c r="U768" t="s">
        <v>21</v>
      </c>
    </row>
    <row r="769" spans="1:21">
      <c r="A769" t="str">
        <f t="shared" si="316"/>
        <v>19/11/2025</v>
      </c>
      <c r="B769" t="str">
        <f t="shared" si="325"/>
        <v>SAÍDA</v>
      </c>
      <c r="C769" t="str">
        <f t="shared" si="326"/>
        <v>BOLETO</v>
      </c>
      <c r="D769" t="str">
        <f t="shared" si="327"/>
        <v>011125</v>
      </c>
      <c r="E769" t="str">
        <f t="shared" si="317"/>
        <v>COM</v>
      </c>
      <c r="F769" t="str">
        <f t="shared" si="328"/>
        <v>CORA SOCIEDADE DE CREDITO, FINANCIAMENTO E INVESTIMENTO (20035)</v>
      </c>
      <c r="G769" t="str">
        <f t="shared" si="329"/>
        <v>TAXA BOLETO CORA</v>
      </c>
      <c r="H769" t="str">
        <f t="shared" si="333"/>
        <v>19/11/2025</v>
      </c>
      <c r="I769" t="str">
        <f t="shared" si="330"/>
        <v>01/11/2025</v>
      </c>
      <c r="J769" t="str">
        <f t="shared" si="318"/>
        <v>19/11/2025</v>
      </c>
      <c r="K769">
        <v>1.7</v>
      </c>
      <c r="L769">
        <v>1.7</v>
      </c>
      <c r="M769">
        <v>401</v>
      </c>
      <c r="N769" t="str">
        <f t="shared" si="331"/>
        <v>IOF/JUROS/DESP.FINANCEIRA</v>
      </c>
      <c r="O769">
        <v>1.7</v>
      </c>
      <c r="R769" t="str">
        <f t="shared" si="332"/>
        <v>BANCO CORA (102)</v>
      </c>
      <c r="S769">
        <v>3259</v>
      </c>
      <c r="T769">
        <v>2901</v>
      </c>
      <c r="U769" t="s">
        <v>21</v>
      </c>
    </row>
    <row r="770" spans="1:21">
      <c r="A770" t="str">
        <f t="shared" si="316"/>
        <v>19/11/2025</v>
      </c>
      <c r="B770" t="str">
        <f t="shared" si="325"/>
        <v>SAÍDA</v>
      </c>
      <c r="C770" t="str">
        <f t="shared" si="326"/>
        <v>BOLETO</v>
      </c>
      <c r="D770" t="str">
        <f t="shared" si="327"/>
        <v>011125</v>
      </c>
      <c r="E770" t="str">
        <f t="shared" si="317"/>
        <v>COM</v>
      </c>
      <c r="F770" t="str">
        <f t="shared" si="328"/>
        <v>CORA SOCIEDADE DE CREDITO, FINANCIAMENTO E INVESTIMENTO (20035)</v>
      </c>
      <c r="G770" t="str">
        <f t="shared" si="329"/>
        <v>TAXA BOLETO CORA</v>
      </c>
      <c r="H770" t="str">
        <f t="shared" si="333"/>
        <v>19/11/2025</v>
      </c>
      <c r="I770" t="str">
        <f t="shared" si="330"/>
        <v>01/11/2025</v>
      </c>
      <c r="J770" t="str">
        <f t="shared" si="318"/>
        <v>19/11/2025</v>
      </c>
      <c r="M770">
        <v>401</v>
      </c>
      <c r="N770" t="str">
        <f t="shared" si="331"/>
        <v>IOF/JUROS/DESP.FINANCEIRA</v>
      </c>
      <c r="P770">
        <v>1.7</v>
      </c>
      <c r="Q770" t="str">
        <f>"CORA SOCIEDADE DE CREDITO, FINANCIAMENTO E INVESTIMENTO (20035)"</f>
        <v>CORA SOCIEDADE DE CREDITO, FINANCIAMENTO E INVESTIMENTO (20035)</v>
      </c>
      <c r="R770" t="str">
        <f t="shared" si="332"/>
        <v>BANCO CORA (102)</v>
      </c>
      <c r="S770">
        <v>3259</v>
      </c>
      <c r="T770">
        <v>2901</v>
      </c>
      <c r="U770" t="s">
        <v>21</v>
      </c>
    </row>
    <row r="771" spans="1:21">
      <c r="A771" t="str">
        <f t="shared" si="316"/>
        <v>19/11/2025</v>
      </c>
      <c r="B771" t="str">
        <f t="shared" si="325"/>
        <v>SAÍDA</v>
      </c>
      <c r="C771" t="str">
        <f t="shared" si="326"/>
        <v>BOLETO</v>
      </c>
      <c r="D771" t="str">
        <f t="shared" si="327"/>
        <v>011125</v>
      </c>
      <c r="E771" t="str">
        <f t="shared" si="317"/>
        <v>COM</v>
      </c>
      <c r="F771" t="str">
        <f t="shared" si="328"/>
        <v>CORA SOCIEDADE DE CREDITO, FINANCIAMENTO E INVESTIMENTO (20035)</v>
      </c>
      <c r="G771" t="str">
        <f t="shared" si="329"/>
        <v>TAXA BOLETO CORA</v>
      </c>
      <c r="H771" t="str">
        <f t="shared" si="333"/>
        <v>19/11/2025</v>
      </c>
      <c r="I771" t="str">
        <f t="shared" si="330"/>
        <v>01/11/2025</v>
      </c>
      <c r="J771" t="str">
        <f t="shared" si="318"/>
        <v>19/11/2025</v>
      </c>
      <c r="K771">
        <v>1.7</v>
      </c>
      <c r="L771">
        <v>1.7</v>
      </c>
      <c r="M771">
        <v>401</v>
      </c>
      <c r="N771" t="str">
        <f t="shared" si="331"/>
        <v>IOF/JUROS/DESP.FINANCEIRA</v>
      </c>
      <c r="O771">
        <v>1.7</v>
      </c>
      <c r="R771" t="str">
        <f t="shared" si="332"/>
        <v>BANCO CORA (102)</v>
      </c>
      <c r="S771">
        <v>3260</v>
      </c>
      <c r="T771">
        <v>2902</v>
      </c>
      <c r="U771" t="s">
        <v>21</v>
      </c>
    </row>
    <row r="772" spans="1:21">
      <c r="A772" t="str">
        <f t="shared" si="316"/>
        <v>19/11/2025</v>
      </c>
      <c r="B772" t="str">
        <f t="shared" si="325"/>
        <v>SAÍDA</v>
      </c>
      <c r="C772" t="str">
        <f t="shared" si="326"/>
        <v>BOLETO</v>
      </c>
      <c r="D772" t="str">
        <f t="shared" si="327"/>
        <v>011125</v>
      </c>
      <c r="E772" t="str">
        <f t="shared" si="317"/>
        <v>COM</v>
      </c>
      <c r="F772" t="str">
        <f t="shared" si="328"/>
        <v>CORA SOCIEDADE DE CREDITO, FINANCIAMENTO E INVESTIMENTO (20035)</v>
      </c>
      <c r="G772" t="str">
        <f t="shared" si="329"/>
        <v>TAXA BOLETO CORA</v>
      </c>
      <c r="H772" t="str">
        <f t="shared" si="333"/>
        <v>19/11/2025</v>
      </c>
      <c r="I772" t="str">
        <f t="shared" si="330"/>
        <v>01/11/2025</v>
      </c>
      <c r="J772" t="str">
        <f t="shared" si="318"/>
        <v>19/11/2025</v>
      </c>
      <c r="M772">
        <v>401</v>
      </c>
      <c r="N772" t="str">
        <f t="shared" si="331"/>
        <v>IOF/JUROS/DESP.FINANCEIRA</v>
      </c>
      <c r="P772">
        <v>1.7</v>
      </c>
      <c r="Q772" t="str">
        <f>"CORA SOCIEDADE DE CREDITO, FINANCIAMENTO E INVESTIMENTO (20035)"</f>
        <v>CORA SOCIEDADE DE CREDITO, FINANCIAMENTO E INVESTIMENTO (20035)</v>
      </c>
      <c r="R772" t="str">
        <f t="shared" si="332"/>
        <v>BANCO CORA (102)</v>
      </c>
      <c r="S772">
        <v>3260</v>
      </c>
      <c r="T772">
        <v>2902</v>
      </c>
      <c r="U772" t="s">
        <v>21</v>
      </c>
    </row>
    <row r="773" spans="1:21">
      <c r="A773" t="str">
        <f t="shared" si="316"/>
        <v>19/11/2025</v>
      </c>
      <c r="B773" t="str">
        <f t="shared" si="325"/>
        <v>SAÍDA</v>
      </c>
      <c r="C773" t="str">
        <f t="shared" si="326"/>
        <v>BOLETO</v>
      </c>
      <c r="D773" t="str">
        <f t="shared" si="327"/>
        <v>011125</v>
      </c>
      <c r="E773" t="str">
        <f t="shared" si="317"/>
        <v>COM</v>
      </c>
      <c r="F773" t="str">
        <f t="shared" si="328"/>
        <v>CORA SOCIEDADE DE CREDITO, FINANCIAMENTO E INVESTIMENTO (20035)</v>
      </c>
      <c r="G773" t="str">
        <f t="shared" si="329"/>
        <v>TAXA BOLETO CORA</v>
      </c>
      <c r="H773" t="str">
        <f t="shared" si="333"/>
        <v>19/11/2025</v>
      </c>
      <c r="I773" t="str">
        <f t="shared" si="330"/>
        <v>01/11/2025</v>
      </c>
      <c r="J773" t="str">
        <f t="shared" si="318"/>
        <v>19/11/2025</v>
      </c>
      <c r="K773">
        <v>1.7</v>
      </c>
      <c r="L773">
        <v>1.7</v>
      </c>
      <c r="M773">
        <v>401</v>
      </c>
      <c r="N773" t="str">
        <f t="shared" si="331"/>
        <v>IOF/JUROS/DESP.FINANCEIRA</v>
      </c>
      <c r="O773">
        <v>1.7</v>
      </c>
      <c r="R773" t="str">
        <f t="shared" si="332"/>
        <v>BANCO CORA (102)</v>
      </c>
      <c r="S773">
        <v>3261</v>
      </c>
      <c r="T773">
        <v>2903</v>
      </c>
      <c r="U773" t="s">
        <v>21</v>
      </c>
    </row>
    <row r="774" spans="1:21">
      <c r="A774" t="str">
        <f t="shared" si="316"/>
        <v>19/11/2025</v>
      </c>
      <c r="B774" t="str">
        <f t="shared" si="325"/>
        <v>SAÍDA</v>
      </c>
      <c r="C774" t="str">
        <f t="shared" si="326"/>
        <v>BOLETO</v>
      </c>
      <c r="D774" t="str">
        <f t="shared" si="327"/>
        <v>011125</v>
      </c>
      <c r="E774" t="str">
        <f t="shared" si="317"/>
        <v>COM</v>
      </c>
      <c r="F774" t="str">
        <f t="shared" si="328"/>
        <v>CORA SOCIEDADE DE CREDITO, FINANCIAMENTO E INVESTIMENTO (20035)</v>
      </c>
      <c r="G774" t="str">
        <f t="shared" si="329"/>
        <v>TAXA BOLETO CORA</v>
      </c>
      <c r="H774" t="str">
        <f t="shared" si="333"/>
        <v>19/11/2025</v>
      </c>
      <c r="I774" t="str">
        <f t="shared" si="330"/>
        <v>01/11/2025</v>
      </c>
      <c r="J774" t="str">
        <f t="shared" si="318"/>
        <v>19/11/2025</v>
      </c>
      <c r="M774">
        <v>401</v>
      </c>
      <c r="N774" t="str">
        <f t="shared" si="331"/>
        <v>IOF/JUROS/DESP.FINANCEIRA</v>
      </c>
      <c r="P774">
        <v>1.7</v>
      </c>
      <c r="Q774" t="str">
        <f>"CORA SOCIEDADE DE CREDITO, FINANCIAMENTO E INVESTIMENTO (20035)"</f>
        <v>CORA SOCIEDADE DE CREDITO, FINANCIAMENTO E INVESTIMENTO (20035)</v>
      </c>
      <c r="R774" t="str">
        <f t="shared" si="332"/>
        <v>BANCO CORA (102)</v>
      </c>
      <c r="S774">
        <v>3261</v>
      </c>
      <c r="T774">
        <v>2903</v>
      </c>
      <c r="U774" t="s">
        <v>21</v>
      </c>
    </row>
    <row r="775" spans="1:21">
      <c r="A775" t="str">
        <f t="shared" si="316"/>
        <v>19/11/2025</v>
      </c>
      <c r="B775" t="str">
        <f t="shared" si="325"/>
        <v>SAÍDA</v>
      </c>
      <c r="C775" t="str">
        <f t="shared" si="326"/>
        <v>BOLETO</v>
      </c>
      <c r="D775" t="str">
        <f t="shared" si="327"/>
        <v>011125</v>
      </c>
      <c r="E775" t="str">
        <f t="shared" si="317"/>
        <v>COM</v>
      </c>
      <c r="F775" t="str">
        <f t="shared" si="328"/>
        <v>CORA SOCIEDADE DE CREDITO, FINANCIAMENTO E INVESTIMENTO (20035)</v>
      </c>
      <c r="G775" t="str">
        <f t="shared" si="329"/>
        <v>TAXA BOLETO CORA</v>
      </c>
      <c r="H775" t="str">
        <f t="shared" si="333"/>
        <v>19/11/2025</v>
      </c>
      <c r="I775" t="str">
        <f t="shared" si="330"/>
        <v>01/11/2025</v>
      </c>
      <c r="J775" t="str">
        <f t="shared" si="318"/>
        <v>19/11/2025</v>
      </c>
      <c r="K775">
        <v>1.7</v>
      </c>
      <c r="L775">
        <v>1.7</v>
      </c>
      <c r="M775">
        <v>401</v>
      </c>
      <c r="N775" t="str">
        <f t="shared" si="331"/>
        <v>IOF/JUROS/DESP.FINANCEIRA</v>
      </c>
      <c r="O775">
        <v>1.7</v>
      </c>
      <c r="R775" t="str">
        <f t="shared" si="332"/>
        <v>BANCO CORA (102)</v>
      </c>
      <c r="S775">
        <v>3262</v>
      </c>
      <c r="T775">
        <v>2904</v>
      </c>
      <c r="U775" t="s">
        <v>21</v>
      </c>
    </row>
    <row r="776" spans="1:21">
      <c r="A776" t="str">
        <f t="shared" si="316"/>
        <v>19/11/2025</v>
      </c>
      <c r="B776" t="str">
        <f t="shared" si="325"/>
        <v>SAÍDA</v>
      </c>
      <c r="C776" t="str">
        <f t="shared" si="326"/>
        <v>BOLETO</v>
      </c>
      <c r="D776" t="str">
        <f t="shared" si="327"/>
        <v>011125</v>
      </c>
      <c r="E776" t="str">
        <f t="shared" si="317"/>
        <v>COM</v>
      </c>
      <c r="F776" t="str">
        <f t="shared" si="328"/>
        <v>CORA SOCIEDADE DE CREDITO, FINANCIAMENTO E INVESTIMENTO (20035)</v>
      </c>
      <c r="G776" t="str">
        <f t="shared" si="329"/>
        <v>TAXA BOLETO CORA</v>
      </c>
      <c r="H776" t="str">
        <f t="shared" si="333"/>
        <v>19/11/2025</v>
      </c>
      <c r="I776" t="str">
        <f t="shared" si="330"/>
        <v>01/11/2025</v>
      </c>
      <c r="J776" t="str">
        <f t="shared" si="318"/>
        <v>19/11/2025</v>
      </c>
      <c r="M776">
        <v>401</v>
      </c>
      <c r="N776" t="str">
        <f t="shared" si="331"/>
        <v>IOF/JUROS/DESP.FINANCEIRA</v>
      </c>
      <c r="P776">
        <v>1.7</v>
      </c>
      <c r="Q776" t="str">
        <f>"CORA SOCIEDADE DE CREDITO, FINANCIAMENTO E INVESTIMENTO (20035)"</f>
        <v>CORA SOCIEDADE DE CREDITO, FINANCIAMENTO E INVESTIMENTO (20035)</v>
      </c>
      <c r="R776" t="str">
        <f t="shared" si="332"/>
        <v>BANCO CORA (102)</v>
      </c>
      <c r="S776">
        <v>3262</v>
      </c>
      <c r="T776">
        <v>2904</v>
      </c>
      <c r="U776" t="s">
        <v>21</v>
      </c>
    </row>
    <row r="777" spans="1:21">
      <c r="A777" t="str">
        <f t="shared" si="316"/>
        <v>19/11/2025</v>
      </c>
      <c r="B777" t="str">
        <f t="shared" si="325"/>
        <v>SAÍDA</v>
      </c>
      <c r="C777" t="str">
        <f t="shared" si="326"/>
        <v>BOLETO</v>
      </c>
      <c r="D777" t="str">
        <f t="shared" si="327"/>
        <v>011125</v>
      </c>
      <c r="E777" t="str">
        <f t="shared" si="317"/>
        <v>COM</v>
      </c>
      <c r="F777" t="str">
        <f t="shared" si="328"/>
        <v>CORA SOCIEDADE DE CREDITO, FINANCIAMENTO E INVESTIMENTO (20035)</v>
      </c>
      <c r="G777" t="str">
        <f t="shared" si="329"/>
        <v>TAXA BOLETO CORA</v>
      </c>
      <c r="H777" t="str">
        <f t="shared" si="333"/>
        <v>19/11/2025</v>
      </c>
      <c r="I777" t="str">
        <f t="shared" si="330"/>
        <v>01/11/2025</v>
      </c>
      <c r="J777" t="str">
        <f t="shared" si="318"/>
        <v>19/11/2025</v>
      </c>
      <c r="K777">
        <v>1.7</v>
      </c>
      <c r="L777">
        <v>1.7</v>
      </c>
      <c r="M777">
        <v>401</v>
      </c>
      <c r="N777" t="str">
        <f t="shared" si="331"/>
        <v>IOF/JUROS/DESP.FINANCEIRA</v>
      </c>
      <c r="O777">
        <v>1.7</v>
      </c>
      <c r="R777" t="str">
        <f t="shared" si="332"/>
        <v>BANCO CORA (102)</v>
      </c>
      <c r="S777">
        <v>3263</v>
      </c>
      <c r="T777">
        <v>2905</v>
      </c>
      <c r="U777" t="s">
        <v>21</v>
      </c>
    </row>
    <row r="778" spans="1:21">
      <c r="A778" t="str">
        <f t="shared" si="316"/>
        <v>19/11/2025</v>
      </c>
      <c r="B778" t="str">
        <f t="shared" si="325"/>
        <v>SAÍDA</v>
      </c>
      <c r="C778" t="str">
        <f t="shared" si="326"/>
        <v>BOLETO</v>
      </c>
      <c r="D778" t="str">
        <f t="shared" si="327"/>
        <v>011125</v>
      </c>
      <c r="E778" t="str">
        <f t="shared" si="317"/>
        <v>COM</v>
      </c>
      <c r="F778" t="str">
        <f t="shared" si="328"/>
        <v>CORA SOCIEDADE DE CREDITO, FINANCIAMENTO E INVESTIMENTO (20035)</v>
      </c>
      <c r="G778" t="str">
        <f t="shared" si="329"/>
        <v>TAXA BOLETO CORA</v>
      </c>
      <c r="H778" t="str">
        <f t="shared" si="333"/>
        <v>19/11/2025</v>
      </c>
      <c r="I778" t="str">
        <f t="shared" si="330"/>
        <v>01/11/2025</v>
      </c>
      <c r="J778" t="str">
        <f t="shared" si="318"/>
        <v>19/11/2025</v>
      </c>
      <c r="M778">
        <v>401</v>
      </c>
      <c r="N778" t="str">
        <f t="shared" si="331"/>
        <v>IOF/JUROS/DESP.FINANCEIRA</v>
      </c>
      <c r="P778">
        <v>1.7</v>
      </c>
      <c r="Q778" t="str">
        <f>"CORA SOCIEDADE DE CREDITO, FINANCIAMENTO E INVESTIMENTO (20035)"</f>
        <v>CORA SOCIEDADE DE CREDITO, FINANCIAMENTO E INVESTIMENTO (20035)</v>
      </c>
      <c r="R778" t="str">
        <f t="shared" si="332"/>
        <v>BANCO CORA (102)</v>
      </c>
      <c r="S778">
        <v>3263</v>
      </c>
      <c r="T778">
        <v>2905</v>
      </c>
      <c r="U778" t="s">
        <v>21</v>
      </c>
    </row>
    <row r="779" spans="1:21">
      <c r="A779" t="str">
        <f t="shared" si="316"/>
        <v>19/11/2025</v>
      </c>
      <c r="B779" t="str">
        <f t="shared" si="325"/>
        <v>SAÍDA</v>
      </c>
      <c r="C779" t="str">
        <f t="shared" si="326"/>
        <v>BOLETO</v>
      </c>
      <c r="D779" t="str">
        <f t="shared" si="327"/>
        <v>011125</v>
      </c>
      <c r="E779" t="str">
        <f t="shared" si="317"/>
        <v>COM</v>
      </c>
      <c r="F779" t="str">
        <f t="shared" si="328"/>
        <v>CORA SOCIEDADE DE CREDITO, FINANCIAMENTO E INVESTIMENTO (20035)</v>
      </c>
      <c r="G779" t="str">
        <f t="shared" si="329"/>
        <v>TAXA BOLETO CORA</v>
      </c>
      <c r="H779" t="str">
        <f t="shared" si="333"/>
        <v>19/11/2025</v>
      </c>
      <c r="I779" t="str">
        <f t="shared" si="330"/>
        <v>01/11/2025</v>
      </c>
      <c r="J779" t="str">
        <f t="shared" si="318"/>
        <v>19/11/2025</v>
      </c>
      <c r="K779">
        <v>1.7</v>
      </c>
      <c r="L779">
        <v>1.7</v>
      </c>
      <c r="M779">
        <v>401</v>
      </c>
      <c r="N779" t="str">
        <f t="shared" si="331"/>
        <v>IOF/JUROS/DESP.FINANCEIRA</v>
      </c>
      <c r="O779">
        <v>1.7</v>
      </c>
      <c r="R779" t="str">
        <f t="shared" si="332"/>
        <v>BANCO CORA (102)</v>
      </c>
      <c r="S779">
        <v>3264</v>
      </c>
      <c r="T779">
        <v>2906</v>
      </c>
      <c r="U779" t="s">
        <v>21</v>
      </c>
    </row>
    <row r="780" spans="1:21">
      <c r="A780" t="str">
        <f t="shared" si="316"/>
        <v>19/11/2025</v>
      </c>
      <c r="B780" t="str">
        <f t="shared" si="325"/>
        <v>SAÍDA</v>
      </c>
      <c r="C780" t="str">
        <f t="shared" si="326"/>
        <v>BOLETO</v>
      </c>
      <c r="D780" t="str">
        <f t="shared" si="327"/>
        <v>011125</v>
      </c>
      <c r="E780" t="str">
        <f t="shared" si="317"/>
        <v>COM</v>
      </c>
      <c r="F780" t="str">
        <f t="shared" si="328"/>
        <v>CORA SOCIEDADE DE CREDITO, FINANCIAMENTO E INVESTIMENTO (20035)</v>
      </c>
      <c r="G780" t="str">
        <f t="shared" si="329"/>
        <v>TAXA BOLETO CORA</v>
      </c>
      <c r="H780" t="str">
        <f t="shared" si="333"/>
        <v>19/11/2025</v>
      </c>
      <c r="I780" t="str">
        <f t="shared" si="330"/>
        <v>01/11/2025</v>
      </c>
      <c r="J780" t="str">
        <f t="shared" si="318"/>
        <v>19/11/2025</v>
      </c>
      <c r="M780">
        <v>401</v>
      </c>
      <c r="N780" t="str">
        <f t="shared" si="331"/>
        <v>IOF/JUROS/DESP.FINANCEIRA</v>
      </c>
      <c r="P780">
        <v>1.7</v>
      </c>
      <c r="Q780" t="str">
        <f>"CORA SOCIEDADE DE CREDITO, FINANCIAMENTO E INVESTIMENTO (20035)"</f>
        <v>CORA SOCIEDADE DE CREDITO, FINANCIAMENTO E INVESTIMENTO (20035)</v>
      </c>
      <c r="R780" t="str">
        <f t="shared" si="332"/>
        <v>BANCO CORA (102)</v>
      </c>
      <c r="S780">
        <v>3264</v>
      </c>
      <c r="T780">
        <v>2906</v>
      </c>
      <c r="U780" t="s">
        <v>21</v>
      </c>
    </row>
    <row r="781" spans="1:21">
      <c r="A781" t="str">
        <f t="shared" si="316"/>
        <v>19/11/2025</v>
      </c>
      <c r="B781" t="str">
        <f t="shared" si="325"/>
        <v>SAÍDA</v>
      </c>
      <c r="C781" t="str">
        <f t="shared" si="326"/>
        <v>BOLETO</v>
      </c>
      <c r="D781" t="str">
        <f t="shared" si="327"/>
        <v>011125</v>
      </c>
      <c r="E781" t="str">
        <f t="shared" si="317"/>
        <v>COM</v>
      </c>
      <c r="F781" t="str">
        <f t="shared" si="328"/>
        <v>CORA SOCIEDADE DE CREDITO, FINANCIAMENTO E INVESTIMENTO (20035)</v>
      </c>
      <c r="G781" t="str">
        <f t="shared" si="329"/>
        <v>TAXA BOLETO CORA</v>
      </c>
      <c r="H781" t="str">
        <f t="shared" si="333"/>
        <v>19/11/2025</v>
      </c>
      <c r="I781" t="str">
        <f t="shared" si="330"/>
        <v>01/11/2025</v>
      </c>
      <c r="J781" t="str">
        <f t="shared" si="318"/>
        <v>19/11/2025</v>
      </c>
      <c r="K781">
        <v>1.7</v>
      </c>
      <c r="L781">
        <v>1.7</v>
      </c>
      <c r="M781">
        <v>401</v>
      </c>
      <c r="N781" t="str">
        <f t="shared" si="331"/>
        <v>IOF/JUROS/DESP.FINANCEIRA</v>
      </c>
      <c r="O781">
        <v>1.7</v>
      </c>
      <c r="R781" t="str">
        <f t="shared" si="332"/>
        <v>BANCO CORA (102)</v>
      </c>
      <c r="S781">
        <v>3265</v>
      </c>
      <c r="T781">
        <v>2907</v>
      </c>
      <c r="U781" t="s">
        <v>21</v>
      </c>
    </row>
    <row r="782" spans="1:21">
      <c r="A782" t="str">
        <f t="shared" si="316"/>
        <v>19/11/2025</v>
      </c>
      <c r="B782" t="str">
        <f t="shared" si="325"/>
        <v>SAÍDA</v>
      </c>
      <c r="C782" t="str">
        <f t="shared" si="326"/>
        <v>BOLETO</v>
      </c>
      <c r="D782" t="str">
        <f t="shared" si="327"/>
        <v>011125</v>
      </c>
      <c r="E782" t="str">
        <f t="shared" si="317"/>
        <v>COM</v>
      </c>
      <c r="F782" t="str">
        <f t="shared" si="328"/>
        <v>CORA SOCIEDADE DE CREDITO, FINANCIAMENTO E INVESTIMENTO (20035)</v>
      </c>
      <c r="G782" t="str">
        <f t="shared" si="329"/>
        <v>TAXA BOLETO CORA</v>
      </c>
      <c r="H782" t="str">
        <f t="shared" si="333"/>
        <v>19/11/2025</v>
      </c>
      <c r="I782" t="str">
        <f t="shared" si="330"/>
        <v>01/11/2025</v>
      </c>
      <c r="J782" t="str">
        <f t="shared" si="318"/>
        <v>19/11/2025</v>
      </c>
      <c r="M782">
        <v>401</v>
      </c>
      <c r="N782" t="str">
        <f t="shared" si="331"/>
        <v>IOF/JUROS/DESP.FINANCEIRA</v>
      </c>
      <c r="P782">
        <v>1.7</v>
      </c>
      <c r="Q782" t="str">
        <f>"CORA SOCIEDADE DE CREDITO, FINANCIAMENTO E INVESTIMENTO (20035)"</f>
        <v>CORA SOCIEDADE DE CREDITO, FINANCIAMENTO E INVESTIMENTO (20035)</v>
      </c>
      <c r="R782" t="str">
        <f t="shared" si="332"/>
        <v>BANCO CORA (102)</v>
      </c>
      <c r="S782">
        <v>3265</v>
      </c>
      <c r="T782">
        <v>2907</v>
      </c>
      <c r="U782" t="s">
        <v>21</v>
      </c>
    </row>
    <row r="783" spans="1:21">
      <c r="A783" t="str">
        <f t="shared" si="316"/>
        <v>19/11/2025</v>
      </c>
      <c r="B783" t="str">
        <f t="shared" si="325"/>
        <v>SAÍDA</v>
      </c>
      <c r="C783" t="str">
        <f t="shared" si="326"/>
        <v>BOLETO</v>
      </c>
      <c r="D783" t="str">
        <f t="shared" si="327"/>
        <v>011125</v>
      </c>
      <c r="E783" t="str">
        <f t="shared" si="317"/>
        <v>COM</v>
      </c>
      <c r="F783" t="str">
        <f t="shared" si="328"/>
        <v>CORA SOCIEDADE DE CREDITO, FINANCIAMENTO E INVESTIMENTO (20035)</v>
      </c>
      <c r="G783" t="str">
        <f t="shared" si="329"/>
        <v>TAXA BOLETO CORA</v>
      </c>
      <c r="H783" t="str">
        <f t="shared" si="333"/>
        <v>19/11/2025</v>
      </c>
      <c r="I783" t="str">
        <f t="shared" si="330"/>
        <v>01/11/2025</v>
      </c>
      <c r="J783" t="str">
        <f t="shared" si="318"/>
        <v>19/11/2025</v>
      </c>
      <c r="K783">
        <v>1.7</v>
      </c>
      <c r="L783">
        <v>1.7</v>
      </c>
      <c r="M783">
        <v>401</v>
      </c>
      <c r="N783" t="str">
        <f t="shared" si="331"/>
        <v>IOF/JUROS/DESP.FINANCEIRA</v>
      </c>
      <c r="O783">
        <v>1.7</v>
      </c>
      <c r="R783" t="str">
        <f t="shared" si="332"/>
        <v>BANCO CORA (102)</v>
      </c>
      <c r="S783">
        <v>3266</v>
      </c>
      <c r="T783">
        <v>2908</v>
      </c>
      <c r="U783" t="s">
        <v>21</v>
      </c>
    </row>
    <row r="784" spans="1:21">
      <c r="A784" t="str">
        <f t="shared" si="316"/>
        <v>19/11/2025</v>
      </c>
      <c r="B784" t="str">
        <f t="shared" si="325"/>
        <v>SAÍDA</v>
      </c>
      <c r="C784" t="str">
        <f t="shared" si="326"/>
        <v>BOLETO</v>
      </c>
      <c r="D784" t="str">
        <f t="shared" si="327"/>
        <v>011125</v>
      </c>
      <c r="E784" t="str">
        <f t="shared" si="317"/>
        <v>COM</v>
      </c>
      <c r="F784" t="str">
        <f t="shared" si="328"/>
        <v>CORA SOCIEDADE DE CREDITO, FINANCIAMENTO E INVESTIMENTO (20035)</v>
      </c>
      <c r="G784" t="str">
        <f t="shared" si="329"/>
        <v>TAXA BOLETO CORA</v>
      </c>
      <c r="H784" t="str">
        <f t="shared" si="333"/>
        <v>19/11/2025</v>
      </c>
      <c r="I784" t="str">
        <f t="shared" si="330"/>
        <v>01/11/2025</v>
      </c>
      <c r="J784" t="str">
        <f t="shared" si="318"/>
        <v>19/11/2025</v>
      </c>
      <c r="M784">
        <v>401</v>
      </c>
      <c r="N784" t="str">
        <f t="shared" si="331"/>
        <v>IOF/JUROS/DESP.FINANCEIRA</v>
      </c>
      <c r="P784">
        <v>1.7</v>
      </c>
      <c r="Q784" t="str">
        <f>"CORA SOCIEDADE DE CREDITO, FINANCIAMENTO E INVESTIMENTO (20035)"</f>
        <v>CORA SOCIEDADE DE CREDITO, FINANCIAMENTO E INVESTIMENTO (20035)</v>
      </c>
      <c r="R784" t="str">
        <f t="shared" si="332"/>
        <v>BANCO CORA (102)</v>
      </c>
      <c r="S784">
        <v>3266</v>
      </c>
      <c r="T784">
        <v>2908</v>
      </c>
      <c r="U784" t="s">
        <v>21</v>
      </c>
    </row>
    <row r="785" spans="1:21">
      <c r="A785" t="str">
        <f t="shared" si="316"/>
        <v>19/11/2025</v>
      </c>
      <c r="B785" t="str">
        <f t="shared" si="325"/>
        <v>SAÍDA</v>
      </c>
      <c r="C785" t="str">
        <f t="shared" si="326"/>
        <v>BOLETO</v>
      </c>
      <c r="D785" t="str">
        <f t="shared" si="327"/>
        <v>011125</v>
      </c>
      <c r="E785" t="str">
        <f t="shared" si="317"/>
        <v>COM</v>
      </c>
      <c r="F785" t="str">
        <f t="shared" si="328"/>
        <v>CORA SOCIEDADE DE CREDITO, FINANCIAMENTO E INVESTIMENTO (20035)</v>
      </c>
      <c r="G785" t="str">
        <f t="shared" si="329"/>
        <v>TAXA BOLETO CORA</v>
      </c>
      <c r="H785" t="str">
        <f t="shared" si="333"/>
        <v>19/11/2025</v>
      </c>
      <c r="I785" t="str">
        <f t="shared" si="330"/>
        <v>01/11/2025</v>
      </c>
      <c r="J785" t="str">
        <f t="shared" si="318"/>
        <v>19/11/2025</v>
      </c>
      <c r="K785">
        <v>1.7</v>
      </c>
      <c r="L785">
        <v>1.7</v>
      </c>
      <c r="M785">
        <v>401</v>
      </c>
      <c r="N785" t="str">
        <f t="shared" si="331"/>
        <v>IOF/JUROS/DESP.FINANCEIRA</v>
      </c>
      <c r="O785">
        <v>1.7</v>
      </c>
      <c r="R785" t="str">
        <f t="shared" si="332"/>
        <v>BANCO CORA (102)</v>
      </c>
      <c r="S785">
        <v>3267</v>
      </c>
      <c r="T785">
        <v>2909</v>
      </c>
      <c r="U785" t="s">
        <v>21</v>
      </c>
    </row>
    <row r="786" spans="1:21">
      <c r="A786" t="str">
        <f t="shared" si="316"/>
        <v>19/11/2025</v>
      </c>
      <c r="B786" t="str">
        <f t="shared" si="325"/>
        <v>SAÍDA</v>
      </c>
      <c r="C786" t="str">
        <f t="shared" si="326"/>
        <v>BOLETO</v>
      </c>
      <c r="D786" t="str">
        <f t="shared" si="327"/>
        <v>011125</v>
      </c>
      <c r="E786" t="str">
        <f t="shared" si="317"/>
        <v>COM</v>
      </c>
      <c r="F786" t="str">
        <f t="shared" si="328"/>
        <v>CORA SOCIEDADE DE CREDITO, FINANCIAMENTO E INVESTIMENTO (20035)</v>
      </c>
      <c r="G786" t="str">
        <f t="shared" si="329"/>
        <v>TAXA BOLETO CORA</v>
      </c>
      <c r="H786" t="str">
        <f t="shared" si="333"/>
        <v>19/11/2025</v>
      </c>
      <c r="I786" t="str">
        <f t="shared" si="330"/>
        <v>01/11/2025</v>
      </c>
      <c r="J786" t="str">
        <f t="shared" si="318"/>
        <v>19/11/2025</v>
      </c>
      <c r="M786">
        <v>401</v>
      </c>
      <c r="N786" t="str">
        <f t="shared" si="331"/>
        <v>IOF/JUROS/DESP.FINANCEIRA</v>
      </c>
      <c r="P786">
        <v>1.7</v>
      </c>
      <c r="Q786" t="str">
        <f>"CORA SOCIEDADE DE CREDITO, FINANCIAMENTO E INVESTIMENTO (20035)"</f>
        <v>CORA SOCIEDADE DE CREDITO, FINANCIAMENTO E INVESTIMENTO (20035)</v>
      </c>
      <c r="R786" t="str">
        <f t="shared" si="332"/>
        <v>BANCO CORA (102)</v>
      </c>
      <c r="S786">
        <v>3267</v>
      </c>
      <c r="T786">
        <v>2909</v>
      </c>
      <c r="U786" t="s">
        <v>21</v>
      </c>
    </row>
    <row r="787" spans="1:21">
      <c r="A787" t="str">
        <f t="shared" si="316"/>
        <v>19/11/2025</v>
      </c>
      <c r="B787" t="str">
        <f t="shared" si="325"/>
        <v>SAÍDA</v>
      </c>
      <c r="C787" t="str">
        <f t="shared" si="326"/>
        <v>BOLETO</v>
      </c>
      <c r="D787" t="str">
        <f t="shared" si="327"/>
        <v>011125</v>
      </c>
      <c r="E787" t="str">
        <f t="shared" si="317"/>
        <v>COM</v>
      </c>
      <c r="F787" t="str">
        <f t="shared" si="328"/>
        <v>CORA SOCIEDADE DE CREDITO, FINANCIAMENTO E INVESTIMENTO (20035)</v>
      </c>
      <c r="G787" t="str">
        <f t="shared" si="329"/>
        <v>TAXA BOLETO CORA</v>
      </c>
      <c r="H787" t="str">
        <f t="shared" si="333"/>
        <v>19/11/2025</v>
      </c>
      <c r="I787" t="str">
        <f t="shared" si="330"/>
        <v>01/11/2025</v>
      </c>
      <c r="J787" t="str">
        <f t="shared" si="318"/>
        <v>19/11/2025</v>
      </c>
      <c r="K787">
        <v>1.7</v>
      </c>
      <c r="L787">
        <v>1.7</v>
      </c>
      <c r="M787">
        <v>401</v>
      </c>
      <c r="N787" t="str">
        <f t="shared" si="331"/>
        <v>IOF/JUROS/DESP.FINANCEIRA</v>
      </c>
      <c r="O787">
        <v>1.7</v>
      </c>
      <c r="R787" t="str">
        <f t="shared" si="332"/>
        <v>BANCO CORA (102)</v>
      </c>
      <c r="S787">
        <v>3268</v>
      </c>
      <c r="T787">
        <v>2910</v>
      </c>
      <c r="U787" t="s">
        <v>21</v>
      </c>
    </row>
    <row r="788" spans="1:21">
      <c r="A788" t="str">
        <f t="shared" si="316"/>
        <v>19/11/2025</v>
      </c>
      <c r="B788" t="str">
        <f t="shared" si="325"/>
        <v>SAÍDA</v>
      </c>
      <c r="C788" t="str">
        <f t="shared" si="326"/>
        <v>BOLETO</v>
      </c>
      <c r="D788" t="str">
        <f t="shared" si="327"/>
        <v>011125</v>
      </c>
      <c r="E788" t="str">
        <f t="shared" si="317"/>
        <v>COM</v>
      </c>
      <c r="F788" t="str">
        <f t="shared" si="328"/>
        <v>CORA SOCIEDADE DE CREDITO, FINANCIAMENTO E INVESTIMENTO (20035)</v>
      </c>
      <c r="G788" t="str">
        <f t="shared" si="329"/>
        <v>TAXA BOLETO CORA</v>
      </c>
      <c r="H788" t="str">
        <f t="shared" si="333"/>
        <v>19/11/2025</v>
      </c>
      <c r="I788" t="str">
        <f t="shared" si="330"/>
        <v>01/11/2025</v>
      </c>
      <c r="J788" t="str">
        <f t="shared" si="318"/>
        <v>19/11/2025</v>
      </c>
      <c r="M788">
        <v>401</v>
      </c>
      <c r="N788" t="str">
        <f t="shared" si="331"/>
        <v>IOF/JUROS/DESP.FINANCEIRA</v>
      </c>
      <c r="P788">
        <v>1.7</v>
      </c>
      <c r="Q788" t="str">
        <f>"CORA SOCIEDADE DE CREDITO, FINANCIAMENTO E INVESTIMENTO (20035)"</f>
        <v>CORA SOCIEDADE DE CREDITO, FINANCIAMENTO E INVESTIMENTO (20035)</v>
      </c>
      <c r="R788" t="str">
        <f t="shared" si="332"/>
        <v>BANCO CORA (102)</v>
      </c>
      <c r="S788">
        <v>3268</v>
      </c>
      <c r="T788">
        <v>2910</v>
      </c>
      <c r="U788" t="s">
        <v>21</v>
      </c>
    </row>
    <row r="789" spans="1:21">
      <c r="A789" t="str">
        <f t="shared" si="316"/>
        <v>19/11/2025</v>
      </c>
      <c r="B789" t="str">
        <f t="shared" ref="B789:B799" si="334">"ENTRADA"</f>
        <v>ENTRADA</v>
      </c>
      <c r="C789" t="str">
        <f t="shared" ref="C789:C799" si="335">"NFSE"</f>
        <v>NFSE</v>
      </c>
      <c r="D789" t="str">
        <f>"3819"</f>
        <v>3819</v>
      </c>
      <c r="E789" t="str">
        <f t="shared" si="317"/>
        <v>COM</v>
      </c>
      <c r="F789" t="str">
        <f>"PENSE FARMA 31 (10205)"</f>
        <v>PENSE FARMA 31 (10205)</v>
      </c>
      <c r="G789" t="str">
        <f>"Serv.Prest. 10/11/2025 a 16/11/2025 - RPS: 1582 - NFSe: 3819"</f>
        <v>Serv.Prest. 10/11/2025 a 16/11/2025 - RPS: 1582 - NFSe: 3819</v>
      </c>
      <c r="H789" t="str">
        <f t="shared" si="333"/>
        <v>19/11/2025</v>
      </c>
      <c r="I789" t="str">
        <f t="shared" ref="I789:I799" si="336">("17/11/2025")</f>
        <v>17/11/2025</v>
      </c>
      <c r="J789" t="str">
        <f t="shared" si="318"/>
        <v>19/11/2025</v>
      </c>
      <c r="K789">
        <v>325.87</v>
      </c>
      <c r="L789">
        <v>325.87</v>
      </c>
      <c r="M789">
        <v>303</v>
      </c>
      <c r="N789" t="str">
        <f t="shared" ref="N789:N799" si="337">"RECEITAS COM ENTREGAS"</f>
        <v>RECEITAS COM ENTREGAS</v>
      </c>
      <c r="O789">
        <v>325.87</v>
      </c>
      <c r="R789" t="str">
        <f t="shared" ref="R789:R799" si="338">"RECEITAS COM ENTREGAS (303)"</f>
        <v>RECEITAS COM ENTREGAS (303)</v>
      </c>
      <c r="S789">
        <v>3269</v>
      </c>
      <c r="T789">
        <v>2622</v>
      </c>
      <c r="U789" t="s">
        <v>21</v>
      </c>
    </row>
    <row r="790" spans="1:21">
      <c r="A790" t="str">
        <f t="shared" ref="A790:A807" si="339">("19/11/2025")</f>
        <v>19/11/2025</v>
      </c>
      <c r="B790" t="str">
        <f t="shared" si="334"/>
        <v>ENTRADA</v>
      </c>
      <c r="C790" t="str">
        <f t="shared" si="335"/>
        <v>NFSE</v>
      </c>
      <c r="D790" t="str">
        <f>"3819"</f>
        <v>3819</v>
      </c>
      <c r="E790" t="str">
        <f t="shared" ref="E790:E853" si="340">"COM"</f>
        <v>COM</v>
      </c>
      <c r="F790" t="str">
        <f>"PENSE FARMA 31 (10205)"</f>
        <v>PENSE FARMA 31 (10205)</v>
      </c>
      <c r="G790" t="str">
        <f>"Serv.Prest. 10/11/2025 a 16/11/2025 - RPS: 1582 - NFSe: 3819"</f>
        <v>Serv.Prest. 10/11/2025 a 16/11/2025 - RPS: 1582 - NFSe: 3819</v>
      </c>
      <c r="H790" t="str">
        <f t="shared" si="333"/>
        <v>19/11/2025</v>
      </c>
      <c r="I790" t="str">
        <f t="shared" si="336"/>
        <v>17/11/2025</v>
      </c>
      <c r="J790" t="str">
        <f t="shared" ref="J790:J807" si="341">("19/11/2025")</f>
        <v>19/11/2025</v>
      </c>
      <c r="M790">
        <v>303</v>
      </c>
      <c r="N790" t="str">
        <f t="shared" si="337"/>
        <v>RECEITAS COM ENTREGAS</v>
      </c>
      <c r="P790">
        <v>108.16</v>
      </c>
      <c r="Q790" t="str">
        <f>"PENSE FARMA 31 (10205)"</f>
        <v>PENSE FARMA 31 (10205)</v>
      </c>
      <c r="R790" t="str">
        <f t="shared" si="338"/>
        <v>RECEITAS COM ENTREGAS (303)</v>
      </c>
      <c r="S790">
        <v>3269</v>
      </c>
      <c r="T790">
        <v>2622</v>
      </c>
      <c r="U790" t="s">
        <v>21</v>
      </c>
    </row>
    <row r="791" spans="1:21">
      <c r="A791" t="str">
        <f t="shared" si="339"/>
        <v>19/11/2025</v>
      </c>
      <c r="B791" t="str">
        <f t="shared" si="334"/>
        <v>ENTRADA</v>
      </c>
      <c r="C791" t="str">
        <f t="shared" si="335"/>
        <v>NFSE</v>
      </c>
      <c r="D791" t="str">
        <f>"3819"</f>
        <v>3819</v>
      </c>
      <c r="E791" t="str">
        <f t="shared" si="340"/>
        <v>COM</v>
      </c>
      <c r="F791" t="str">
        <f>"PENSE FARMA 31 (10205)"</f>
        <v>PENSE FARMA 31 (10205)</v>
      </c>
      <c r="G791" t="str">
        <f>"Serv.Prest. 10/11/2025 a 16/11/2025 - RPS: 1582 - NFSe: 3819"</f>
        <v>Serv.Prest. 10/11/2025 a 16/11/2025 - RPS: 1582 - NFSe: 3819</v>
      </c>
      <c r="H791" t="str">
        <f t="shared" si="333"/>
        <v>19/11/2025</v>
      </c>
      <c r="I791" t="str">
        <f t="shared" si="336"/>
        <v>17/11/2025</v>
      </c>
      <c r="J791" t="str">
        <f t="shared" si="341"/>
        <v>19/11/2025</v>
      </c>
      <c r="M791">
        <v>303</v>
      </c>
      <c r="N791" t="str">
        <f t="shared" si="337"/>
        <v>RECEITAS COM ENTREGAS</v>
      </c>
      <c r="P791">
        <v>109.52</v>
      </c>
      <c r="Q791" t="str">
        <f>"PENSE FARMA 16 (10221)"</f>
        <v>PENSE FARMA 16 (10221)</v>
      </c>
      <c r="R791" t="str">
        <f t="shared" si="338"/>
        <v>RECEITAS COM ENTREGAS (303)</v>
      </c>
      <c r="S791">
        <v>3269</v>
      </c>
      <c r="T791">
        <v>2622</v>
      </c>
      <c r="U791" t="s">
        <v>21</v>
      </c>
    </row>
    <row r="792" spans="1:21">
      <c r="A792" t="str">
        <f t="shared" si="339"/>
        <v>19/11/2025</v>
      </c>
      <c r="B792" t="str">
        <f t="shared" si="334"/>
        <v>ENTRADA</v>
      </c>
      <c r="C792" t="str">
        <f t="shared" si="335"/>
        <v>NFSE</v>
      </c>
      <c r="D792" t="str">
        <f>"3819"</f>
        <v>3819</v>
      </c>
      <c r="E792" t="str">
        <f t="shared" si="340"/>
        <v>COM</v>
      </c>
      <c r="F792" t="str">
        <f>"PENSE FARMA 31 (10205)"</f>
        <v>PENSE FARMA 31 (10205)</v>
      </c>
      <c r="G792" t="str">
        <f>"Serv.Prest. 10/11/2025 a 16/11/2025 - RPS: 1582 - NFSe: 3819"</f>
        <v>Serv.Prest. 10/11/2025 a 16/11/2025 - RPS: 1582 - NFSe: 3819</v>
      </c>
      <c r="H792" t="str">
        <f t="shared" si="333"/>
        <v>19/11/2025</v>
      </c>
      <c r="I792" t="str">
        <f t="shared" si="336"/>
        <v>17/11/2025</v>
      </c>
      <c r="J792" t="str">
        <f t="shared" si="341"/>
        <v>19/11/2025</v>
      </c>
      <c r="M792">
        <v>303</v>
      </c>
      <c r="N792" t="str">
        <f t="shared" si="337"/>
        <v>RECEITAS COM ENTREGAS</v>
      </c>
      <c r="P792">
        <v>108.19</v>
      </c>
      <c r="Q792" t="str">
        <f>"PENSE FARMA 17 (10222)"</f>
        <v>PENSE FARMA 17 (10222)</v>
      </c>
      <c r="R792" t="str">
        <f t="shared" si="338"/>
        <v>RECEITAS COM ENTREGAS (303)</v>
      </c>
      <c r="S792">
        <v>3269</v>
      </c>
      <c r="T792">
        <v>2622</v>
      </c>
      <c r="U792" t="s">
        <v>21</v>
      </c>
    </row>
    <row r="793" spans="1:21">
      <c r="A793" t="str">
        <f t="shared" si="339"/>
        <v>19/11/2025</v>
      </c>
      <c r="B793" t="str">
        <f t="shared" si="334"/>
        <v>ENTRADA</v>
      </c>
      <c r="C793" t="str">
        <f t="shared" si="335"/>
        <v>NFSE</v>
      </c>
      <c r="D793" t="str">
        <f>"3835"</f>
        <v>3835</v>
      </c>
      <c r="E793" t="str">
        <f t="shared" si="340"/>
        <v>COM</v>
      </c>
      <c r="F793" t="str">
        <f>"PENSE FARMA 46 (10194)"</f>
        <v>PENSE FARMA 46 (10194)</v>
      </c>
      <c r="G793" t="str">
        <f>"Serv.Prest. 10/11/2025 a 16/11/2025 - RPS: 1598 - NFSe: 3835"</f>
        <v>Serv.Prest. 10/11/2025 a 16/11/2025 - RPS: 1598 - NFSe: 3835</v>
      </c>
      <c r="H793" t="str">
        <f t="shared" si="333"/>
        <v>19/11/2025</v>
      </c>
      <c r="I793" t="str">
        <f t="shared" si="336"/>
        <v>17/11/2025</v>
      </c>
      <c r="J793" t="str">
        <f t="shared" si="341"/>
        <v>19/11/2025</v>
      </c>
      <c r="K793">
        <v>342</v>
      </c>
      <c r="L793">
        <v>342</v>
      </c>
      <c r="M793">
        <v>303</v>
      </c>
      <c r="N793" t="str">
        <f t="shared" si="337"/>
        <v>RECEITAS COM ENTREGAS</v>
      </c>
      <c r="O793">
        <v>342</v>
      </c>
      <c r="R793" t="str">
        <f t="shared" si="338"/>
        <v>RECEITAS COM ENTREGAS (303)</v>
      </c>
      <c r="S793">
        <v>3270</v>
      </c>
      <c r="T793">
        <v>2638</v>
      </c>
      <c r="U793" t="s">
        <v>21</v>
      </c>
    </row>
    <row r="794" spans="1:21">
      <c r="A794" t="str">
        <f t="shared" si="339"/>
        <v>19/11/2025</v>
      </c>
      <c r="B794" t="str">
        <f t="shared" si="334"/>
        <v>ENTRADA</v>
      </c>
      <c r="C794" t="str">
        <f t="shared" si="335"/>
        <v>NFSE</v>
      </c>
      <c r="D794" t="str">
        <f>"3835"</f>
        <v>3835</v>
      </c>
      <c r="E794" t="str">
        <f t="shared" si="340"/>
        <v>COM</v>
      </c>
      <c r="F794" t="str">
        <f>"PENSE FARMA 46 (10194)"</f>
        <v>PENSE FARMA 46 (10194)</v>
      </c>
      <c r="G794" t="str">
        <f>"Serv.Prest. 10/11/2025 a 16/11/2025 - RPS: 1598 - NFSe: 3835"</f>
        <v>Serv.Prest. 10/11/2025 a 16/11/2025 - RPS: 1598 - NFSe: 3835</v>
      </c>
      <c r="H794" t="str">
        <f t="shared" si="333"/>
        <v>19/11/2025</v>
      </c>
      <c r="I794" t="str">
        <f t="shared" si="336"/>
        <v>17/11/2025</v>
      </c>
      <c r="J794" t="str">
        <f t="shared" si="341"/>
        <v>19/11/2025</v>
      </c>
      <c r="M794">
        <v>303</v>
      </c>
      <c r="N794" t="str">
        <f t="shared" si="337"/>
        <v>RECEITAS COM ENTREGAS</v>
      </c>
      <c r="P794">
        <v>342</v>
      </c>
      <c r="Q794" t="str">
        <f>"PENSE FARMA 46 (10194)"</f>
        <v>PENSE FARMA 46 (10194)</v>
      </c>
      <c r="R794" t="str">
        <f t="shared" si="338"/>
        <v>RECEITAS COM ENTREGAS (303)</v>
      </c>
      <c r="S794">
        <v>3270</v>
      </c>
      <c r="T794">
        <v>2638</v>
      </c>
      <c r="U794" t="s">
        <v>21</v>
      </c>
    </row>
    <row r="795" spans="1:21">
      <c r="A795" t="str">
        <f t="shared" si="339"/>
        <v>19/11/2025</v>
      </c>
      <c r="B795" t="str">
        <f t="shared" si="334"/>
        <v>ENTRADA</v>
      </c>
      <c r="C795" t="str">
        <f t="shared" si="335"/>
        <v>NFSE</v>
      </c>
      <c r="D795" t="str">
        <f>"3822"</f>
        <v>3822</v>
      </c>
      <c r="E795" t="str">
        <f t="shared" si="340"/>
        <v>COM</v>
      </c>
      <c r="F795" t="str">
        <f>"PENSE FARMA 39 (10228)"</f>
        <v>PENSE FARMA 39 (10228)</v>
      </c>
      <c r="G795" t="str">
        <f>"Serv.Prest. 10/11/2025 a 16/11/2025 - RPS: 1585 - NFSe: 3822"</f>
        <v>Serv.Prest. 10/11/2025 a 16/11/2025 - RPS: 1585 - NFSe: 3822</v>
      </c>
      <c r="H795" t="str">
        <f t="shared" si="333"/>
        <v>19/11/2025</v>
      </c>
      <c r="I795" t="str">
        <f t="shared" si="336"/>
        <v>17/11/2025</v>
      </c>
      <c r="J795" t="str">
        <f t="shared" si="341"/>
        <v>19/11/2025</v>
      </c>
      <c r="K795">
        <v>599.98</v>
      </c>
      <c r="L795">
        <v>599.98</v>
      </c>
      <c r="M795">
        <v>303</v>
      </c>
      <c r="N795" t="str">
        <f t="shared" si="337"/>
        <v>RECEITAS COM ENTREGAS</v>
      </c>
      <c r="O795">
        <v>599.98</v>
      </c>
      <c r="R795" t="str">
        <f t="shared" si="338"/>
        <v>RECEITAS COM ENTREGAS (303)</v>
      </c>
      <c r="S795">
        <v>3271</v>
      </c>
      <c r="T795">
        <v>2625</v>
      </c>
      <c r="U795" t="s">
        <v>21</v>
      </c>
    </row>
    <row r="796" spans="1:21">
      <c r="A796" t="str">
        <f t="shared" si="339"/>
        <v>19/11/2025</v>
      </c>
      <c r="B796" t="str">
        <f t="shared" si="334"/>
        <v>ENTRADA</v>
      </c>
      <c r="C796" t="str">
        <f t="shared" si="335"/>
        <v>NFSE</v>
      </c>
      <c r="D796" t="str">
        <f>"3822"</f>
        <v>3822</v>
      </c>
      <c r="E796" t="str">
        <f t="shared" si="340"/>
        <v>COM</v>
      </c>
      <c r="F796" t="str">
        <f>"PENSE FARMA 39 (10228)"</f>
        <v>PENSE FARMA 39 (10228)</v>
      </c>
      <c r="G796" t="str">
        <f>"Serv.Prest. 10/11/2025 a 16/11/2025 - RPS: 1585 - NFSe: 3822"</f>
        <v>Serv.Prest. 10/11/2025 a 16/11/2025 - RPS: 1585 - NFSe: 3822</v>
      </c>
      <c r="H796" t="str">
        <f t="shared" si="333"/>
        <v>19/11/2025</v>
      </c>
      <c r="I796" t="str">
        <f t="shared" si="336"/>
        <v>17/11/2025</v>
      </c>
      <c r="J796" t="str">
        <f t="shared" si="341"/>
        <v>19/11/2025</v>
      </c>
      <c r="M796">
        <v>303</v>
      </c>
      <c r="N796" t="str">
        <f t="shared" si="337"/>
        <v>RECEITAS COM ENTREGAS</v>
      </c>
      <c r="P796">
        <v>148.85</v>
      </c>
      <c r="Q796" t="str">
        <f>"PENSE FARMA 02 (10199)"</f>
        <v>PENSE FARMA 02 (10199)</v>
      </c>
      <c r="R796" t="str">
        <f t="shared" si="338"/>
        <v>RECEITAS COM ENTREGAS (303)</v>
      </c>
      <c r="S796">
        <v>3271</v>
      </c>
      <c r="T796">
        <v>2625</v>
      </c>
      <c r="U796" t="s">
        <v>21</v>
      </c>
    </row>
    <row r="797" spans="1:21">
      <c r="A797" t="str">
        <f t="shared" si="339"/>
        <v>19/11/2025</v>
      </c>
      <c r="B797" t="str">
        <f t="shared" si="334"/>
        <v>ENTRADA</v>
      </c>
      <c r="C797" t="str">
        <f t="shared" si="335"/>
        <v>NFSE</v>
      </c>
      <c r="D797" t="str">
        <f>"3822"</f>
        <v>3822</v>
      </c>
      <c r="E797" t="str">
        <f t="shared" si="340"/>
        <v>COM</v>
      </c>
      <c r="F797" t="str">
        <f>"PENSE FARMA 39 (10228)"</f>
        <v>PENSE FARMA 39 (10228)</v>
      </c>
      <c r="G797" t="str">
        <f>"Serv.Prest. 10/11/2025 a 16/11/2025 - RPS: 1585 - NFSe: 3822"</f>
        <v>Serv.Prest. 10/11/2025 a 16/11/2025 - RPS: 1585 - NFSe: 3822</v>
      </c>
      <c r="H797" t="str">
        <f t="shared" ref="H797:H803" si="342">("19/11/2025")</f>
        <v>19/11/2025</v>
      </c>
      <c r="I797" t="str">
        <f t="shared" si="336"/>
        <v>17/11/2025</v>
      </c>
      <c r="J797" t="str">
        <f t="shared" si="341"/>
        <v>19/11/2025</v>
      </c>
      <c r="M797">
        <v>303</v>
      </c>
      <c r="N797" t="str">
        <f t="shared" si="337"/>
        <v>RECEITAS COM ENTREGAS</v>
      </c>
      <c r="P797">
        <v>148.86000000000001</v>
      </c>
      <c r="Q797" t="str">
        <f>"PENSE FARMA 01 (10215)"</f>
        <v>PENSE FARMA 01 (10215)</v>
      </c>
      <c r="R797" t="str">
        <f t="shared" si="338"/>
        <v>RECEITAS COM ENTREGAS (303)</v>
      </c>
      <c r="S797">
        <v>3271</v>
      </c>
      <c r="T797">
        <v>2625</v>
      </c>
      <c r="U797" t="s">
        <v>21</v>
      </c>
    </row>
    <row r="798" spans="1:21">
      <c r="A798" t="str">
        <f t="shared" si="339"/>
        <v>19/11/2025</v>
      </c>
      <c r="B798" t="str">
        <f t="shared" si="334"/>
        <v>ENTRADA</v>
      </c>
      <c r="C798" t="str">
        <f t="shared" si="335"/>
        <v>NFSE</v>
      </c>
      <c r="D798" t="str">
        <f>"3822"</f>
        <v>3822</v>
      </c>
      <c r="E798" t="str">
        <f t="shared" si="340"/>
        <v>COM</v>
      </c>
      <c r="F798" t="str">
        <f>"PENSE FARMA 39 (10228)"</f>
        <v>PENSE FARMA 39 (10228)</v>
      </c>
      <c r="G798" t="str">
        <f>"Serv.Prest. 10/11/2025 a 16/11/2025 - RPS: 1585 - NFSe: 3822"</f>
        <v>Serv.Prest. 10/11/2025 a 16/11/2025 - RPS: 1585 - NFSe: 3822</v>
      </c>
      <c r="H798" t="str">
        <f t="shared" si="342"/>
        <v>19/11/2025</v>
      </c>
      <c r="I798" t="str">
        <f t="shared" si="336"/>
        <v>17/11/2025</v>
      </c>
      <c r="J798" t="str">
        <f t="shared" si="341"/>
        <v>19/11/2025</v>
      </c>
      <c r="M798">
        <v>303</v>
      </c>
      <c r="N798" t="str">
        <f t="shared" si="337"/>
        <v>RECEITAS COM ENTREGAS</v>
      </c>
      <c r="P798">
        <v>148.86000000000001</v>
      </c>
      <c r="Q798" t="str">
        <f>"PENSE FARMA 03 (10216)"</f>
        <v>PENSE FARMA 03 (10216)</v>
      </c>
      <c r="R798" t="str">
        <f t="shared" si="338"/>
        <v>RECEITAS COM ENTREGAS (303)</v>
      </c>
      <c r="S798">
        <v>3271</v>
      </c>
      <c r="T798">
        <v>2625</v>
      </c>
      <c r="U798" t="s">
        <v>21</v>
      </c>
    </row>
    <row r="799" spans="1:21">
      <c r="A799" t="str">
        <f t="shared" si="339"/>
        <v>19/11/2025</v>
      </c>
      <c r="B799" t="str">
        <f t="shared" si="334"/>
        <v>ENTRADA</v>
      </c>
      <c r="C799" t="str">
        <f t="shared" si="335"/>
        <v>NFSE</v>
      </c>
      <c r="D799" t="str">
        <f>"3822"</f>
        <v>3822</v>
      </c>
      <c r="E799" t="str">
        <f t="shared" si="340"/>
        <v>COM</v>
      </c>
      <c r="F799" t="str">
        <f>"PENSE FARMA 39 (10228)"</f>
        <v>PENSE FARMA 39 (10228)</v>
      </c>
      <c r="G799" t="str">
        <f>"Serv.Prest. 10/11/2025 a 16/11/2025 - RPS: 1585 - NFSe: 3822"</f>
        <v>Serv.Prest. 10/11/2025 a 16/11/2025 - RPS: 1585 - NFSe: 3822</v>
      </c>
      <c r="H799" t="str">
        <f t="shared" si="342"/>
        <v>19/11/2025</v>
      </c>
      <c r="I799" t="str">
        <f t="shared" si="336"/>
        <v>17/11/2025</v>
      </c>
      <c r="J799" t="str">
        <f t="shared" si="341"/>
        <v>19/11/2025</v>
      </c>
      <c r="M799">
        <v>303</v>
      </c>
      <c r="N799" t="str">
        <f t="shared" si="337"/>
        <v>RECEITAS COM ENTREGAS</v>
      </c>
      <c r="P799">
        <v>153.41</v>
      </c>
      <c r="Q799" t="str">
        <f>"PENSE FARMA 39 (10228)"</f>
        <v>PENSE FARMA 39 (10228)</v>
      </c>
      <c r="R799" t="str">
        <f t="shared" si="338"/>
        <v>RECEITAS COM ENTREGAS (303)</v>
      </c>
      <c r="S799">
        <v>3271</v>
      </c>
      <c r="T799">
        <v>2625</v>
      </c>
      <c r="U799" t="s">
        <v>21</v>
      </c>
    </row>
    <row r="800" spans="1:21">
      <c r="A800" t="str">
        <f t="shared" si="339"/>
        <v>19/11/2025</v>
      </c>
      <c r="B800" t="str">
        <f>"SAÍDA"</f>
        <v>SAÍDA</v>
      </c>
      <c r="C800" t="str">
        <f>"PIX"</f>
        <v>PIX</v>
      </c>
      <c r="D800" t="str">
        <f>"19112025"</f>
        <v>19112025</v>
      </c>
      <c r="E800" t="str">
        <f t="shared" si="340"/>
        <v>COM</v>
      </c>
      <c r="F800" t="str">
        <f>"LILIANE DE FATIMA REZENDE JUSTINO (20013)"</f>
        <v>LILIANE DE FATIMA REZENDE JUSTINO (20013)</v>
      </c>
      <c r="G800" t="str">
        <f>"DESPESAS DE VIAGEM NATAL RN"</f>
        <v>DESPESAS DE VIAGEM NATAL RN</v>
      </c>
      <c r="H800" t="str">
        <f t="shared" si="342"/>
        <v>19/11/2025</v>
      </c>
      <c r="I800" t="str">
        <f>("19/11/2025")</f>
        <v>19/11/2025</v>
      </c>
      <c r="J800" t="str">
        <f t="shared" si="341"/>
        <v>19/11/2025</v>
      </c>
      <c r="K800">
        <v>513.35</v>
      </c>
      <c r="L800">
        <v>513.35</v>
      </c>
      <c r="M800">
        <v>128</v>
      </c>
      <c r="N800" t="str">
        <f>"DESPESAS COM VIAGENS"</f>
        <v>DESPESAS COM VIAGENS</v>
      </c>
      <c r="O800">
        <v>513.35</v>
      </c>
      <c r="R800" t="str">
        <f>"BANCO CORA (102)"</f>
        <v>BANCO CORA (102)</v>
      </c>
      <c r="S800">
        <v>3272</v>
      </c>
      <c r="T800">
        <v>2911</v>
      </c>
      <c r="U800" t="s">
        <v>21</v>
      </c>
    </row>
    <row r="801" spans="1:21">
      <c r="A801" t="str">
        <f t="shared" si="339"/>
        <v>19/11/2025</v>
      </c>
      <c r="B801" t="str">
        <f>"SAÍDA"</f>
        <v>SAÍDA</v>
      </c>
      <c r="C801" t="str">
        <f>"PIX"</f>
        <v>PIX</v>
      </c>
      <c r="D801" t="str">
        <f>"19112025"</f>
        <v>19112025</v>
      </c>
      <c r="E801" t="str">
        <f t="shared" si="340"/>
        <v>COM</v>
      </c>
      <c r="F801" t="str">
        <f>"LILIANE DE FATIMA REZENDE JUSTINO (20013)"</f>
        <v>LILIANE DE FATIMA REZENDE JUSTINO (20013)</v>
      </c>
      <c r="G801" t="str">
        <f>"DESPESAS DE VIAGEM NATAL RN"</f>
        <v>DESPESAS DE VIAGEM NATAL RN</v>
      </c>
      <c r="H801" t="str">
        <f t="shared" si="342"/>
        <v>19/11/2025</v>
      </c>
      <c r="I801" t="str">
        <f>("19/11/2025")</f>
        <v>19/11/2025</v>
      </c>
      <c r="J801" t="str">
        <f t="shared" si="341"/>
        <v>19/11/2025</v>
      </c>
      <c r="M801">
        <v>128</v>
      </c>
      <c r="N801" t="str">
        <f>"DESPESAS COM VIAGENS"</f>
        <v>DESPESAS COM VIAGENS</v>
      </c>
      <c r="P801">
        <v>513.35</v>
      </c>
      <c r="Q801" t="str">
        <f>"LILIANE DE FATIMA REZENDE JUSTINO (20013)"</f>
        <v>LILIANE DE FATIMA REZENDE JUSTINO (20013)</v>
      </c>
      <c r="R801" t="str">
        <f>"BANCO CORA (102)"</f>
        <v>BANCO CORA (102)</v>
      </c>
      <c r="S801">
        <v>3272</v>
      </c>
      <c r="T801">
        <v>2911</v>
      </c>
      <c r="U801" t="s">
        <v>21</v>
      </c>
    </row>
    <row r="802" spans="1:21">
      <c r="A802" t="str">
        <f t="shared" si="339"/>
        <v>19/11/2025</v>
      </c>
      <c r="B802" t="str">
        <f>"SAÍDA"</f>
        <v>SAÍDA</v>
      </c>
      <c r="C802" t="str">
        <f>"PIX"</f>
        <v>PIX</v>
      </c>
      <c r="D802" t="str">
        <f>"19112025"</f>
        <v>19112025</v>
      </c>
      <c r="E802" t="str">
        <f t="shared" si="340"/>
        <v>COM</v>
      </c>
      <c r="F802" t="str">
        <f>"LILIANE DE FATIMA REZENDE JUSTINO (20013)"</f>
        <v>LILIANE DE FATIMA REZENDE JUSTINO (20013)</v>
      </c>
      <c r="G802" t="str">
        <f>"DESPESAS DE VIAGEM NATAL RN"</f>
        <v>DESPESAS DE VIAGEM NATAL RN</v>
      </c>
      <c r="H802" t="str">
        <f t="shared" si="342"/>
        <v>19/11/2025</v>
      </c>
      <c r="I802" t="str">
        <f>("19/11/2025")</f>
        <v>19/11/2025</v>
      </c>
      <c r="J802" t="str">
        <f t="shared" si="341"/>
        <v>19/11/2025</v>
      </c>
      <c r="K802">
        <v>2000</v>
      </c>
      <c r="L802">
        <v>2000</v>
      </c>
      <c r="M802">
        <v>128</v>
      </c>
      <c r="N802" t="str">
        <f>"DESPESAS COM VIAGENS"</f>
        <v>DESPESAS COM VIAGENS</v>
      </c>
      <c r="O802">
        <v>2000</v>
      </c>
      <c r="R802" t="str">
        <f>"BANCO CORA (102)"</f>
        <v>BANCO CORA (102)</v>
      </c>
      <c r="S802">
        <v>3273</v>
      </c>
      <c r="T802">
        <v>2912</v>
      </c>
      <c r="U802" t="s">
        <v>21</v>
      </c>
    </row>
    <row r="803" spans="1:21">
      <c r="A803" t="str">
        <f t="shared" si="339"/>
        <v>19/11/2025</v>
      </c>
      <c r="B803" t="str">
        <f>"SAÍDA"</f>
        <v>SAÍDA</v>
      </c>
      <c r="C803" t="str">
        <f>"PIX"</f>
        <v>PIX</v>
      </c>
      <c r="D803" t="str">
        <f>"19112025"</f>
        <v>19112025</v>
      </c>
      <c r="E803" t="str">
        <f t="shared" si="340"/>
        <v>COM</v>
      </c>
      <c r="F803" t="str">
        <f>"LILIANE DE FATIMA REZENDE JUSTINO (20013)"</f>
        <v>LILIANE DE FATIMA REZENDE JUSTINO (20013)</v>
      </c>
      <c r="G803" t="str">
        <f>"DESPESAS DE VIAGEM NATAL RN"</f>
        <v>DESPESAS DE VIAGEM NATAL RN</v>
      </c>
      <c r="H803" t="str">
        <f t="shared" si="342"/>
        <v>19/11/2025</v>
      </c>
      <c r="I803" t="str">
        <f>("19/11/2025")</f>
        <v>19/11/2025</v>
      </c>
      <c r="J803" t="str">
        <f t="shared" si="341"/>
        <v>19/11/2025</v>
      </c>
      <c r="M803">
        <v>128</v>
      </c>
      <c r="N803" t="str">
        <f>"DESPESAS COM VIAGENS"</f>
        <v>DESPESAS COM VIAGENS</v>
      </c>
      <c r="P803">
        <v>2000</v>
      </c>
      <c r="Q803" t="str">
        <f>"LILIANE DE FATIMA REZENDE JUSTINO (20013)"</f>
        <v>LILIANE DE FATIMA REZENDE JUSTINO (20013)</v>
      </c>
      <c r="R803" t="str">
        <f>"BANCO CORA (102)"</f>
        <v>BANCO CORA (102)</v>
      </c>
      <c r="S803">
        <v>3273</v>
      </c>
      <c r="T803">
        <v>2912</v>
      </c>
      <c r="U803" t="s">
        <v>21</v>
      </c>
    </row>
    <row r="804" spans="1:21">
      <c r="A804" t="str">
        <f t="shared" si="339"/>
        <v>19/11/2025</v>
      </c>
      <c r="B804" t="str">
        <f>"ENTRADA"</f>
        <v>ENTRADA</v>
      </c>
      <c r="C804" t="str">
        <f>"NFSE"</f>
        <v>NFSE</v>
      </c>
      <c r="D804" t="str">
        <f>"3761"</f>
        <v>3761</v>
      </c>
      <c r="E804" t="str">
        <f t="shared" si="340"/>
        <v>COM</v>
      </c>
      <c r="F804" t="str">
        <f>"PAGMENOS - LJ 431 (10265)"</f>
        <v>PAGMENOS - LJ 431 (10265)</v>
      </c>
      <c r="G804" t="str">
        <f>"Serv.Prest. 27/10/2025 a 02/11/2025 - RPS: 1524 - NFSe: 3761"</f>
        <v>Serv.Prest. 27/10/2025 a 02/11/2025 - RPS: 1524 - NFSe: 3761</v>
      </c>
      <c r="H804" t="str">
        <f>("14/11/2025")</f>
        <v>14/11/2025</v>
      </c>
      <c r="I804" t="str">
        <f>("04/11/2025")</f>
        <v>04/11/2025</v>
      </c>
      <c r="J804" t="str">
        <f t="shared" si="341"/>
        <v>19/11/2025</v>
      </c>
      <c r="K804">
        <v>143.93</v>
      </c>
      <c r="L804">
        <v>143.93</v>
      </c>
      <c r="M804">
        <v>303</v>
      </c>
      <c r="N804" t="str">
        <f>"RECEITAS COM ENTREGAS"</f>
        <v>RECEITAS COM ENTREGAS</v>
      </c>
      <c r="O804">
        <v>143.93</v>
      </c>
      <c r="R804" t="str">
        <f>"RECEITAS COM ENTREGAS (303)"</f>
        <v>RECEITAS COM ENTREGAS (303)</v>
      </c>
      <c r="S804">
        <v>3275</v>
      </c>
      <c r="T804">
        <v>2456</v>
      </c>
      <c r="U804" t="s">
        <v>21</v>
      </c>
    </row>
    <row r="805" spans="1:21">
      <c r="A805" t="str">
        <f t="shared" si="339"/>
        <v>19/11/2025</v>
      </c>
      <c r="B805" t="str">
        <f>"ENTRADA"</f>
        <v>ENTRADA</v>
      </c>
      <c r="C805" t="str">
        <f>"NFSE"</f>
        <v>NFSE</v>
      </c>
      <c r="D805" t="str">
        <f>"3761"</f>
        <v>3761</v>
      </c>
      <c r="E805" t="str">
        <f t="shared" si="340"/>
        <v>COM</v>
      </c>
      <c r="F805" t="str">
        <f>"PAGMENOS - LJ 431 (10265)"</f>
        <v>PAGMENOS - LJ 431 (10265)</v>
      </c>
      <c r="G805" t="str">
        <f>"Serv.Prest. 27/10/2025 a 02/11/2025 - RPS: 1524 - NFSe: 3761"</f>
        <v>Serv.Prest. 27/10/2025 a 02/11/2025 - RPS: 1524 - NFSe: 3761</v>
      </c>
      <c r="H805" t="str">
        <f>("14/11/2025")</f>
        <v>14/11/2025</v>
      </c>
      <c r="I805" t="str">
        <f>("04/11/2025")</f>
        <v>04/11/2025</v>
      </c>
      <c r="J805" t="str">
        <f t="shared" si="341"/>
        <v>19/11/2025</v>
      </c>
      <c r="M805">
        <v>303</v>
      </c>
      <c r="N805" t="str">
        <f>"RECEITAS COM ENTREGAS"</f>
        <v>RECEITAS COM ENTREGAS</v>
      </c>
      <c r="P805">
        <v>143.93</v>
      </c>
      <c r="Q805" t="str">
        <f>"PAGMENOS - LJ 431 (10265)"</f>
        <v>PAGMENOS - LJ 431 (10265)</v>
      </c>
      <c r="R805" t="str">
        <f>"RECEITAS COM ENTREGAS (303)"</f>
        <v>RECEITAS COM ENTREGAS (303)</v>
      </c>
      <c r="S805">
        <v>3275</v>
      </c>
      <c r="T805">
        <v>2456</v>
      </c>
      <c r="U805" t="s">
        <v>21</v>
      </c>
    </row>
    <row r="806" spans="1:21">
      <c r="A806" t="str">
        <f t="shared" si="339"/>
        <v>19/11/2025</v>
      </c>
      <c r="B806" t="str">
        <f>"ENTRADA"</f>
        <v>ENTRADA</v>
      </c>
      <c r="C806" t="str">
        <f>"NFSE"</f>
        <v>NFSE</v>
      </c>
      <c r="D806" t="str">
        <f>"3760"</f>
        <v>3760</v>
      </c>
      <c r="E806" t="str">
        <f t="shared" si="340"/>
        <v>COM</v>
      </c>
      <c r="F806" t="str">
        <f>"PAGMENOS - LJ 768 (10266)"</f>
        <v>PAGMENOS - LJ 768 (10266)</v>
      </c>
      <c r="G806" t="str">
        <f>"Serv.Prest. 27/10/2025 a 02/11/2025 - RPS: 1523 - NFSe: 3760"</f>
        <v>Serv.Prest. 27/10/2025 a 02/11/2025 - RPS: 1523 - NFSe: 3760</v>
      </c>
      <c r="H806" t="str">
        <f>("14/11/2025")</f>
        <v>14/11/2025</v>
      </c>
      <c r="I806" t="str">
        <f>("04/11/2025")</f>
        <v>04/11/2025</v>
      </c>
      <c r="J806" t="str">
        <f t="shared" si="341"/>
        <v>19/11/2025</v>
      </c>
      <c r="K806">
        <v>94.05</v>
      </c>
      <c r="L806">
        <v>94.05</v>
      </c>
      <c r="M806">
        <v>303</v>
      </c>
      <c r="N806" t="str">
        <f>"RECEITAS COM ENTREGAS"</f>
        <v>RECEITAS COM ENTREGAS</v>
      </c>
      <c r="O806">
        <v>94.05</v>
      </c>
      <c r="R806" t="str">
        <f>"RECEITAS COM ENTREGAS (303)"</f>
        <v>RECEITAS COM ENTREGAS (303)</v>
      </c>
      <c r="S806">
        <v>3276</v>
      </c>
      <c r="T806">
        <v>2455</v>
      </c>
      <c r="U806" t="s">
        <v>21</v>
      </c>
    </row>
    <row r="807" spans="1:21">
      <c r="A807" t="str">
        <f t="shared" si="339"/>
        <v>19/11/2025</v>
      </c>
      <c r="B807" t="str">
        <f>"ENTRADA"</f>
        <v>ENTRADA</v>
      </c>
      <c r="C807" t="str">
        <f>"NFSE"</f>
        <v>NFSE</v>
      </c>
      <c r="D807" t="str">
        <f>"3760"</f>
        <v>3760</v>
      </c>
      <c r="E807" t="str">
        <f t="shared" si="340"/>
        <v>COM</v>
      </c>
      <c r="F807" t="str">
        <f>"PAGMENOS - LJ 768 (10266)"</f>
        <v>PAGMENOS - LJ 768 (10266)</v>
      </c>
      <c r="G807" t="str">
        <f>"Serv.Prest. 27/10/2025 a 02/11/2025 - RPS: 1523 - NFSe: 3760"</f>
        <v>Serv.Prest. 27/10/2025 a 02/11/2025 - RPS: 1523 - NFSe: 3760</v>
      </c>
      <c r="H807" t="str">
        <f>("14/11/2025")</f>
        <v>14/11/2025</v>
      </c>
      <c r="I807" t="str">
        <f>("04/11/2025")</f>
        <v>04/11/2025</v>
      </c>
      <c r="J807" t="str">
        <f t="shared" si="341"/>
        <v>19/11/2025</v>
      </c>
      <c r="M807">
        <v>303</v>
      </c>
      <c r="N807" t="str">
        <f>"RECEITAS COM ENTREGAS"</f>
        <v>RECEITAS COM ENTREGAS</v>
      </c>
      <c r="P807">
        <v>94.05</v>
      </c>
      <c r="Q807" t="str">
        <f>"PAGMENOS - LJ 768 (10266)"</f>
        <v>PAGMENOS - LJ 768 (10266)</v>
      </c>
      <c r="R807" t="str">
        <f>"RECEITAS COM ENTREGAS (303)"</f>
        <v>RECEITAS COM ENTREGAS (303)</v>
      </c>
      <c r="S807">
        <v>3276</v>
      </c>
      <c r="T807">
        <v>2455</v>
      </c>
      <c r="U807" t="s">
        <v>21</v>
      </c>
    </row>
    <row r="808" spans="1:21">
      <c r="A808" t="str">
        <f t="shared" ref="A808:A839" si="343">("21/11/2025")</f>
        <v>21/11/2025</v>
      </c>
      <c r="B808" t="str">
        <f>"SAÍDA"</f>
        <v>SAÍDA</v>
      </c>
      <c r="C808" t="str">
        <f>"DINHEIRO"</f>
        <v>DINHEIRO</v>
      </c>
      <c r="D808" t="str">
        <f>"121120"</f>
        <v>121120</v>
      </c>
      <c r="E808" t="str">
        <f t="shared" si="340"/>
        <v>COM</v>
      </c>
      <c r="F808" t="str">
        <f>"DROGARIA ANA &amp; ANA UBA 2 LTDA (10214)"</f>
        <v>DROGARIA ANA &amp; ANA UBA 2 LTDA (10214)</v>
      </c>
      <c r="G808" t="str">
        <f>"REEMBOLSO VALOR COBRADO A MAIS - CHAVE PIX ALEATORIA: 53e99937-7680-4d99-8085-4b2095316e1c"</f>
        <v>REEMBOLSO VALOR COBRADO A MAIS - CHAVE PIX ALEATORIA: 53e99937-7680-4d99-8085-4b2095316e1c</v>
      </c>
      <c r="H808" t="str">
        <f t="shared" ref="H808:H819" si="344">("21/11/2025")</f>
        <v>21/11/2025</v>
      </c>
      <c r="I808" t="str">
        <f>("12/11/2025")</f>
        <v>12/11/2025</v>
      </c>
      <c r="J808" t="str">
        <f t="shared" ref="J808:J839" si="345">("21/11/2025")</f>
        <v>21/11/2025</v>
      </c>
      <c r="K808">
        <v>743.4</v>
      </c>
      <c r="L808">
        <v>743.4</v>
      </c>
      <c r="M808">
        <v>122</v>
      </c>
      <c r="N808" t="str">
        <f>"DESPESAS COM REEMBOLSOS"</f>
        <v>DESPESAS COM REEMBOLSOS</v>
      </c>
      <c r="O808">
        <v>743.4</v>
      </c>
      <c r="R808" t="str">
        <f>"BANCO CORA (102)"</f>
        <v>BANCO CORA (102)</v>
      </c>
      <c r="S808">
        <v>3206</v>
      </c>
      <c r="T808">
        <v>2770</v>
      </c>
      <c r="U808" t="s">
        <v>21</v>
      </c>
    </row>
    <row r="809" spans="1:21">
      <c r="A809" t="str">
        <f t="shared" si="343"/>
        <v>21/11/2025</v>
      </c>
      <c r="B809" t="str">
        <f>"SAÍDA"</f>
        <v>SAÍDA</v>
      </c>
      <c r="C809" t="str">
        <f>"DINHEIRO"</f>
        <v>DINHEIRO</v>
      </c>
      <c r="D809" t="str">
        <f>"121120"</f>
        <v>121120</v>
      </c>
      <c r="E809" t="str">
        <f t="shared" si="340"/>
        <v>COM</v>
      </c>
      <c r="F809" t="str">
        <f>"DROGARIA ANA &amp; ANA UBA 2 LTDA (10214)"</f>
        <v>DROGARIA ANA &amp; ANA UBA 2 LTDA (10214)</v>
      </c>
      <c r="G809" t="str">
        <f>"REEMBOLSO VALOR COBRADO A MAIS - CHAVE PIX ALEATORIA: 53e99937-7680-4d99-8085-4b2095316e1c"</f>
        <v>REEMBOLSO VALOR COBRADO A MAIS - CHAVE PIX ALEATORIA: 53e99937-7680-4d99-8085-4b2095316e1c</v>
      </c>
      <c r="H809" t="str">
        <f t="shared" si="344"/>
        <v>21/11/2025</v>
      </c>
      <c r="I809" t="str">
        <f>("12/11/2025")</f>
        <v>12/11/2025</v>
      </c>
      <c r="J809" t="str">
        <f t="shared" si="345"/>
        <v>21/11/2025</v>
      </c>
      <c r="M809">
        <v>122</v>
      </c>
      <c r="N809" t="str">
        <f>"DESPESAS COM REEMBOLSOS"</f>
        <v>DESPESAS COM REEMBOLSOS</v>
      </c>
      <c r="P809">
        <v>743.4</v>
      </c>
      <c r="Q809" t="str">
        <f>"DROGARIA ANA &amp; ANA UBA 2 LTDA (10214)"</f>
        <v>DROGARIA ANA &amp; ANA UBA 2 LTDA (10214)</v>
      </c>
      <c r="R809" t="str">
        <f>"BANCO CORA (102)"</f>
        <v>BANCO CORA (102)</v>
      </c>
      <c r="S809">
        <v>3206</v>
      </c>
      <c r="T809">
        <v>2770</v>
      </c>
      <c r="U809" t="s">
        <v>21</v>
      </c>
    </row>
    <row r="810" spans="1:21">
      <c r="A810" t="str">
        <f t="shared" si="343"/>
        <v>21/11/2025</v>
      </c>
      <c r="B810" t="str">
        <f t="shared" ref="B810:B839" si="346">"ENTRADA"</f>
        <v>ENTRADA</v>
      </c>
      <c r="C810" t="str">
        <f t="shared" ref="C810:C839" si="347">"NFSE"</f>
        <v>NFSE</v>
      </c>
      <c r="D810" t="str">
        <f t="shared" ref="D810:D815" si="348">"3845"</f>
        <v>3845</v>
      </c>
      <c r="E810" t="str">
        <f t="shared" si="340"/>
        <v>COM</v>
      </c>
      <c r="F810" t="str">
        <f t="shared" ref="F810:F815" si="349">"DROGALIDER 25 (10246)"</f>
        <v>DROGALIDER 25 (10246)</v>
      </c>
      <c r="G810" t="str">
        <f t="shared" ref="G810:G815" si="350">"Serv.Prest. 10/11/2025 a 16/11/2025 - RPS: 1608 - NFSe: 3845"</f>
        <v>Serv.Prest. 10/11/2025 a 16/11/2025 - RPS: 1608 - NFSe: 3845</v>
      </c>
      <c r="H810" t="str">
        <f t="shared" si="344"/>
        <v>21/11/2025</v>
      </c>
      <c r="I810" t="str">
        <f t="shared" ref="I810:I819" si="351">("18/11/2025")</f>
        <v>18/11/2025</v>
      </c>
      <c r="J810" t="str">
        <f t="shared" si="345"/>
        <v>21/11/2025</v>
      </c>
      <c r="K810">
        <v>512</v>
      </c>
      <c r="L810">
        <v>512</v>
      </c>
      <c r="M810">
        <v>303</v>
      </c>
      <c r="N810" t="str">
        <f t="shared" ref="N810:N839" si="352">"RECEITAS COM ENTREGAS"</f>
        <v>RECEITAS COM ENTREGAS</v>
      </c>
      <c r="O810">
        <v>512</v>
      </c>
      <c r="R810" t="str">
        <f t="shared" ref="R810:R839" si="353">"RECEITAS COM ENTREGAS (303)"</f>
        <v>RECEITAS COM ENTREGAS (303)</v>
      </c>
      <c r="S810">
        <v>3277</v>
      </c>
      <c r="T810">
        <v>2648</v>
      </c>
      <c r="U810" t="s">
        <v>21</v>
      </c>
    </row>
    <row r="811" spans="1:21">
      <c r="A811" t="str">
        <f t="shared" si="343"/>
        <v>21/11/2025</v>
      </c>
      <c r="B811" t="str">
        <f t="shared" si="346"/>
        <v>ENTRADA</v>
      </c>
      <c r="C811" t="str">
        <f t="shared" si="347"/>
        <v>NFSE</v>
      </c>
      <c r="D811" t="str">
        <f t="shared" si="348"/>
        <v>3845</v>
      </c>
      <c r="E811" t="str">
        <f t="shared" si="340"/>
        <v>COM</v>
      </c>
      <c r="F811" t="str">
        <f t="shared" si="349"/>
        <v>DROGALIDER 25 (10246)</v>
      </c>
      <c r="G811" t="str">
        <f t="shared" si="350"/>
        <v>Serv.Prest. 10/11/2025 a 16/11/2025 - RPS: 1608 - NFSe: 3845</v>
      </c>
      <c r="H811" t="str">
        <f t="shared" si="344"/>
        <v>21/11/2025</v>
      </c>
      <c r="I811" t="str">
        <f t="shared" si="351"/>
        <v>18/11/2025</v>
      </c>
      <c r="J811" t="str">
        <f t="shared" si="345"/>
        <v>21/11/2025</v>
      </c>
      <c r="M811">
        <v>303</v>
      </c>
      <c r="N811" t="str">
        <f t="shared" si="352"/>
        <v>RECEITAS COM ENTREGAS</v>
      </c>
      <c r="P811">
        <v>88.98</v>
      </c>
      <c r="Q811" t="str">
        <f>"DROGALIDER 58 (10213)"</f>
        <v>DROGALIDER 58 (10213)</v>
      </c>
      <c r="R811" t="str">
        <f t="shared" si="353"/>
        <v>RECEITAS COM ENTREGAS (303)</v>
      </c>
      <c r="S811">
        <v>3277</v>
      </c>
      <c r="T811">
        <v>2648</v>
      </c>
      <c r="U811" t="s">
        <v>21</v>
      </c>
    </row>
    <row r="812" spans="1:21">
      <c r="A812" t="str">
        <f t="shared" si="343"/>
        <v>21/11/2025</v>
      </c>
      <c r="B812" t="str">
        <f t="shared" si="346"/>
        <v>ENTRADA</v>
      </c>
      <c r="C812" t="str">
        <f t="shared" si="347"/>
        <v>NFSE</v>
      </c>
      <c r="D812" t="str">
        <f t="shared" si="348"/>
        <v>3845</v>
      </c>
      <c r="E812" t="str">
        <f t="shared" si="340"/>
        <v>COM</v>
      </c>
      <c r="F812" t="str">
        <f t="shared" si="349"/>
        <v>DROGALIDER 25 (10246)</v>
      </c>
      <c r="G812" t="str">
        <f t="shared" si="350"/>
        <v>Serv.Prest. 10/11/2025 a 16/11/2025 - RPS: 1608 - NFSe: 3845</v>
      </c>
      <c r="H812" t="str">
        <f t="shared" si="344"/>
        <v>21/11/2025</v>
      </c>
      <c r="I812" t="str">
        <f t="shared" si="351"/>
        <v>18/11/2025</v>
      </c>
      <c r="J812" t="str">
        <f t="shared" si="345"/>
        <v>21/11/2025</v>
      </c>
      <c r="M812">
        <v>303</v>
      </c>
      <c r="N812" t="str">
        <f t="shared" si="352"/>
        <v>RECEITAS COM ENTREGAS</v>
      </c>
      <c r="P812">
        <v>160</v>
      </c>
      <c r="Q812" t="str">
        <f>"DROGALIDER 25 (10246)"</f>
        <v>DROGALIDER 25 (10246)</v>
      </c>
      <c r="R812" t="str">
        <f t="shared" si="353"/>
        <v>RECEITAS COM ENTREGAS (303)</v>
      </c>
      <c r="S812">
        <v>3277</v>
      </c>
      <c r="T812">
        <v>2648</v>
      </c>
      <c r="U812" t="s">
        <v>21</v>
      </c>
    </row>
    <row r="813" spans="1:21">
      <c r="A813" t="str">
        <f t="shared" si="343"/>
        <v>21/11/2025</v>
      </c>
      <c r="B813" t="str">
        <f t="shared" si="346"/>
        <v>ENTRADA</v>
      </c>
      <c r="C813" t="str">
        <f t="shared" si="347"/>
        <v>NFSE</v>
      </c>
      <c r="D813" t="str">
        <f t="shared" si="348"/>
        <v>3845</v>
      </c>
      <c r="E813" t="str">
        <f t="shared" si="340"/>
        <v>COM</v>
      </c>
      <c r="F813" t="str">
        <f t="shared" si="349"/>
        <v>DROGALIDER 25 (10246)</v>
      </c>
      <c r="G813" t="str">
        <f t="shared" si="350"/>
        <v>Serv.Prest. 10/11/2025 a 16/11/2025 - RPS: 1608 - NFSe: 3845</v>
      </c>
      <c r="H813" t="str">
        <f t="shared" si="344"/>
        <v>21/11/2025</v>
      </c>
      <c r="I813" t="str">
        <f t="shared" si="351"/>
        <v>18/11/2025</v>
      </c>
      <c r="J813" t="str">
        <f t="shared" si="345"/>
        <v>21/11/2025</v>
      </c>
      <c r="M813">
        <v>303</v>
      </c>
      <c r="N813" t="str">
        <f t="shared" si="352"/>
        <v>RECEITAS COM ENTREGAS</v>
      </c>
      <c r="P813">
        <v>124.98</v>
      </c>
      <c r="Q813" t="str">
        <f>"DROGALIDER 46 (10248)"</f>
        <v>DROGALIDER 46 (10248)</v>
      </c>
      <c r="R813" t="str">
        <f t="shared" si="353"/>
        <v>RECEITAS COM ENTREGAS (303)</v>
      </c>
      <c r="S813">
        <v>3277</v>
      </c>
      <c r="T813">
        <v>2648</v>
      </c>
      <c r="U813" t="s">
        <v>21</v>
      </c>
    </row>
    <row r="814" spans="1:21">
      <c r="A814" t="str">
        <f t="shared" si="343"/>
        <v>21/11/2025</v>
      </c>
      <c r="B814" t="str">
        <f t="shared" si="346"/>
        <v>ENTRADA</v>
      </c>
      <c r="C814" t="str">
        <f t="shared" si="347"/>
        <v>NFSE</v>
      </c>
      <c r="D814" t="str">
        <f t="shared" si="348"/>
        <v>3845</v>
      </c>
      <c r="E814" t="str">
        <f t="shared" si="340"/>
        <v>COM</v>
      </c>
      <c r="F814" t="str">
        <f t="shared" si="349"/>
        <v>DROGALIDER 25 (10246)</v>
      </c>
      <c r="G814" t="str">
        <f t="shared" si="350"/>
        <v>Serv.Prest. 10/11/2025 a 16/11/2025 - RPS: 1608 - NFSe: 3845</v>
      </c>
      <c r="H814" t="str">
        <f t="shared" si="344"/>
        <v>21/11/2025</v>
      </c>
      <c r="I814" t="str">
        <f t="shared" si="351"/>
        <v>18/11/2025</v>
      </c>
      <c r="J814" t="str">
        <f t="shared" si="345"/>
        <v>21/11/2025</v>
      </c>
      <c r="M814">
        <v>303</v>
      </c>
      <c r="N814" t="str">
        <f t="shared" si="352"/>
        <v>RECEITAS COM ENTREGAS</v>
      </c>
      <c r="P814">
        <v>69.02</v>
      </c>
      <c r="Q814" t="str">
        <f>"DROGALIDER 64 (10250)"</f>
        <v>DROGALIDER 64 (10250)</v>
      </c>
      <c r="R814" t="str">
        <f t="shared" si="353"/>
        <v>RECEITAS COM ENTREGAS (303)</v>
      </c>
      <c r="S814">
        <v>3277</v>
      </c>
      <c r="T814">
        <v>2648</v>
      </c>
      <c r="U814" t="s">
        <v>21</v>
      </c>
    </row>
    <row r="815" spans="1:21">
      <c r="A815" t="str">
        <f t="shared" si="343"/>
        <v>21/11/2025</v>
      </c>
      <c r="B815" t="str">
        <f t="shared" si="346"/>
        <v>ENTRADA</v>
      </c>
      <c r="C815" t="str">
        <f t="shared" si="347"/>
        <v>NFSE</v>
      </c>
      <c r="D815" t="str">
        <f t="shared" si="348"/>
        <v>3845</v>
      </c>
      <c r="E815" t="str">
        <f t="shared" si="340"/>
        <v>COM</v>
      </c>
      <c r="F815" t="str">
        <f t="shared" si="349"/>
        <v>DROGALIDER 25 (10246)</v>
      </c>
      <c r="G815" t="str">
        <f t="shared" si="350"/>
        <v>Serv.Prest. 10/11/2025 a 16/11/2025 - RPS: 1608 - NFSe: 3845</v>
      </c>
      <c r="H815" t="str">
        <f t="shared" si="344"/>
        <v>21/11/2025</v>
      </c>
      <c r="I815" t="str">
        <f t="shared" si="351"/>
        <v>18/11/2025</v>
      </c>
      <c r="J815" t="str">
        <f t="shared" si="345"/>
        <v>21/11/2025</v>
      </c>
      <c r="M815">
        <v>303</v>
      </c>
      <c r="N815" t="str">
        <f t="shared" si="352"/>
        <v>RECEITAS COM ENTREGAS</v>
      </c>
      <c r="P815">
        <v>69.02</v>
      </c>
      <c r="Q815" t="str">
        <f>"DROGALIDER 66 (10251)"</f>
        <v>DROGALIDER 66 (10251)</v>
      </c>
      <c r="R815" t="str">
        <f t="shared" si="353"/>
        <v>RECEITAS COM ENTREGAS (303)</v>
      </c>
      <c r="S815">
        <v>3277</v>
      </c>
      <c r="T815">
        <v>2648</v>
      </c>
      <c r="U815" t="s">
        <v>21</v>
      </c>
    </row>
    <row r="816" spans="1:21">
      <c r="A816" t="str">
        <f t="shared" si="343"/>
        <v>21/11/2025</v>
      </c>
      <c r="B816" t="str">
        <f t="shared" si="346"/>
        <v>ENTRADA</v>
      </c>
      <c r="C816" t="str">
        <f t="shared" si="347"/>
        <v>NFSE</v>
      </c>
      <c r="D816" t="str">
        <f>"3861"</f>
        <v>3861</v>
      </c>
      <c r="E816" t="str">
        <f t="shared" si="340"/>
        <v>COM</v>
      </c>
      <c r="F816" t="str">
        <f>"DELTA LOJA 2 (10123)"</f>
        <v>DELTA LOJA 2 (10123)</v>
      </c>
      <c r="G816" t="str">
        <f>"Serv.Prest. 10/11/2025 a 16/11/2025 - RPS: 1624 - NFSe: 3861"</f>
        <v>Serv.Prest. 10/11/2025 a 16/11/2025 - RPS: 1624 - NFSe: 3861</v>
      </c>
      <c r="H816" t="str">
        <f t="shared" si="344"/>
        <v>21/11/2025</v>
      </c>
      <c r="I816" t="str">
        <f t="shared" si="351"/>
        <v>18/11/2025</v>
      </c>
      <c r="J816" t="str">
        <f t="shared" si="345"/>
        <v>21/11/2025</v>
      </c>
      <c r="K816">
        <v>827.4</v>
      </c>
      <c r="L816">
        <v>827.4</v>
      </c>
      <c r="M816">
        <v>303</v>
      </c>
      <c r="N816" t="str">
        <f t="shared" si="352"/>
        <v>RECEITAS COM ENTREGAS</v>
      </c>
      <c r="O816">
        <v>827.4</v>
      </c>
      <c r="R816" t="str">
        <f t="shared" si="353"/>
        <v>RECEITAS COM ENTREGAS (303)</v>
      </c>
      <c r="S816">
        <v>3278</v>
      </c>
      <c r="T816">
        <v>2733</v>
      </c>
      <c r="U816" t="s">
        <v>21</v>
      </c>
    </row>
    <row r="817" spans="1:21">
      <c r="A817" t="str">
        <f t="shared" si="343"/>
        <v>21/11/2025</v>
      </c>
      <c r="B817" t="str">
        <f t="shared" si="346"/>
        <v>ENTRADA</v>
      </c>
      <c r="C817" t="str">
        <f t="shared" si="347"/>
        <v>NFSE</v>
      </c>
      <c r="D817" t="str">
        <f>"3861"</f>
        <v>3861</v>
      </c>
      <c r="E817" t="str">
        <f t="shared" si="340"/>
        <v>COM</v>
      </c>
      <c r="F817" t="str">
        <f>"DELTA LOJA 2 (10123)"</f>
        <v>DELTA LOJA 2 (10123)</v>
      </c>
      <c r="G817" t="str">
        <f>"Serv.Prest. 10/11/2025 a 16/11/2025 - RPS: 1624 - NFSe: 3861"</f>
        <v>Serv.Prest. 10/11/2025 a 16/11/2025 - RPS: 1624 - NFSe: 3861</v>
      </c>
      <c r="H817" t="str">
        <f t="shared" si="344"/>
        <v>21/11/2025</v>
      </c>
      <c r="I817" t="str">
        <f t="shared" si="351"/>
        <v>18/11/2025</v>
      </c>
      <c r="J817" t="str">
        <f t="shared" si="345"/>
        <v>21/11/2025</v>
      </c>
      <c r="M817">
        <v>303</v>
      </c>
      <c r="N817" t="str">
        <f t="shared" si="352"/>
        <v>RECEITAS COM ENTREGAS</v>
      </c>
      <c r="P817">
        <v>827.4</v>
      </c>
      <c r="Q817" t="str">
        <f>"DELTA LOJA 2 (10123)"</f>
        <v>DELTA LOJA 2 (10123)</v>
      </c>
      <c r="R817" t="str">
        <f t="shared" si="353"/>
        <v>RECEITAS COM ENTREGAS (303)</v>
      </c>
      <c r="S817">
        <v>3278</v>
      </c>
      <c r="T817">
        <v>2733</v>
      </c>
      <c r="U817" t="s">
        <v>21</v>
      </c>
    </row>
    <row r="818" spans="1:21">
      <c r="A818" t="str">
        <f t="shared" si="343"/>
        <v>21/11/2025</v>
      </c>
      <c r="B818" t="str">
        <f t="shared" si="346"/>
        <v>ENTRADA</v>
      </c>
      <c r="C818" t="str">
        <f t="shared" si="347"/>
        <v>NFSE</v>
      </c>
      <c r="D818" t="str">
        <f>"3862"</f>
        <v>3862</v>
      </c>
      <c r="E818" t="str">
        <f t="shared" si="340"/>
        <v>COM</v>
      </c>
      <c r="F818" t="str">
        <f>"DROGA HONDA (10149)"</f>
        <v>DROGA HONDA (10149)</v>
      </c>
      <c r="G818" t="str">
        <f>"Serv.Prest. 10/11/2025 a 16/11/2025 - RPS: 1625 - NFSe: 3862"</f>
        <v>Serv.Prest. 10/11/2025 a 16/11/2025 - RPS: 1625 - NFSe: 3862</v>
      </c>
      <c r="H818" t="str">
        <f t="shared" si="344"/>
        <v>21/11/2025</v>
      </c>
      <c r="I818" t="str">
        <f t="shared" si="351"/>
        <v>18/11/2025</v>
      </c>
      <c r="J818" t="str">
        <f t="shared" si="345"/>
        <v>21/11/2025</v>
      </c>
      <c r="K818">
        <v>121.98</v>
      </c>
      <c r="L818">
        <v>121.98</v>
      </c>
      <c r="M818">
        <v>303</v>
      </c>
      <c r="N818" t="str">
        <f t="shared" si="352"/>
        <v>RECEITAS COM ENTREGAS</v>
      </c>
      <c r="O818">
        <v>121.98</v>
      </c>
      <c r="R818" t="str">
        <f t="shared" si="353"/>
        <v>RECEITAS COM ENTREGAS (303)</v>
      </c>
      <c r="S818">
        <v>3279</v>
      </c>
      <c r="T818">
        <v>2734</v>
      </c>
      <c r="U818" t="s">
        <v>21</v>
      </c>
    </row>
    <row r="819" spans="1:21">
      <c r="A819" t="str">
        <f t="shared" si="343"/>
        <v>21/11/2025</v>
      </c>
      <c r="B819" t="str">
        <f t="shared" si="346"/>
        <v>ENTRADA</v>
      </c>
      <c r="C819" t="str">
        <f t="shared" si="347"/>
        <v>NFSE</v>
      </c>
      <c r="D819" t="str">
        <f>"3862"</f>
        <v>3862</v>
      </c>
      <c r="E819" t="str">
        <f t="shared" si="340"/>
        <v>COM</v>
      </c>
      <c r="F819" t="str">
        <f>"DROGA HONDA (10149)"</f>
        <v>DROGA HONDA (10149)</v>
      </c>
      <c r="G819" t="str">
        <f>"Serv.Prest. 10/11/2025 a 16/11/2025 - RPS: 1625 - NFSe: 3862"</f>
        <v>Serv.Prest. 10/11/2025 a 16/11/2025 - RPS: 1625 - NFSe: 3862</v>
      </c>
      <c r="H819" t="str">
        <f t="shared" si="344"/>
        <v>21/11/2025</v>
      </c>
      <c r="I819" t="str">
        <f t="shared" si="351"/>
        <v>18/11/2025</v>
      </c>
      <c r="J819" t="str">
        <f t="shared" si="345"/>
        <v>21/11/2025</v>
      </c>
      <c r="M819">
        <v>303</v>
      </c>
      <c r="N819" t="str">
        <f t="shared" si="352"/>
        <v>RECEITAS COM ENTREGAS</v>
      </c>
      <c r="P819">
        <v>121.98</v>
      </c>
      <c r="Q819" t="str">
        <f>"DROGA HONDA (10149)"</f>
        <v>DROGA HONDA (10149)</v>
      </c>
      <c r="R819" t="str">
        <f t="shared" si="353"/>
        <v>RECEITAS COM ENTREGAS (303)</v>
      </c>
      <c r="S819">
        <v>3279</v>
      </c>
      <c r="T819">
        <v>2734</v>
      </c>
      <c r="U819" t="s">
        <v>21</v>
      </c>
    </row>
    <row r="820" spans="1:21">
      <c r="A820" t="str">
        <f t="shared" si="343"/>
        <v>21/11/2025</v>
      </c>
      <c r="B820" t="str">
        <f t="shared" si="346"/>
        <v>ENTRADA</v>
      </c>
      <c r="C820" t="str">
        <f t="shared" si="347"/>
        <v>NFSE</v>
      </c>
      <c r="D820" t="str">
        <f>"3814"</f>
        <v>3814</v>
      </c>
      <c r="E820" t="str">
        <f t="shared" si="340"/>
        <v>COM</v>
      </c>
      <c r="F820" t="str">
        <f>"AC FARMA - CID.ALTA (10166)"</f>
        <v>AC FARMA - CID.ALTA (10166)</v>
      </c>
      <c r="G820" t="str">
        <f>"Serv.Prest. 03/11/2025 a 09/11/2025 - RPS: 1577 - NFSe: 3814"</f>
        <v>Serv.Prest. 03/11/2025 a 09/11/2025 - RPS: 1577 - NFSe: 3814</v>
      </c>
      <c r="H820" t="str">
        <f t="shared" ref="H820:H839" si="354">("19/11/2025")</f>
        <v>19/11/2025</v>
      </c>
      <c r="I820" t="str">
        <f>("12/11/2025")</f>
        <v>12/11/2025</v>
      </c>
      <c r="J820" t="str">
        <f t="shared" si="345"/>
        <v>21/11/2025</v>
      </c>
      <c r="K820">
        <v>886.95</v>
      </c>
      <c r="L820">
        <v>886.95</v>
      </c>
      <c r="M820">
        <v>303</v>
      </c>
      <c r="N820" t="str">
        <f t="shared" si="352"/>
        <v>RECEITAS COM ENTREGAS</v>
      </c>
      <c r="O820">
        <v>886.95</v>
      </c>
      <c r="R820" t="str">
        <f t="shared" si="353"/>
        <v>RECEITAS COM ENTREGAS (303)</v>
      </c>
      <c r="S820">
        <v>3280</v>
      </c>
      <c r="T820">
        <v>2523</v>
      </c>
      <c r="U820" t="s">
        <v>21</v>
      </c>
    </row>
    <row r="821" spans="1:21">
      <c r="A821" t="str">
        <f t="shared" si="343"/>
        <v>21/11/2025</v>
      </c>
      <c r="B821" t="str">
        <f t="shared" si="346"/>
        <v>ENTRADA</v>
      </c>
      <c r="C821" t="str">
        <f t="shared" si="347"/>
        <v>NFSE</v>
      </c>
      <c r="D821" t="str">
        <f>"3814"</f>
        <v>3814</v>
      </c>
      <c r="E821" t="str">
        <f t="shared" si="340"/>
        <v>COM</v>
      </c>
      <c r="F821" t="str">
        <f>"AC FARMA - CID.ALTA (10166)"</f>
        <v>AC FARMA - CID.ALTA (10166)</v>
      </c>
      <c r="G821" t="str">
        <f>"Serv.Prest. 03/11/2025 a 09/11/2025 - RPS: 1577 - NFSe: 3814"</f>
        <v>Serv.Prest. 03/11/2025 a 09/11/2025 - RPS: 1577 - NFSe: 3814</v>
      </c>
      <c r="H821" t="str">
        <f t="shared" si="354"/>
        <v>19/11/2025</v>
      </c>
      <c r="I821" t="str">
        <f>("12/11/2025")</f>
        <v>12/11/2025</v>
      </c>
      <c r="J821" t="str">
        <f t="shared" si="345"/>
        <v>21/11/2025</v>
      </c>
      <c r="M821">
        <v>303</v>
      </c>
      <c r="N821" t="str">
        <f t="shared" si="352"/>
        <v>RECEITAS COM ENTREGAS</v>
      </c>
      <c r="P821">
        <v>886.95</v>
      </c>
      <c r="Q821" t="str">
        <f>"AC FARMA - CID.ALTA (10166)"</f>
        <v>AC FARMA - CID.ALTA (10166)</v>
      </c>
      <c r="R821" t="str">
        <f t="shared" si="353"/>
        <v>RECEITAS COM ENTREGAS (303)</v>
      </c>
      <c r="S821">
        <v>3280</v>
      </c>
      <c r="T821">
        <v>2523</v>
      </c>
      <c r="U821" t="s">
        <v>21</v>
      </c>
    </row>
    <row r="822" spans="1:21">
      <c r="A822" t="str">
        <f t="shared" si="343"/>
        <v>21/11/2025</v>
      </c>
      <c r="B822" t="str">
        <f t="shared" si="346"/>
        <v>ENTRADA</v>
      </c>
      <c r="C822" t="str">
        <f t="shared" si="347"/>
        <v>NFSE</v>
      </c>
      <c r="D822" t="str">
        <f>"3815"</f>
        <v>3815</v>
      </c>
      <c r="E822" t="str">
        <f t="shared" si="340"/>
        <v>COM</v>
      </c>
      <c r="F822" t="str">
        <f>"AC FARMA - FLEMINFARMA (10160)"</f>
        <v>AC FARMA - FLEMINFARMA (10160)</v>
      </c>
      <c r="G822" t="str">
        <f>"Serv.Prest. 03/11/2025 a 09/11/2025 - RPS: 1578 - NFSe: 3815"</f>
        <v>Serv.Prest. 03/11/2025 a 09/11/2025 - RPS: 1578 - NFSe: 3815</v>
      </c>
      <c r="H822" t="str">
        <f t="shared" si="354"/>
        <v>19/11/2025</v>
      </c>
      <c r="I822" t="str">
        <f>("12/11/2025")</f>
        <v>12/11/2025</v>
      </c>
      <c r="J822" t="str">
        <f t="shared" si="345"/>
        <v>21/11/2025</v>
      </c>
      <c r="K822">
        <v>207.9</v>
      </c>
      <c r="L822">
        <v>207.9</v>
      </c>
      <c r="M822">
        <v>303</v>
      </c>
      <c r="N822" t="str">
        <f t="shared" si="352"/>
        <v>RECEITAS COM ENTREGAS</v>
      </c>
      <c r="O822">
        <v>207.9</v>
      </c>
      <c r="R822" t="str">
        <f t="shared" si="353"/>
        <v>RECEITAS COM ENTREGAS (303)</v>
      </c>
      <c r="S822">
        <v>3281</v>
      </c>
      <c r="T822">
        <v>2524</v>
      </c>
      <c r="U822" t="s">
        <v>21</v>
      </c>
    </row>
    <row r="823" spans="1:21">
      <c r="A823" t="str">
        <f t="shared" si="343"/>
        <v>21/11/2025</v>
      </c>
      <c r="B823" t="str">
        <f t="shared" si="346"/>
        <v>ENTRADA</v>
      </c>
      <c r="C823" t="str">
        <f t="shared" si="347"/>
        <v>NFSE</v>
      </c>
      <c r="D823" t="str">
        <f>"3815"</f>
        <v>3815</v>
      </c>
      <c r="E823" t="str">
        <f t="shared" si="340"/>
        <v>COM</v>
      </c>
      <c r="F823" t="str">
        <f>"AC FARMA - FLEMINFARMA (10160)"</f>
        <v>AC FARMA - FLEMINFARMA (10160)</v>
      </c>
      <c r="G823" t="str">
        <f>"Serv.Prest. 03/11/2025 a 09/11/2025 - RPS: 1578 - NFSe: 3815"</f>
        <v>Serv.Prest. 03/11/2025 a 09/11/2025 - RPS: 1578 - NFSe: 3815</v>
      </c>
      <c r="H823" t="str">
        <f t="shared" si="354"/>
        <v>19/11/2025</v>
      </c>
      <c r="I823" t="str">
        <f>("12/11/2025")</f>
        <v>12/11/2025</v>
      </c>
      <c r="J823" t="str">
        <f t="shared" si="345"/>
        <v>21/11/2025</v>
      </c>
      <c r="M823">
        <v>303</v>
      </c>
      <c r="N823" t="str">
        <f t="shared" si="352"/>
        <v>RECEITAS COM ENTREGAS</v>
      </c>
      <c r="P823">
        <v>199.79</v>
      </c>
      <c r="Q823" t="str">
        <f>"AC FARMA -  FLEMINFARMA (10159)"</f>
        <v>AC FARMA -  FLEMINFARMA (10159)</v>
      </c>
      <c r="R823" t="str">
        <f t="shared" si="353"/>
        <v>RECEITAS COM ENTREGAS (303)</v>
      </c>
      <c r="S823">
        <v>3281</v>
      </c>
      <c r="T823">
        <v>2524</v>
      </c>
      <c r="U823" t="s">
        <v>21</v>
      </c>
    </row>
    <row r="824" spans="1:21">
      <c r="A824" t="str">
        <f t="shared" si="343"/>
        <v>21/11/2025</v>
      </c>
      <c r="B824" t="str">
        <f t="shared" si="346"/>
        <v>ENTRADA</v>
      </c>
      <c r="C824" t="str">
        <f t="shared" si="347"/>
        <v>NFSE</v>
      </c>
      <c r="D824" t="str">
        <f>"3815"</f>
        <v>3815</v>
      </c>
      <c r="E824" t="str">
        <f t="shared" si="340"/>
        <v>COM</v>
      </c>
      <c r="F824" t="str">
        <f>"AC FARMA - FLEMINFARMA (10160)"</f>
        <v>AC FARMA - FLEMINFARMA (10160)</v>
      </c>
      <c r="G824" t="str">
        <f>"Serv.Prest. 03/11/2025 a 09/11/2025 - RPS: 1578 - NFSe: 3815"</f>
        <v>Serv.Prest. 03/11/2025 a 09/11/2025 - RPS: 1578 - NFSe: 3815</v>
      </c>
      <c r="H824" t="str">
        <f t="shared" si="354"/>
        <v>19/11/2025</v>
      </c>
      <c r="I824" t="str">
        <f>("12/11/2025")</f>
        <v>12/11/2025</v>
      </c>
      <c r="J824" t="str">
        <f t="shared" si="345"/>
        <v>21/11/2025</v>
      </c>
      <c r="M824">
        <v>303</v>
      </c>
      <c r="N824" t="str">
        <f t="shared" si="352"/>
        <v>RECEITAS COM ENTREGAS</v>
      </c>
      <c r="P824">
        <v>8.11</v>
      </c>
      <c r="Q824" t="str">
        <f>"AC FARMA - FLEMINFARMA (10160)"</f>
        <v>AC FARMA - FLEMINFARMA (10160)</v>
      </c>
      <c r="R824" t="str">
        <f t="shared" si="353"/>
        <v>RECEITAS COM ENTREGAS (303)</v>
      </c>
      <c r="S824">
        <v>3281</v>
      </c>
      <c r="T824">
        <v>2524</v>
      </c>
      <c r="U824" t="s">
        <v>21</v>
      </c>
    </row>
    <row r="825" spans="1:21">
      <c r="A825" t="str">
        <f t="shared" si="343"/>
        <v>21/11/2025</v>
      </c>
      <c r="B825" t="str">
        <f t="shared" si="346"/>
        <v>ENTRADA</v>
      </c>
      <c r="C825" t="str">
        <f t="shared" si="347"/>
        <v>NFSE</v>
      </c>
      <c r="D825" t="str">
        <f>"3824"</f>
        <v>3824</v>
      </c>
      <c r="E825" t="str">
        <f t="shared" si="340"/>
        <v>COM</v>
      </c>
      <c r="F825" t="str">
        <f>"BRASIL FARMA (10173)"</f>
        <v>BRASIL FARMA (10173)</v>
      </c>
      <c r="G825" t="str">
        <f>"Serv.Prest. 10/11/2025 a 16/11/2025 - RPS: 1587 - NFSe: 3824"</f>
        <v>Serv.Prest. 10/11/2025 a 16/11/2025 - RPS: 1587 - NFSe: 3824</v>
      </c>
      <c r="H825" t="str">
        <f t="shared" si="354"/>
        <v>19/11/2025</v>
      </c>
      <c r="I825" t="str">
        <f>("17/11/2025")</f>
        <v>17/11/2025</v>
      </c>
      <c r="J825" t="str">
        <f t="shared" si="345"/>
        <v>21/11/2025</v>
      </c>
      <c r="K825">
        <v>300.89999999999998</v>
      </c>
      <c r="L825">
        <v>300.89999999999998</v>
      </c>
      <c r="M825">
        <v>303</v>
      </c>
      <c r="N825" t="str">
        <f t="shared" si="352"/>
        <v>RECEITAS COM ENTREGAS</v>
      </c>
      <c r="O825">
        <v>300.89999999999998</v>
      </c>
      <c r="R825" t="str">
        <f t="shared" si="353"/>
        <v>RECEITAS COM ENTREGAS (303)</v>
      </c>
      <c r="S825">
        <v>3282</v>
      </c>
      <c r="T825">
        <v>2627</v>
      </c>
      <c r="U825" t="s">
        <v>21</v>
      </c>
    </row>
    <row r="826" spans="1:21">
      <c r="A826" t="str">
        <f t="shared" si="343"/>
        <v>21/11/2025</v>
      </c>
      <c r="B826" t="str">
        <f t="shared" si="346"/>
        <v>ENTRADA</v>
      </c>
      <c r="C826" t="str">
        <f t="shared" si="347"/>
        <v>NFSE</v>
      </c>
      <c r="D826" t="str">
        <f>"3824"</f>
        <v>3824</v>
      </c>
      <c r="E826" t="str">
        <f t="shared" si="340"/>
        <v>COM</v>
      </c>
      <c r="F826" t="str">
        <f>"BRASIL FARMA (10173)"</f>
        <v>BRASIL FARMA (10173)</v>
      </c>
      <c r="G826" t="str">
        <f>"Serv.Prest. 10/11/2025 a 16/11/2025 - RPS: 1587 - NFSe: 3824"</f>
        <v>Serv.Prest. 10/11/2025 a 16/11/2025 - RPS: 1587 - NFSe: 3824</v>
      </c>
      <c r="H826" t="str">
        <f t="shared" si="354"/>
        <v>19/11/2025</v>
      </c>
      <c r="I826" t="str">
        <f>("17/11/2025")</f>
        <v>17/11/2025</v>
      </c>
      <c r="J826" t="str">
        <f t="shared" si="345"/>
        <v>21/11/2025</v>
      </c>
      <c r="M826">
        <v>303</v>
      </c>
      <c r="N826" t="str">
        <f t="shared" si="352"/>
        <v>RECEITAS COM ENTREGAS</v>
      </c>
      <c r="P826">
        <v>300.89999999999998</v>
      </c>
      <c r="Q826" t="str">
        <f>"BRASIL FARMA (10173)"</f>
        <v>BRASIL FARMA (10173)</v>
      </c>
      <c r="R826" t="str">
        <f t="shared" si="353"/>
        <v>RECEITAS COM ENTREGAS (303)</v>
      </c>
      <c r="S826">
        <v>3282</v>
      </c>
      <c r="T826">
        <v>2627</v>
      </c>
      <c r="U826" t="s">
        <v>21</v>
      </c>
    </row>
    <row r="827" spans="1:21">
      <c r="A827" t="str">
        <f t="shared" si="343"/>
        <v>21/11/2025</v>
      </c>
      <c r="B827" t="str">
        <f t="shared" si="346"/>
        <v>ENTRADA</v>
      </c>
      <c r="C827" t="str">
        <f t="shared" si="347"/>
        <v>NFSE</v>
      </c>
      <c r="D827" t="str">
        <f>"3816"</f>
        <v>3816</v>
      </c>
      <c r="E827" t="str">
        <f t="shared" si="340"/>
        <v>COM</v>
      </c>
      <c r="F827" t="str">
        <f>"AC FARMA - FLEMINFARMA 5 (10183)"</f>
        <v>AC FARMA - FLEMINFARMA 5 (10183)</v>
      </c>
      <c r="G827" t="str">
        <f>"Serv.Prest. 03/11/2025 a 09/11/2025 - RPS: 1579 - NFSe: 3816"</f>
        <v>Serv.Prest. 03/11/2025 a 09/11/2025 - RPS: 1579 - NFSe: 3816</v>
      </c>
      <c r="H827" t="str">
        <f t="shared" si="354"/>
        <v>19/11/2025</v>
      </c>
      <c r="I827" t="str">
        <f>("12/11/2025")</f>
        <v>12/11/2025</v>
      </c>
      <c r="J827" t="str">
        <f t="shared" si="345"/>
        <v>21/11/2025</v>
      </c>
      <c r="K827">
        <v>109.35</v>
      </c>
      <c r="L827">
        <v>109.35</v>
      </c>
      <c r="M827">
        <v>303</v>
      </c>
      <c r="N827" t="str">
        <f t="shared" si="352"/>
        <v>RECEITAS COM ENTREGAS</v>
      </c>
      <c r="O827">
        <v>109.35</v>
      </c>
      <c r="R827" t="str">
        <f t="shared" si="353"/>
        <v>RECEITAS COM ENTREGAS (303)</v>
      </c>
      <c r="S827">
        <v>3283</v>
      </c>
      <c r="T827">
        <v>2525</v>
      </c>
      <c r="U827" t="s">
        <v>21</v>
      </c>
    </row>
    <row r="828" spans="1:21">
      <c r="A828" t="str">
        <f t="shared" si="343"/>
        <v>21/11/2025</v>
      </c>
      <c r="B828" t="str">
        <f t="shared" si="346"/>
        <v>ENTRADA</v>
      </c>
      <c r="C828" t="str">
        <f t="shared" si="347"/>
        <v>NFSE</v>
      </c>
      <c r="D828" t="str">
        <f>"3816"</f>
        <v>3816</v>
      </c>
      <c r="E828" t="str">
        <f t="shared" si="340"/>
        <v>COM</v>
      </c>
      <c r="F828" t="str">
        <f>"AC FARMA - FLEMINFARMA 5 (10183)"</f>
        <v>AC FARMA - FLEMINFARMA 5 (10183)</v>
      </c>
      <c r="G828" t="str">
        <f>"Serv.Prest. 03/11/2025 a 09/11/2025 - RPS: 1579 - NFSe: 3816"</f>
        <v>Serv.Prest. 03/11/2025 a 09/11/2025 - RPS: 1579 - NFSe: 3816</v>
      </c>
      <c r="H828" t="str">
        <f t="shared" si="354"/>
        <v>19/11/2025</v>
      </c>
      <c r="I828" t="str">
        <f>("12/11/2025")</f>
        <v>12/11/2025</v>
      </c>
      <c r="J828" t="str">
        <f t="shared" si="345"/>
        <v>21/11/2025</v>
      </c>
      <c r="M828">
        <v>303</v>
      </c>
      <c r="N828" t="str">
        <f t="shared" si="352"/>
        <v>RECEITAS COM ENTREGAS</v>
      </c>
      <c r="P828">
        <v>106.65</v>
      </c>
      <c r="Q828" t="str">
        <f>"AC FARMA - FLEMINFARMA 5 (10183)"</f>
        <v>AC FARMA - FLEMINFARMA 5 (10183)</v>
      </c>
      <c r="R828" t="str">
        <f t="shared" si="353"/>
        <v>RECEITAS COM ENTREGAS (303)</v>
      </c>
      <c r="S828">
        <v>3283</v>
      </c>
      <c r="T828">
        <v>2525</v>
      </c>
      <c r="U828" t="s">
        <v>21</v>
      </c>
    </row>
    <row r="829" spans="1:21">
      <c r="A829" t="str">
        <f t="shared" si="343"/>
        <v>21/11/2025</v>
      </c>
      <c r="B829" t="str">
        <f t="shared" si="346"/>
        <v>ENTRADA</v>
      </c>
      <c r="C829" t="str">
        <f t="shared" si="347"/>
        <v>NFSE</v>
      </c>
      <c r="D829" t="str">
        <f>"3816"</f>
        <v>3816</v>
      </c>
      <c r="E829" t="str">
        <f t="shared" si="340"/>
        <v>COM</v>
      </c>
      <c r="F829" t="str">
        <f>"AC FARMA - FLEMINFARMA 5 (10183)"</f>
        <v>AC FARMA - FLEMINFARMA 5 (10183)</v>
      </c>
      <c r="G829" t="str">
        <f>"Serv.Prest. 03/11/2025 a 09/11/2025 - RPS: 1579 - NFSe: 3816"</f>
        <v>Serv.Prest. 03/11/2025 a 09/11/2025 - RPS: 1579 - NFSe: 3816</v>
      </c>
      <c r="H829" t="str">
        <f t="shared" si="354"/>
        <v>19/11/2025</v>
      </c>
      <c r="I829" t="str">
        <f>("12/11/2025")</f>
        <v>12/11/2025</v>
      </c>
      <c r="J829" t="str">
        <f t="shared" si="345"/>
        <v>21/11/2025</v>
      </c>
      <c r="M829">
        <v>303</v>
      </c>
      <c r="N829" t="str">
        <f t="shared" si="352"/>
        <v>RECEITAS COM ENTREGAS</v>
      </c>
      <c r="P829">
        <v>2.7</v>
      </c>
      <c r="Q829" t="str">
        <f>"AC FARMA - FLEMINFARMA 6 (10184)"</f>
        <v>AC FARMA - FLEMINFARMA 6 (10184)</v>
      </c>
      <c r="R829" t="str">
        <f t="shared" si="353"/>
        <v>RECEITAS COM ENTREGAS (303)</v>
      </c>
      <c r="S829">
        <v>3283</v>
      </c>
      <c r="T829">
        <v>2525</v>
      </c>
      <c r="U829" t="s">
        <v>21</v>
      </c>
    </row>
    <row r="830" spans="1:21">
      <c r="A830" t="str">
        <f t="shared" si="343"/>
        <v>21/11/2025</v>
      </c>
      <c r="B830" t="str">
        <f t="shared" si="346"/>
        <v>ENTRADA</v>
      </c>
      <c r="C830" t="str">
        <f t="shared" si="347"/>
        <v>NFSE</v>
      </c>
      <c r="D830" t="str">
        <f>"3852"</f>
        <v>3852</v>
      </c>
      <c r="E830" t="str">
        <f t="shared" si="340"/>
        <v>COM</v>
      </c>
      <c r="F830" t="str">
        <f>"JAL FARMACIA E DROGARIA LJ 1 (10137)"</f>
        <v>JAL FARMACIA E DROGARIA LJ 1 (10137)</v>
      </c>
      <c r="G830" t="str">
        <f>"Serv.Prest. 10/11/2025 a 16/11/2025 - RPS: 1615 - NFSe: 3852"</f>
        <v>Serv.Prest. 10/11/2025 a 16/11/2025 - RPS: 1615 - NFSe: 3852</v>
      </c>
      <c r="H830" t="str">
        <f t="shared" si="354"/>
        <v>19/11/2025</v>
      </c>
      <c r="I830" t="str">
        <f>("18/11/2025")</f>
        <v>18/11/2025</v>
      </c>
      <c r="J830" t="str">
        <f t="shared" si="345"/>
        <v>21/11/2025</v>
      </c>
      <c r="K830">
        <v>448.5</v>
      </c>
      <c r="L830">
        <v>448.5</v>
      </c>
      <c r="M830">
        <v>303</v>
      </c>
      <c r="N830" t="str">
        <f t="shared" si="352"/>
        <v>RECEITAS COM ENTREGAS</v>
      </c>
      <c r="O830">
        <v>448.5</v>
      </c>
      <c r="R830" t="str">
        <f t="shared" si="353"/>
        <v>RECEITAS COM ENTREGAS (303)</v>
      </c>
      <c r="S830">
        <v>3284</v>
      </c>
      <c r="T830">
        <v>2655</v>
      </c>
      <c r="U830" t="s">
        <v>21</v>
      </c>
    </row>
    <row r="831" spans="1:21">
      <c r="A831" t="str">
        <f t="shared" si="343"/>
        <v>21/11/2025</v>
      </c>
      <c r="B831" t="str">
        <f t="shared" si="346"/>
        <v>ENTRADA</v>
      </c>
      <c r="C831" t="str">
        <f t="shared" si="347"/>
        <v>NFSE</v>
      </c>
      <c r="D831" t="str">
        <f>"3852"</f>
        <v>3852</v>
      </c>
      <c r="E831" t="str">
        <f t="shared" si="340"/>
        <v>COM</v>
      </c>
      <c r="F831" t="str">
        <f>"JAL FARMACIA E DROGARIA LJ 1 (10137)"</f>
        <v>JAL FARMACIA E DROGARIA LJ 1 (10137)</v>
      </c>
      <c r="G831" t="str">
        <f>"Serv.Prest. 10/11/2025 a 16/11/2025 - RPS: 1615 - NFSe: 3852"</f>
        <v>Serv.Prest. 10/11/2025 a 16/11/2025 - RPS: 1615 - NFSe: 3852</v>
      </c>
      <c r="H831" t="str">
        <f t="shared" si="354"/>
        <v>19/11/2025</v>
      </c>
      <c r="I831" t="str">
        <f>("18/11/2025")</f>
        <v>18/11/2025</v>
      </c>
      <c r="J831" t="str">
        <f t="shared" si="345"/>
        <v>21/11/2025</v>
      </c>
      <c r="M831">
        <v>303</v>
      </c>
      <c r="N831" t="str">
        <f t="shared" si="352"/>
        <v>RECEITAS COM ENTREGAS</v>
      </c>
      <c r="P831">
        <v>448.5</v>
      </c>
      <c r="Q831" t="str">
        <f>"JAL FARMACIA E DROGARIA LJ 1 (10137)"</f>
        <v>JAL FARMACIA E DROGARIA LJ 1 (10137)</v>
      </c>
      <c r="R831" t="str">
        <f t="shared" si="353"/>
        <v>RECEITAS COM ENTREGAS (303)</v>
      </c>
      <c r="S831">
        <v>3284</v>
      </c>
      <c r="T831">
        <v>2655</v>
      </c>
      <c r="U831" t="s">
        <v>21</v>
      </c>
    </row>
    <row r="832" spans="1:21">
      <c r="A832" t="str">
        <f t="shared" si="343"/>
        <v>21/11/2025</v>
      </c>
      <c r="B832" t="str">
        <f t="shared" si="346"/>
        <v>ENTRADA</v>
      </c>
      <c r="C832" t="str">
        <f t="shared" si="347"/>
        <v>NFSE</v>
      </c>
      <c r="D832" t="str">
        <f>"3853"</f>
        <v>3853</v>
      </c>
      <c r="E832" t="str">
        <f t="shared" si="340"/>
        <v>COM</v>
      </c>
      <c r="F832" t="str">
        <f>"JAL FARMACIA E DROGARIA LJ 2 (10138)"</f>
        <v>JAL FARMACIA E DROGARIA LJ 2 (10138)</v>
      </c>
      <c r="G832" t="str">
        <f>"Serv.Prest. 10/11/2025 a 16/11/2025 - RPS: 1616 - NFSe: 3853"</f>
        <v>Serv.Prest. 10/11/2025 a 16/11/2025 - RPS: 1616 - NFSe: 3853</v>
      </c>
      <c r="H832" t="str">
        <f t="shared" si="354"/>
        <v>19/11/2025</v>
      </c>
      <c r="I832" t="str">
        <f>("18/11/2025")</f>
        <v>18/11/2025</v>
      </c>
      <c r="J832" t="str">
        <f t="shared" si="345"/>
        <v>21/11/2025</v>
      </c>
      <c r="K832">
        <v>277.5</v>
      </c>
      <c r="L832">
        <v>277.5</v>
      </c>
      <c r="M832">
        <v>303</v>
      </c>
      <c r="N832" t="str">
        <f t="shared" si="352"/>
        <v>RECEITAS COM ENTREGAS</v>
      </c>
      <c r="O832">
        <v>277.5</v>
      </c>
      <c r="R832" t="str">
        <f t="shared" si="353"/>
        <v>RECEITAS COM ENTREGAS (303)</v>
      </c>
      <c r="S832">
        <v>3285</v>
      </c>
      <c r="T832">
        <v>2656</v>
      </c>
      <c r="U832" t="s">
        <v>21</v>
      </c>
    </row>
    <row r="833" spans="1:21">
      <c r="A833" t="str">
        <f t="shared" si="343"/>
        <v>21/11/2025</v>
      </c>
      <c r="B833" t="str">
        <f t="shared" si="346"/>
        <v>ENTRADA</v>
      </c>
      <c r="C833" t="str">
        <f t="shared" si="347"/>
        <v>NFSE</v>
      </c>
      <c r="D833" t="str">
        <f>"3853"</f>
        <v>3853</v>
      </c>
      <c r="E833" t="str">
        <f t="shared" si="340"/>
        <v>COM</v>
      </c>
      <c r="F833" t="str">
        <f>"JAL FARMACIA E DROGARIA LJ 2 (10138)"</f>
        <v>JAL FARMACIA E DROGARIA LJ 2 (10138)</v>
      </c>
      <c r="G833" t="str">
        <f>"Serv.Prest. 10/11/2025 a 16/11/2025 - RPS: 1616 - NFSe: 3853"</f>
        <v>Serv.Prest. 10/11/2025 a 16/11/2025 - RPS: 1616 - NFSe: 3853</v>
      </c>
      <c r="H833" t="str">
        <f t="shared" si="354"/>
        <v>19/11/2025</v>
      </c>
      <c r="I833" t="str">
        <f>("18/11/2025")</f>
        <v>18/11/2025</v>
      </c>
      <c r="J833" t="str">
        <f t="shared" si="345"/>
        <v>21/11/2025</v>
      </c>
      <c r="M833">
        <v>303</v>
      </c>
      <c r="N833" t="str">
        <f t="shared" si="352"/>
        <v>RECEITAS COM ENTREGAS</v>
      </c>
      <c r="P833">
        <v>277.5</v>
      </c>
      <c r="Q833" t="str">
        <f>"JAL FARMACIA E DROGARIA LJ 2 (10138)"</f>
        <v>JAL FARMACIA E DROGARIA LJ 2 (10138)</v>
      </c>
      <c r="R833" t="str">
        <f t="shared" si="353"/>
        <v>RECEITAS COM ENTREGAS (303)</v>
      </c>
      <c r="S833">
        <v>3285</v>
      </c>
      <c r="T833">
        <v>2656</v>
      </c>
      <c r="U833" t="s">
        <v>21</v>
      </c>
    </row>
    <row r="834" spans="1:21">
      <c r="A834" t="str">
        <f t="shared" si="343"/>
        <v>21/11/2025</v>
      </c>
      <c r="B834" t="str">
        <f t="shared" si="346"/>
        <v>ENTRADA</v>
      </c>
      <c r="C834" t="str">
        <f t="shared" si="347"/>
        <v>NFSE</v>
      </c>
      <c r="D834" t="str">
        <f>"3831"</f>
        <v>3831</v>
      </c>
      <c r="E834" t="str">
        <f t="shared" si="340"/>
        <v>COM</v>
      </c>
      <c r="F834" t="str">
        <f>"FARMACIA ECONOMIZE (10103)"</f>
        <v>FARMACIA ECONOMIZE (10103)</v>
      </c>
      <c r="G834" t="str">
        <f>"Serv.Prest. 10/11/2025 a 16/11/2025 - RPS: 1594 - NFSe: 3831"</f>
        <v>Serv.Prest. 10/11/2025 a 16/11/2025 - RPS: 1594 - NFSe: 3831</v>
      </c>
      <c r="H834" t="str">
        <f t="shared" si="354"/>
        <v>19/11/2025</v>
      </c>
      <c r="I834" t="str">
        <f>("17/11/2025")</f>
        <v>17/11/2025</v>
      </c>
      <c r="J834" t="str">
        <f t="shared" si="345"/>
        <v>21/11/2025</v>
      </c>
      <c r="K834">
        <v>22.32</v>
      </c>
      <c r="L834">
        <v>22.32</v>
      </c>
      <c r="M834">
        <v>303</v>
      </c>
      <c r="N834" t="str">
        <f t="shared" si="352"/>
        <v>RECEITAS COM ENTREGAS</v>
      </c>
      <c r="O834">
        <v>22.32</v>
      </c>
      <c r="R834" t="str">
        <f t="shared" si="353"/>
        <v>RECEITAS COM ENTREGAS (303)</v>
      </c>
      <c r="S834">
        <v>3286</v>
      </c>
      <c r="T834">
        <v>2634</v>
      </c>
      <c r="U834" t="s">
        <v>21</v>
      </c>
    </row>
    <row r="835" spans="1:21">
      <c r="A835" t="str">
        <f t="shared" si="343"/>
        <v>21/11/2025</v>
      </c>
      <c r="B835" t="str">
        <f t="shared" si="346"/>
        <v>ENTRADA</v>
      </c>
      <c r="C835" t="str">
        <f t="shared" si="347"/>
        <v>NFSE</v>
      </c>
      <c r="D835" t="str">
        <f>"3831"</f>
        <v>3831</v>
      </c>
      <c r="E835" t="str">
        <f t="shared" si="340"/>
        <v>COM</v>
      </c>
      <c r="F835" t="str">
        <f>"FARMACIA ECONOMIZE (10103)"</f>
        <v>FARMACIA ECONOMIZE (10103)</v>
      </c>
      <c r="G835" t="str">
        <f>"Serv.Prest. 10/11/2025 a 16/11/2025 - RPS: 1594 - NFSe: 3831"</f>
        <v>Serv.Prest. 10/11/2025 a 16/11/2025 - RPS: 1594 - NFSe: 3831</v>
      </c>
      <c r="H835" t="str">
        <f t="shared" si="354"/>
        <v>19/11/2025</v>
      </c>
      <c r="I835" t="str">
        <f>("17/11/2025")</f>
        <v>17/11/2025</v>
      </c>
      <c r="J835" t="str">
        <f t="shared" si="345"/>
        <v>21/11/2025</v>
      </c>
      <c r="M835">
        <v>303</v>
      </c>
      <c r="N835" t="str">
        <f t="shared" si="352"/>
        <v>RECEITAS COM ENTREGAS</v>
      </c>
      <c r="P835">
        <v>22.32</v>
      </c>
      <c r="Q835" t="str">
        <f>"FARMACIA ECONOMIZE (10103)"</f>
        <v>FARMACIA ECONOMIZE (10103)</v>
      </c>
      <c r="R835" t="str">
        <f t="shared" si="353"/>
        <v>RECEITAS COM ENTREGAS (303)</v>
      </c>
      <c r="S835">
        <v>3286</v>
      </c>
      <c r="T835">
        <v>2634</v>
      </c>
      <c r="U835" t="s">
        <v>21</v>
      </c>
    </row>
    <row r="836" spans="1:21">
      <c r="A836" t="str">
        <f t="shared" si="343"/>
        <v>21/11/2025</v>
      </c>
      <c r="B836" t="str">
        <f t="shared" si="346"/>
        <v>ENTRADA</v>
      </c>
      <c r="C836" t="str">
        <f t="shared" si="347"/>
        <v>NFSE</v>
      </c>
      <c r="D836" t="str">
        <f>"3850"</f>
        <v>3850</v>
      </c>
      <c r="E836" t="str">
        <f t="shared" si="340"/>
        <v>COM</v>
      </c>
      <c r="F836" t="str">
        <f>"DROGARIA TOTAL JUNDIAI (10177)"</f>
        <v>DROGARIA TOTAL JUNDIAI (10177)</v>
      </c>
      <c r="G836" t="str">
        <f>"Serv.Prest. 10/11/2025 a 16/11/2025 - RPS: 1613 - NFSe: 3850"</f>
        <v>Serv.Prest. 10/11/2025 a 16/11/2025 - RPS: 1613 - NFSe: 3850</v>
      </c>
      <c r="H836" t="str">
        <f t="shared" si="354"/>
        <v>19/11/2025</v>
      </c>
      <c r="I836" t="str">
        <f>("18/11/2025")</f>
        <v>18/11/2025</v>
      </c>
      <c r="J836" t="str">
        <f t="shared" si="345"/>
        <v>21/11/2025</v>
      </c>
      <c r="K836">
        <v>100.27</v>
      </c>
      <c r="L836">
        <v>100.27</v>
      </c>
      <c r="M836">
        <v>303</v>
      </c>
      <c r="N836" t="str">
        <f t="shared" si="352"/>
        <v>RECEITAS COM ENTREGAS</v>
      </c>
      <c r="O836">
        <v>100.27</v>
      </c>
      <c r="R836" t="str">
        <f t="shared" si="353"/>
        <v>RECEITAS COM ENTREGAS (303)</v>
      </c>
      <c r="S836">
        <v>3287</v>
      </c>
      <c r="T836">
        <v>2653</v>
      </c>
      <c r="U836" t="s">
        <v>21</v>
      </c>
    </row>
    <row r="837" spans="1:21">
      <c r="A837" t="str">
        <f t="shared" si="343"/>
        <v>21/11/2025</v>
      </c>
      <c r="B837" t="str">
        <f t="shared" si="346"/>
        <v>ENTRADA</v>
      </c>
      <c r="C837" t="str">
        <f t="shared" si="347"/>
        <v>NFSE</v>
      </c>
      <c r="D837" t="str">
        <f>"3850"</f>
        <v>3850</v>
      </c>
      <c r="E837" t="str">
        <f t="shared" si="340"/>
        <v>COM</v>
      </c>
      <c r="F837" t="str">
        <f>"DROGARIA TOTAL JUNDIAI (10177)"</f>
        <v>DROGARIA TOTAL JUNDIAI (10177)</v>
      </c>
      <c r="G837" t="str">
        <f>"Serv.Prest. 10/11/2025 a 16/11/2025 - RPS: 1613 - NFSe: 3850"</f>
        <v>Serv.Prest. 10/11/2025 a 16/11/2025 - RPS: 1613 - NFSe: 3850</v>
      </c>
      <c r="H837" t="str">
        <f t="shared" si="354"/>
        <v>19/11/2025</v>
      </c>
      <c r="I837" t="str">
        <f>("18/11/2025")</f>
        <v>18/11/2025</v>
      </c>
      <c r="J837" t="str">
        <f t="shared" si="345"/>
        <v>21/11/2025</v>
      </c>
      <c r="M837">
        <v>303</v>
      </c>
      <c r="N837" t="str">
        <f t="shared" si="352"/>
        <v>RECEITAS COM ENTREGAS</v>
      </c>
      <c r="P837">
        <v>100.27</v>
      </c>
      <c r="Q837" t="str">
        <f>"DROGARIA TOTAL JUNDIAI (10177)"</f>
        <v>DROGARIA TOTAL JUNDIAI (10177)</v>
      </c>
      <c r="R837" t="str">
        <f t="shared" si="353"/>
        <v>RECEITAS COM ENTREGAS (303)</v>
      </c>
      <c r="S837">
        <v>3287</v>
      </c>
      <c r="T837">
        <v>2653</v>
      </c>
      <c r="U837" t="s">
        <v>21</v>
      </c>
    </row>
    <row r="838" spans="1:21">
      <c r="A838" t="str">
        <f t="shared" si="343"/>
        <v>21/11/2025</v>
      </c>
      <c r="B838" t="str">
        <f t="shared" si="346"/>
        <v>ENTRADA</v>
      </c>
      <c r="C838" t="str">
        <f t="shared" si="347"/>
        <v>NFSE</v>
      </c>
      <c r="D838" t="str">
        <f>"3836"</f>
        <v>3836</v>
      </c>
      <c r="E838" t="str">
        <f t="shared" si="340"/>
        <v>COM</v>
      </c>
      <c r="F838" t="str">
        <f>"DROGA ELIDA (10121)"</f>
        <v>DROGA ELIDA (10121)</v>
      </c>
      <c r="G838" t="str">
        <f>"Serv.Prest. 10/11/2025 a 16/11/2025 - RPS: 1599 - NFSe: 3836"</f>
        <v>Serv.Prest. 10/11/2025 a 16/11/2025 - RPS: 1599 - NFSe: 3836</v>
      </c>
      <c r="H838" t="str">
        <f t="shared" si="354"/>
        <v>19/11/2025</v>
      </c>
      <c r="I838" t="str">
        <f>("17/11/2025")</f>
        <v>17/11/2025</v>
      </c>
      <c r="J838" t="str">
        <f t="shared" si="345"/>
        <v>21/11/2025</v>
      </c>
      <c r="K838">
        <v>328.5</v>
      </c>
      <c r="L838">
        <v>328.5</v>
      </c>
      <c r="M838">
        <v>303</v>
      </c>
      <c r="N838" t="str">
        <f t="shared" si="352"/>
        <v>RECEITAS COM ENTREGAS</v>
      </c>
      <c r="O838">
        <v>328.5</v>
      </c>
      <c r="R838" t="str">
        <f t="shared" si="353"/>
        <v>RECEITAS COM ENTREGAS (303)</v>
      </c>
      <c r="S838">
        <v>3288</v>
      </c>
      <c r="T838">
        <v>2639</v>
      </c>
      <c r="U838" t="s">
        <v>21</v>
      </c>
    </row>
    <row r="839" spans="1:21">
      <c r="A839" t="str">
        <f t="shared" si="343"/>
        <v>21/11/2025</v>
      </c>
      <c r="B839" t="str">
        <f t="shared" si="346"/>
        <v>ENTRADA</v>
      </c>
      <c r="C839" t="str">
        <f t="shared" si="347"/>
        <v>NFSE</v>
      </c>
      <c r="D839" t="str">
        <f>"3836"</f>
        <v>3836</v>
      </c>
      <c r="E839" t="str">
        <f t="shared" si="340"/>
        <v>COM</v>
      </c>
      <c r="F839" t="str">
        <f>"DROGA ELIDA (10121)"</f>
        <v>DROGA ELIDA (10121)</v>
      </c>
      <c r="G839" t="str">
        <f>"Serv.Prest. 10/11/2025 a 16/11/2025 - RPS: 1599 - NFSe: 3836"</f>
        <v>Serv.Prest. 10/11/2025 a 16/11/2025 - RPS: 1599 - NFSe: 3836</v>
      </c>
      <c r="H839" t="str">
        <f t="shared" si="354"/>
        <v>19/11/2025</v>
      </c>
      <c r="I839" t="str">
        <f>("17/11/2025")</f>
        <v>17/11/2025</v>
      </c>
      <c r="J839" t="str">
        <f t="shared" si="345"/>
        <v>21/11/2025</v>
      </c>
      <c r="M839">
        <v>303</v>
      </c>
      <c r="N839" t="str">
        <f t="shared" si="352"/>
        <v>RECEITAS COM ENTREGAS</v>
      </c>
      <c r="P839">
        <v>328.5</v>
      </c>
      <c r="Q839" t="str">
        <f>"DROGA ELIDA (10121)"</f>
        <v>DROGA ELIDA (10121)</v>
      </c>
      <c r="R839" t="str">
        <f t="shared" si="353"/>
        <v>RECEITAS COM ENTREGAS (303)</v>
      </c>
      <c r="S839">
        <v>3288</v>
      </c>
      <c r="T839">
        <v>2639</v>
      </c>
      <c r="U839" t="s">
        <v>21</v>
      </c>
    </row>
    <row r="840" spans="1:21">
      <c r="A840" t="str">
        <f t="shared" ref="A840:A871" si="355">("21/11/2025")</f>
        <v>21/11/2025</v>
      </c>
      <c r="B840" t="str">
        <f t="shared" ref="B840:B876" si="356">"SAÍDA"</f>
        <v>SAÍDA</v>
      </c>
      <c r="C840" t="str">
        <f t="shared" ref="C840:C875" si="357">"BOLETO"</f>
        <v>BOLETO</v>
      </c>
      <c r="D840" t="str">
        <f>"0000363780"</f>
        <v>0000363780</v>
      </c>
      <c r="E840" t="str">
        <f t="shared" si="340"/>
        <v>COM</v>
      </c>
      <c r="F840" t="str">
        <f>"SOLIDES TECNOLOGIA SA (20114)"</f>
        <v>SOLIDES TECNOLOGIA SA (20114)</v>
      </c>
      <c r="G840" t="str">
        <f>"PLATAFORMA DE RECRUTAMENTO "</f>
        <v xml:space="preserve">PLATAFORMA DE RECRUTAMENTO </v>
      </c>
      <c r="H840" t="str">
        <f t="shared" ref="H840:H849" si="358">("21/11/2025")</f>
        <v>21/11/2025</v>
      </c>
      <c r="I840" t="str">
        <f>("05/11/2025")</f>
        <v>05/11/2025</v>
      </c>
      <c r="J840" t="str">
        <f t="shared" ref="J840:J871" si="359">("21/11/2025")</f>
        <v>21/11/2025</v>
      </c>
      <c r="K840">
        <v>86</v>
      </c>
      <c r="L840">
        <v>87.94</v>
      </c>
      <c r="M840">
        <v>104</v>
      </c>
      <c r="N840" t="str">
        <f>"SOFTWARE / LICENÇAS"</f>
        <v>SOFTWARE / LICENÇAS</v>
      </c>
      <c r="O840">
        <v>87.94</v>
      </c>
      <c r="R840" t="str">
        <f t="shared" ref="R840:R876" si="360">"BANCO CORA (102)"</f>
        <v>BANCO CORA (102)</v>
      </c>
      <c r="S840">
        <v>3303</v>
      </c>
      <c r="T840">
        <v>2775</v>
      </c>
      <c r="U840" t="s">
        <v>21</v>
      </c>
    </row>
    <row r="841" spans="1:21">
      <c r="A841" t="str">
        <f t="shared" si="355"/>
        <v>21/11/2025</v>
      </c>
      <c r="B841" t="str">
        <f t="shared" si="356"/>
        <v>SAÍDA</v>
      </c>
      <c r="C841" t="str">
        <f t="shared" si="357"/>
        <v>BOLETO</v>
      </c>
      <c r="D841" t="str">
        <f>"0000363780"</f>
        <v>0000363780</v>
      </c>
      <c r="E841" t="str">
        <f t="shared" si="340"/>
        <v>COM</v>
      </c>
      <c r="F841" t="str">
        <f>"SOLIDES TECNOLOGIA SA (20114)"</f>
        <v>SOLIDES TECNOLOGIA SA (20114)</v>
      </c>
      <c r="G841" t="str">
        <f>"PLATAFORMA DE RECRUTAMENTO "</f>
        <v xml:space="preserve">PLATAFORMA DE RECRUTAMENTO </v>
      </c>
      <c r="H841" t="str">
        <f t="shared" si="358"/>
        <v>21/11/2025</v>
      </c>
      <c r="I841" t="str">
        <f>("05/11/2025")</f>
        <v>05/11/2025</v>
      </c>
      <c r="J841" t="str">
        <f t="shared" si="359"/>
        <v>21/11/2025</v>
      </c>
      <c r="M841">
        <v>104</v>
      </c>
      <c r="N841" t="str">
        <f>"SOFTWARE / LICENÇAS"</f>
        <v>SOFTWARE / LICENÇAS</v>
      </c>
      <c r="P841">
        <v>87.94</v>
      </c>
      <c r="Q841" t="str">
        <f>"SOLIDES TECNOLOGIA SA (20114)"</f>
        <v>SOLIDES TECNOLOGIA SA (20114)</v>
      </c>
      <c r="R841" t="str">
        <f t="shared" si="360"/>
        <v>BANCO CORA (102)</v>
      </c>
      <c r="S841">
        <v>3303</v>
      </c>
      <c r="T841">
        <v>2775</v>
      </c>
      <c r="U841" t="s">
        <v>21</v>
      </c>
    </row>
    <row r="842" spans="1:21">
      <c r="A842" t="str">
        <f t="shared" si="355"/>
        <v>21/11/2025</v>
      </c>
      <c r="B842" t="str">
        <f t="shared" si="356"/>
        <v>SAÍDA</v>
      </c>
      <c r="C842" t="str">
        <f t="shared" si="357"/>
        <v>BOLETO</v>
      </c>
      <c r="D842" t="str">
        <f>"071624362910596"</f>
        <v>071624362910596</v>
      </c>
      <c r="E842" t="str">
        <f t="shared" si="340"/>
        <v>COM</v>
      </c>
      <c r="F842" t="str">
        <f t="shared" ref="F842:F847" si="361">"MINISTERIO DA FAZENDA (20009)"</f>
        <v>MINISTERIO DA FAZENDA (20009)</v>
      </c>
      <c r="G842" t="str">
        <f>"INSS SOBRE PROLABORE"</f>
        <v>INSS SOBRE PROLABORE</v>
      </c>
      <c r="H842" t="str">
        <f t="shared" si="358"/>
        <v>21/11/2025</v>
      </c>
      <c r="I842" t="str">
        <f>("10/01/2025")</f>
        <v>10/01/2025</v>
      </c>
      <c r="J842" t="str">
        <f t="shared" si="359"/>
        <v>21/11/2025</v>
      </c>
      <c r="K842">
        <v>333.96</v>
      </c>
      <c r="L842">
        <v>335.06</v>
      </c>
      <c r="M842">
        <v>112</v>
      </c>
      <c r="N842" t="str">
        <f>"INSS - PRO-LABORE"</f>
        <v>INSS - PRO-LABORE</v>
      </c>
      <c r="O842">
        <v>335.06</v>
      </c>
      <c r="R842" t="str">
        <f t="shared" si="360"/>
        <v>BANCO CORA (102)</v>
      </c>
      <c r="S842">
        <v>3304</v>
      </c>
      <c r="T842">
        <v>722</v>
      </c>
      <c r="U842" t="s">
        <v>21</v>
      </c>
    </row>
    <row r="843" spans="1:21">
      <c r="A843" t="str">
        <f t="shared" si="355"/>
        <v>21/11/2025</v>
      </c>
      <c r="B843" t="str">
        <f t="shared" si="356"/>
        <v>SAÍDA</v>
      </c>
      <c r="C843" t="str">
        <f t="shared" si="357"/>
        <v>BOLETO</v>
      </c>
      <c r="D843" t="str">
        <f>"071624362910596"</f>
        <v>071624362910596</v>
      </c>
      <c r="E843" t="str">
        <f t="shared" si="340"/>
        <v>COM</v>
      </c>
      <c r="F843" t="str">
        <f t="shared" si="361"/>
        <v>MINISTERIO DA FAZENDA (20009)</v>
      </c>
      <c r="G843" t="str">
        <f>"INSS SOBRE PROLABORE"</f>
        <v>INSS SOBRE PROLABORE</v>
      </c>
      <c r="H843" t="str">
        <f t="shared" si="358"/>
        <v>21/11/2025</v>
      </c>
      <c r="I843" t="str">
        <f>("10/01/2025")</f>
        <v>10/01/2025</v>
      </c>
      <c r="J843" t="str">
        <f t="shared" si="359"/>
        <v>21/11/2025</v>
      </c>
      <c r="M843">
        <v>112</v>
      </c>
      <c r="N843" t="str">
        <f>"INSS - PRO-LABORE"</f>
        <v>INSS - PRO-LABORE</v>
      </c>
      <c r="P843">
        <v>335.06</v>
      </c>
      <c r="Q843" t="str">
        <f>"MINISTERIO DA FAZENDA (20009)"</f>
        <v>MINISTERIO DA FAZENDA (20009)</v>
      </c>
      <c r="R843" t="str">
        <f t="shared" si="360"/>
        <v>BANCO CORA (102)</v>
      </c>
      <c r="S843">
        <v>3304</v>
      </c>
      <c r="T843">
        <v>722</v>
      </c>
      <c r="U843" t="s">
        <v>21</v>
      </c>
    </row>
    <row r="844" spans="1:21">
      <c r="A844" t="str">
        <f t="shared" si="355"/>
        <v>21/11/2025</v>
      </c>
      <c r="B844" t="str">
        <f t="shared" si="356"/>
        <v>SAÍDA</v>
      </c>
      <c r="C844" t="str">
        <f t="shared" si="357"/>
        <v>BOLETO</v>
      </c>
      <c r="D844" t="str">
        <f>"072025321531068"</f>
        <v>072025321531068</v>
      </c>
      <c r="E844" t="str">
        <f t="shared" si="340"/>
        <v>COM</v>
      </c>
      <c r="F844" t="str">
        <f t="shared" si="361"/>
        <v>MINISTERIO DA FAZENDA (20009)</v>
      </c>
      <c r="G844" t="str">
        <f>"SIMPLES NACIONAL MES OUTUBRO/2025"</f>
        <v>SIMPLES NACIONAL MES OUTUBRO/2025</v>
      </c>
      <c r="H844" t="str">
        <f t="shared" si="358"/>
        <v>21/11/2025</v>
      </c>
      <c r="I844" t="str">
        <f>("31/01/2025")</f>
        <v>31/01/2025</v>
      </c>
      <c r="J844" t="str">
        <f t="shared" si="359"/>
        <v>21/11/2025</v>
      </c>
      <c r="K844">
        <v>17546.47</v>
      </c>
      <c r="L844">
        <v>17546.47</v>
      </c>
      <c r="M844">
        <v>144</v>
      </c>
      <c r="N844" t="str">
        <f>"SIMPLES NACIONAL (DASN)"</f>
        <v>SIMPLES NACIONAL (DASN)</v>
      </c>
      <c r="O844">
        <v>17546.47</v>
      </c>
      <c r="R844" t="str">
        <f t="shared" si="360"/>
        <v>BANCO CORA (102)</v>
      </c>
      <c r="S844">
        <v>3305</v>
      </c>
      <c r="T844">
        <v>900</v>
      </c>
      <c r="U844" t="s">
        <v>21</v>
      </c>
    </row>
    <row r="845" spans="1:21">
      <c r="A845" t="str">
        <f t="shared" si="355"/>
        <v>21/11/2025</v>
      </c>
      <c r="B845" t="str">
        <f t="shared" si="356"/>
        <v>SAÍDA</v>
      </c>
      <c r="C845" t="str">
        <f t="shared" si="357"/>
        <v>BOLETO</v>
      </c>
      <c r="D845" t="str">
        <f>"072025321531068"</f>
        <v>072025321531068</v>
      </c>
      <c r="E845" t="str">
        <f t="shared" si="340"/>
        <v>COM</v>
      </c>
      <c r="F845" t="str">
        <f t="shared" si="361"/>
        <v>MINISTERIO DA FAZENDA (20009)</v>
      </c>
      <c r="G845" t="str">
        <f>"SIMPLES NACIONAL MES OUTUBRO/2025"</f>
        <v>SIMPLES NACIONAL MES OUTUBRO/2025</v>
      </c>
      <c r="H845" t="str">
        <f t="shared" si="358"/>
        <v>21/11/2025</v>
      </c>
      <c r="I845" t="str">
        <f>("31/01/2025")</f>
        <v>31/01/2025</v>
      </c>
      <c r="J845" t="str">
        <f t="shared" si="359"/>
        <v>21/11/2025</v>
      </c>
      <c r="M845">
        <v>144</v>
      </c>
      <c r="N845" t="str">
        <f>"SIMPLES NACIONAL (DASN)"</f>
        <v>SIMPLES NACIONAL (DASN)</v>
      </c>
      <c r="P845">
        <v>17546.47</v>
      </c>
      <c r="Q845" t="str">
        <f>"MINISTERIO DA FAZENDA (20009)"</f>
        <v>MINISTERIO DA FAZENDA (20009)</v>
      </c>
      <c r="R845" t="str">
        <f t="shared" si="360"/>
        <v>BANCO CORA (102)</v>
      </c>
      <c r="S845">
        <v>3305</v>
      </c>
      <c r="T845">
        <v>900</v>
      </c>
      <c r="U845" t="s">
        <v>21</v>
      </c>
    </row>
    <row r="846" spans="1:21">
      <c r="A846" t="str">
        <f t="shared" si="355"/>
        <v>21/11/2025</v>
      </c>
      <c r="B846" t="str">
        <f t="shared" si="356"/>
        <v>SAÍDA</v>
      </c>
      <c r="C846" t="str">
        <f t="shared" si="357"/>
        <v>BOLETO</v>
      </c>
      <c r="D846" t="str">
        <f>"072025321531068"</f>
        <v>072025321531068</v>
      </c>
      <c r="E846" t="str">
        <f t="shared" si="340"/>
        <v>COM</v>
      </c>
      <c r="F846" t="str">
        <f t="shared" si="361"/>
        <v>MINISTERIO DA FAZENDA (20009)</v>
      </c>
      <c r="G846" t="str">
        <f>"SIMPLES NACIONAL MES OUTUBRO/2025 - PAGAMENTO DUPLICADO"</f>
        <v>SIMPLES NACIONAL MES OUTUBRO/2025 - PAGAMENTO DUPLICADO</v>
      </c>
      <c r="H846" t="str">
        <f t="shared" si="358"/>
        <v>21/11/2025</v>
      </c>
      <c r="I846" t="str">
        <f>("31/01/2025")</f>
        <v>31/01/2025</v>
      </c>
      <c r="J846" t="str">
        <f t="shared" si="359"/>
        <v>21/11/2025</v>
      </c>
      <c r="K846">
        <v>17546.47</v>
      </c>
      <c r="L846">
        <v>17546.47</v>
      </c>
      <c r="M846">
        <v>144</v>
      </c>
      <c r="N846" t="str">
        <f>"SIMPLES NACIONAL (DASN)"</f>
        <v>SIMPLES NACIONAL (DASN)</v>
      </c>
      <c r="O846">
        <v>17546.47</v>
      </c>
      <c r="R846" t="str">
        <f t="shared" si="360"/>
        <v>BANCO CORA (102)</v>
      </c>
      <c r="S846">
        <v>3306</v>
      </c>
      <c r="T846">
        <v>2914</v>
      </c>
      <c r="U846" t="s">
        <v>21</v>
      </c>
    </row>
    <row r="847" spans="1:21">
      <c r="A847" t="str">
        <f t="shared" si="355"/>
        <v>21/11/2025</v>
      </c>
      <c r="B847" t="str">
        <f t="shared" si="356"/>
        <v>SAÍDA</v>
      </c>
      <c r="C847" t="str">
        <f t="shared" si="357"/>
        <v>BOLETO</v>
      </c>
      <c r="D847" t="str">
        <f>"072025321531068"</f>
        <v>072025321531068</v>
      </c>
      <c r="E847" t="str">
        <f t="shared" si="340"/>
        <v>COM</v>
      </c>
      <c r="F847" t="str">
        <f t="shared" si="361"/>
        <v>MINISTERIO DA FAZENDA (20009)</v>
      </c>
      <c r="G847" t="str">
        <f>"SIMPLES NACIONAL MES OUTUBRO/2025 - PAGAMENTO DUPLICADO"</f>
        <v>SIMPLES NACIONAL MES OUTUBRO/2025 - PAGAMENTO DUPLICADO</v>
      </c>
      <c r="H847" t="str">
        <f t="shared" si="358"/>
        <v>21/11/2025</v>
      </c>
      <c r="I847" t="str">
        <f>("31/01/2025")</f>
        <v>31/01/2025</v>
      </c>
      <c r="J847" t="str">
        <f t="shared" si="359"/>
        <v>21/11/2025</v>
      </c>
      <c r="M847">
        <v>144</v>
      </c>
      <c r="N847" t="str">
        <f>"SIMPLES NACIONAL (DASN)"</f>
        <v>SIMPLES NACIONAL (DASN)</v>
      </c>
      <c r="P847">
        <v>17546.47</v>
      </c>
      <c r="Q847" t="str">
        <f>"MINISTERIO DA FAZENDA (20009)"</f>
        <v>MINISTERIO DA FAZENDA (20009)</v>
      </c>
      <c r="R847" t="str">
        <f t="shared" si="360"/>
        <v>BANCO CORA (102)</v>
      </c>
      <c r="S847">
        <v>3306</v>
      </c>
      <c r="T847">
        <v>2914</v>
      </c>
      <c r="U847" t="s">
        <v>21</v>
      </c>
    </row>
    <row r="848" spans="1:21">
      <c r="A848" t="str">
        <f t="shared" si="355"/>
        <v>21/11/2025</v>
      </c>
      <c r="B848" t="str">
        <f t="shared" si="356"/>
        <v>SAÍDA</v>
      </c>
      <c r="C848" t="str">
        <f t="shared" si="357"/>
        <v>BOLETO</v>
      </c>
      <c r="D848" t="str">
        <f>"2581"</f>
        <v>2581</v>
      </c>
      <c r="E848" t="str">
        <f t="shared" si="340"/>
        <v>COM</v>
      </c>
      <c r="F848" t="str">
        <f>"INFINITY BRASIL LTDA (20020)"</f>
        <v>INFINITY BRASIL LTDA (20020)</v>
      </c>
      <c r="G848" t="str">
        <f>"SERVIDOR FLUX FARMA PERÍODO NOVEMBRO/2025"</f>
        <v>SERVIDOR FLUX FARMA PERÍODO NOVEMBRO/2025</v>
      </c>
      <c r="H848" t="str">
        <f t="shared" si="358"/>
        <v>21/11/2025</v>
      </c>
      <c r="I848" t="str">
        <f>("31/10/2025")</f>
        <v>31/10/2025</v>
      </c>
      <c r="J848" t="str">
        <f t="shared" si="359"/>
        <v>21/11/2025</v>
      </c>
      <c r="K848">
        <v>579.36</v>
      </c>
      <c r="L848">
        <v>593.64</v>
      </c>
      <c r="M848">
        <v>104</v>
      </c>
      <c r="N848" t="str">
        <f>"SOFTWARE / LICENÇAS"</f>
        <v>SOFTWARE / LICENÇAS</v>
      </c>
      <c r="O848">
        <v>593.64</v>
      </c>
      <c r="R848" t="str">
        <f t="shared" si="360"/>
        <v>BANCO CORA (102)</v>
      </c>
      <c r="S848">
        <v>3307</v>
      </c>
      <c r="T848">
        <v>2774</v>
      </c>
      <c r="U848" t="s">
        <v>21</v>
      </c>
    </row>
    <row r="849" spans="1:21">
      <c r="A849" t="str">
        <f t="shared" si="355"/>
        <v>21/11/2025</v>
      </c>
      <c r="B849" t="str">
        <f t="shared" si="356"/>
        <v>SAÍDA</v>
      </c>
      <c r="C849" t="str">
        <f t="shared" si="357"/>
        <v>BOLETO</v>
      </c>
      <c r="D849" t="str">
        <f>"2581"</f>
        <v>2581</v>
      </c>
      <c r="E849" t="str">
        <f t="shared" si="340"/>
        <v>COM</v>
      </c>
      <c r="F849" t="str">
        <f>"INFINITY BRASIL LTDA (20020)"</f>
        <v>INFINITY BRASIL LTDA (20020)</v>
      </c>
      <c r="G849" t="str">
        <f>"SERVIDOR FLUX FARMA PERÍODO NOVEMBRO/2025"</f>
        <v>SERVIDOR FLUX FARMA PERÍODO NOVEMBRO/2025</v>
      </c>
      <c r="H849" t="str">
        <f t="shared" si="358"/>
        <v>21/11/2025</v>
      </c>
      <c r="I849" t="str">
        <f>("31/10/2025")</f>
        <v>31/10/2025</v>
      </c>
      <c r="J849" t="str">
        <f t="shared" si="359"/>
        <v>21/11/2025</v>
      </c>
      <c r="M849">
        <v>104</v>
      </c>
      <c r="N849" t="str">
        <f>"SOFTWARE / LICENÇAS"</f>
        <v>SOFTWARE / LICENÇAS</v>
      </c>
      <c r="P849">
        <v>593.64</v>
      </c>
      <c r="Q849" t="str">
        <f>"INFINITY BRASIL LTDA (20020)"</f>
        <v>INFINITY BRASIL LTDA (20020)</v>
      </c>
      <c r="R849" t="str">
        <f t="shared" si="360"/>
        <v>BANCO CORA (102)</v>
      </c>
      <c r="S849">
        <v>3307</v>
      </c>
      <c r="T849">
        <v>2774</v>
      </c>
      <c r="U849" t="s">
        <v>21</v>
      </c>
    </row>
    <row r="850" spans="1:21">
      <c r="A850" t="str">
        <f t="shared" si="355"/>
        <v>21/11/2025</v>
      </c>
      <c r="B850" t="str">
        <f t="shared" si="356"/>
        <v>SAÍDA</v>
      </c>
      <c r="C850" t="str">
        <f t="shared" si="357"/>
        <v>BOLETO</v>
      </c>
      <c r="D850" t="str">
        <f>"01"</f>
        <v>01</v>
      </c>
      <c r="E850" t="str">
        <f t="shared" si="340"/>
        <v>COM</v>
      </c>
      <c r="F850" t="str">
        <f>"BANCO DO BRASIL (20001)"</f>
        <v>BANCO DO BRASIL (20001)</v>
      </c>
      <c r="G850" t="str">
        <f>"EMPRESTIMO FUI TECNOLOGIA"</f>
        <v>EMPRESTIMO FUI TECNOLOGIA</v>
      </c>
      <c r="H850" t="str">
        <f>("06/11/2025")</f>
        <v>06/11/2025</v>
      </c>
      <c r="I850" t="str">
        <f>("23/07/2024")</f>
        <v>23/07/2024</v>
      </c>
      <c r="J850" t="str">
        <f t="shared" si="359"/>
        <v>21/11/2025</v>
      </c>
      <c r="K850">
        <v>508.77</v>
      </c>
      <c r="L850">
        <v>527.82000000000005</v>
      </c>
      <c r="M850">
        <v>114</v>
      </c>
      <c r="N850" t="str">
        <f>"EMPRESTIMOS"</f>
        <v>EMPRESTIMOS</v>
      </c>
      <c r="O850">
        <v>527.82000000000005</v>
      </c>
      <c r="R850" t="str">
        <f t="shared" si="360"/>
        <v>BANCO CORA (102)</v>
      </c>
      <c r="S850">
        <v>3308</v>
      </c>
      <c r="T850">
        <v>80</v>
      </c>
      <c r="U850" t="s">
        <v>21</v>
      </c>
    </row>
    <row r="851" spans="1:21">
      <c r="A851" t="str">
        <f t="shared" si="355"/>
        <v>21/11/2025</v>
      </c>
      <c r="B851" t="str">
        <f t="shared" si="356"/>
        <v>SAÍDA</v>
      </c>
      <c r="C851" t="str">
        <f t="shared" si="357"/>
        <v>BOLETO</v>
      </c>
      <c r="D851" t="str">
        <f>"01"</f>
        <v>01</v>
      </c>
      <c r="E851" t="str">
        <f t="shared" si="340"/>
        <v>COM</v>
      </c>
      <c r="F851" t="str">
        <f>"BANCO DO BRASIL (20001)"</f>
        <v>BANCO DO BRASIL (20001)</v>
      </c>
      <c r="G851" t="str">
        <f>"EMPRESTIMO FUI TECNOLOGIA"</f>
        <v>EMPRESTIMO FUI TECNOLOGIA</v>
      </c>
      <c r="H851" t="str">
        <f>("06/11/2025")</f>
        <v>06/11/2025</v>
      </c>
      <c r="I851" t="str">
        <f>("23/07/2024")</f>
        <v>23/07/2024</v>
      </c>
      <c r="J851" t="str">
        <f t="shared" si="359"/>
        <v>21/11/2025</v>
      </c>
      <c r="M851">
        <v>114</v>
      </c>
      <c r="N851" t="str">
        <f>"EMPRESTIMOS"</f>
        <v>EMPRESTIMOS</v>
      </c>
      <c r="P851">
        <v>527.82000000000005</v>
      </c>
      <c r="Q851" t="str">
        <f>"BANCO DO BRASIL (20001)"</f>
        <v>BANCO DO BRASIL (20001)</v>
      </c>
      <c r="R851" t="str">
        <f t="shared" si="360"/>
        <v>BANCO CORA (102)</v>
      </c>
      <c r="S851">
        <v>3308</v>
      </c>
      <c r="T851">
        <v>80</v>
      </c>
      <c r="U851" t="s">
        <v>21</v>
      </c>
    </row>
    <row r="852" spans="1:21">
      <c r="A852" t="str">
        <f t="shared" si="355"/>
        <v>21/11/2025</v>
      </c>
      <c r="B852" t="str">
        <f t="shared" si="356"/>
        <v>SAÍDA</v>
      </c>
      <c r="C852" t="str">
        <f t="shared" si="357"/>
        <v>BOLETO</v>
      </c>
      <c r="D852" t="str">
        <f t="shared" ref="D852:D875" si="362">"011125"</f>
        <v>011125</v>
      </c>
      <c r="E852" t="str">
        <f t="shared" si="340"/>
        <v>COM</v>
      </c>
      <c r="F852" t="str">
        <f t="shared" ref="F852:F875" si="363">"CORA SOCIEDADE DE CREDITO, FINANCIAMENTO E INVESTIMENTO (20035)"</f>
        <v>CORA SOCIEDADE DE CREDITO, FINANCIAMENTO E INVESTIMENTO (20035)</v>
      </c>
      <c r="G852" t="str">
        <f t="shared" ref="G852:G875" si="364">"TAXA BOLETO CORA"</f>
        <v>TAXA BOLETO CORA</v>
      </c>
      <c r="H852" t="str">
        <f t="shared" ref="H852:H877" si="365">("21/11/2025")</f>
        <v>21/11/2025</v>
      </c>
      <c r="I852" t="str">
        <f t="shared" ref="I852:I875" si="366">("01/11/2025")</f>
        <v>01/11/2025</v>
      </c>
      <c r="J852" t="str">
        <f t="shared" si="359"/>
        <v>21/11/2025</v>
      </c>
      <c r="K852">
        <v>1.7</v>
      </c>
      <c r="L852">
        <v>1.7</v>
      </c>
      <c r="M852">
        <v>401</v>
      </c>
      <c r="N852" t="str">
        <f t="shared" ref="N852:N875" si="367">"IOF/JUROS/DESP.FINANCEIRA"</f>
        <v>IOF/JUROS/DESP.FINANCEIRA</v>
      </c>
      <c r="O852">
        <v>1.7</v>
      </c>
      <c r="R852" t="str">
        <f t="shared" si="360"/>
        <v>BANCO CORA (102)</v>
      </c>
      <c r="S852">
        <v>3309</v>
      </c>
      <c r="T852">
        <v>2915</v>
      </c>
      <c r="U852" t="s">
        <v>21</v>
      </c>
    </row>
    <row r="853" spans="1:21">
      <c r="A853" t="str">
        <f t="shared" si="355"/>
        <v>21/11/2025</v>
      </c>
      <c r="B853" t="str">
        <f t="shared" si="356"/>
        <v>SAÍDA</v>
      </c>
      <c r="C853" t="str">
        <f t="shared" si="357"/>
        <v>BOLETO</v>
      </c>
      <c r="D853" t="str">
        <f t="shared" si="362"/>
        <v>011125</v>
      </c>
      <c r="E853" t="str">
        <f t="shared" si="340"/>
        <v>COM</v>
      </c>
      <c r="F853" t="str">
        <f t="shared" si="363"/>
        <v>CORA SOCIEDADE DE CREDITO, FINANCIAMENTO E INVESTIMENTO (20035)</v>
      </c>
      <c r="G853" t="str">
        <f t="shared" si="364"/>
        <v>TAXA BOLETO CORA</v>
      </c>
      <c r="H853" t="str">
        <f t="shared" si="365"/>
        <v>21/11/2025</v>
      </c>
      <c r="I853" t="str">
        <f t="shared" si="366"/>
        <v>01/11/2025</v>
      </c>
      <c r="J853" t="str">
        <f t="shared" si="359"/>
        <v>21/11/2025</v>
      </c>
      <c r="M853">
        <v>401</v>
      </c>
      <c r="N853" t="str">
        <f t="shared" si="367"/>
        <v>IOF/JUROS/DESP.FINANCEIRA</v>
      </c>
      <c r="P853">
        <v>1.7</v>
      </c>
      <c r="Q853" t="str">
        <f>"CORA SOCIEDADE DE CREDITO, FINANCIAMENTO E INVESTIMENTO (20035)"</f>
        <v>CORA SOCIEDADE DE CREDITO, FINANCIAMENTO E INVESTIMENTO (20035)</v>
      </c>
      <c r="R853" t="str">
        <f t="shared" si="360"/>
        <v>BANCO CORA (102)</v>
      </c>
      <c r="S853">
        <v>3309</v>
      </c>
      <c r="T853">
        <v>2915</v>
      </c>
      <c r="U853" t="s">
        <v>21</v>
      </c>
    </row>
    <row r="854" spans="1:21">
      <c r="A854" t="str">
        <f t="shared" si="355"/>
        <v>21/11/2025</v>
      </c>
      <c r="B854" t="str">
        <f t="shared" si="356"/>
        <v>SAÍDA</v>
      </c>
      <c r="C854" t="str">
        <f t="shared" si="357"/>
        <v>BOLETO</v>
      </c>
      <c r="D854" t="str">
        <f t="shared" si="362"/>
        <v>011125</v>
      </c>
      <c r="E854" t="str">
        <f t="shared" ref="E854:E875" si="368">"COM"</f>
        <v>COM</v>
      </c>
      <c r="F854" t="str">
        <f t="shared" si="363"/>
        <v>CORA SOCIEDADE DE CREDITO, FINANCIAMENTO E INVESTIMENTO (20035)</v>
      </c>
      <c r="G854" t="str">
        <f t="shared" si="364"/>
        <v>TAXA BOLETO CORA</v>
      </c>
      <c r="H854" t="str">
        <f t="shared" si="365"/>
        <v>21/11/2025</v>
      </c>
      <c r="I854" t="str">
        <f t="shared" si="366"/>
        <v>01/11/2025</v>
      </c>
      <c r="J854" t="str">
        <f t="shared" si="359"/>
        <v>21/11/2025</v>
      </c>
      <c r="K854">
        <v>1.7</v>
      </c>
      <c r="L854">
        <v>1.7</v>
      </c>
      <c r="M854">
        <v>401</v>
      </c>
      <c r="N854" t="str">
        <f t="shared" si="367"/>
        <v>IOF/JUROS/DESP.FINANCEIRA</v>
      </c>
      <c r="O854">
        <v>1.7</v>
      </c>
      <c r="R854" t="str">
        <f t="shared" si="360"/>
        <v>BANCO CORA (102)</v>
      </c>
      <c r="S854">
        <v>3310</v>
      </c>
      <c r="T854">
        <v>2916</v>
      </c>
      <c r="U854" t="s">
        <v>21</v>
      </c>
    </row>
    <row r="855" spans="1:21">
      <c r="A855" t="str">
        <f t="shared" si="355"/>
        <v>21/11/2025</v>
      </c>
      <c r="B855" t="str">
        <f t="shared" si="356"/>
        <v>SAÍDA</v>
      </c>
      <c r="C855" t="str">
        <f t="shared" si="357"/>
        <v>BOLETO</v>
      </c>
      <c r="D855" t="str">
        <f t="shared" si="362"/>
        <v>011125</v>
      </c>
      <c r="E855" t="str">
        <f t="shared" si="368"/>
        <v>COM</v>
      </c>
      <c r="F855" t="str">
        <f t="shared" si="363"/>
        <v>CORA SOCIEDADE DE CREDITO, FINANCIAMENTO E INVESTIMENTO (20035)</v>
      </c>
      <c r="G855" t="str">
        <f t="shared" si="364"/>
        <v>TAXA BOLETO CORA</v>
      </c>
      <c r="H855" t="str">
        <f t="shared" si="365"/>
        <v>21/11/2025</v>
      </c>
      <c r="I855" t="str">
        <f t="shared" si="366"/>
        <v>01/11/2025</v>
      </c>
      <c r="J855" t="str">
        <f t="shared" si="359"/>
        <v>21/11/2025</v>
      </c>
      <c r="M855">
        <v>401</v>
      </c>
      <c r="N855" t="str">
        <f t="shared" si="367"/>
        <v>IOF/JUROS/DESP.FINANCEIRA</v>
      </c>
      <c r="P855">
        <v>1.7</v>
      </c>
      <c r="Q855" t="str">
        <f>"CORA SOCIEDADE DE CREDITO, FINANCIAMENTO E INVESTIMENTO (20035)"</f>
        <v>CORA SOCIEDADE DE CREDITO, FINANCIAMENTO E INVESTIMENTO (20035)</v>
      </c>
      <c r="R855" t="str">
        <f t="shared" si="360"/>
        <v>BANCO CORA (102)</v>
      </c>
      <c r="S855">
        <v>3310</v>
      </c>
      <c r="T855">
        <v>2916</v>
      </c>
      <c r="U855" t="s">
        <v>21</v>
      </c>
    </row>
    <row r="856" spans="1:21">
      <c r="A856" t="str">
        <f t="shared" si="355"/>
        <v>21/11/2025</v>
      </c>
      <c r="B856" t="str">
        <f t="shared" si="356"/>
        <v>SAÍDA</v>
      </c>
      <c r="C856" t="str">
        <f t="shared" si="357"/>
        <v>BOLETO</v>
      </c>
      <c r="D856" t="str">
        <f t="shared" si="362"/>
        <v>011125</v>
      </c>
      <c r="E856" t="str">
        <f t="shared" si="368"/>
        <v>COM</v>
      </c>
      <c r="F856" t="str">
        <f t="shared" si="363"/>
        <v>CORA SOCIEDADE DE CREDITO, FINANCIAMENTO E INVESTIMENTO (20035)</v>
      </c>
      <c r="G856" t="str">
        <f t="shared" si="364"/>
        <v>TAXA BOLETO CORA</v>
      </c>
      <c r="H856" t="str">
        <f t="shared" si="365"/>
        <v>21/11/2025</v>
      </c>
      <c r="I856" t="str">
        <f t="shared" si="366"/>
        <v>01/11/2025</v>
      </c>
      <c r="J856" t="str">
        <f t="shared" si="359"/>
        <v>21/11/2025</v>
      </c>
      <c r="K856">
        <v>1.7</v>
      </c>
      <c r="L856">
        <v>1.7</v>
      </c>
      <c r="M856">
        <v>401</v>
      </c>
      <c r="N856" t="str">
        <f t="shared" si="367"/>
        <v>IOF/JUROS/DESP.FINANCEIRA</v>
      </c>
      <c r="O856">
        <v>1.7</v>
      </c>
      <c r="R856" t="str">
        <f t="shared" si="360"/>
        <v>BANCO CORA (102)</v>
      </c>
      <c r="S856">
        <v>3311</v>
      </c>
      <c r="T856">
        <v>2917</v>
      </c>
      <c r="U856" t="s">
        <v>21</v>
      </c>
    </row>
    <row r="857" spans="1:21">
      <c r="A857" t="str">
        <f t="shared" si="355"/>
        <v>21/11/2025</v>
      </c>
      <c r="B857" t="str">
        <f t="shared" si="356"/>
        <v>SAÍDA</v>
      </c>
      <c r="C857" t="str">
        <f t="shared" si="357"/>
        <v>BOLETO</v>
      </c>
      <c r="D857" t="str">
        <f t="shared" si="362"/>
        <v>011125</v>
      </c>
      <c r="E857" t="str">
        <f t="shared" si="368"/>
        <v>COM</v>
      </c>
      <c r="F857" t="str">
        <f t="shared" si="363"/>
        <v>CORA SOCIEDADE DE CREDITO, FINANCIAMENTO E INVESTIMENTO (20035)</v>
      </c>
      <c r="G857" t="str">
        <f t="shared" si="364"/>
        <v>TAXA BOLETO CORA</v>
      </c>
      <c r="H857" t="str">
        <f t="shared" si="365"/>
        <v>21/11/2025</v>
      </c>
      <c r="I857" t="str">
        <f t="shared" si="366"/>
        <v>01/11/2025</v>
      </c>
      <c r="J857" t="str">
        <f t="shared" si="359"/>
        <v>21/11/2025</v>
      </c>
      <c r="M857">
        <v>401</v>
      </c>
      <c r="N857" t="str">
        <f t="shared" si="367"/>
        <v>IOF/JUROS/DESP.FINANCEIRA</v>
      </c>
      <c r="P857">
        <v>1.7</v>
      </c>
      <c r="Q857" t="str">
        <f>"CORA SOCIEDADE DE CREDITO, FINANCIAMENTO E INVESTIMENTO (20035)"</f>
        <v>CORA SOCIEDADE DE CREDITO, FINANCIAMENTO E INVESTIMENTO (20035)</v>
      </c>
      <c r="R857" t="str">
        <f t="shared" si="360"/>
        <v>BANCO CORA (102)</v>
      </c>
      <c r="S857">
        <v>3311</v>
      </c>
      <c r="T857">
        <v>2917</v>
      </c>
      <c r="U857" t="s">
        <v>21</v>
      </c>
    </row>
    <row r="858" spans="1:21">
      <c r="A858" t="str">
        <f t="shared" si="355"/>
        <v>21/11/2025</v>
      </c>
      <c r="B858" t="str">
        <f t="shared" si="356"/>
        <v>SAÍDA</v>
      </c>
      <c r="C858" t="str">
        <f t="shared" si="357"/>
        <v>BOLETO</v>
      </c>
      <c r="D858" t="str">
        <f t="shared" si="362"/>
        <v>011125</v>
      </c>
      <c r="E858" t="str">
        <f t="shared" si="368"/>
        <v>COM</v>
      </c>
      <c r="F858" t="str">
        <f t="shared" si="363"/>
        <v>CORA SOCIEDADE DE CREDITO, FINANCIAMENTO E INVESTIMENTO (20035)</v>
      </c>
      <c r="G858" t="str">
        <f t="shared" si="364"/>
        <v>TAXA BOLETO CORA</v>
      </c>
      <c r="H858" t="str">
        <f t="shared" si="365"/>
        <v>21/11/2025</v>
      </c>
      <c r="I858" t="str">
        <f t="shared" si="366"/>
        <v>01/11/2025</v>
      </c>
      <c r="J858" t="str">
        <f t="shared" si="359"/>
        <v>21/11/2025</v>
      </c>
      <c r="K858">
        <v>1.7</v>
      </c>
      <c r="L858">
        <v>1.7</v>
      </c>
      <c r="M858">
        <v>401</v>
      </c>
      <c r="N858" t="str">
        <f t="shared" si="367"/>
        <v>IOF/JUROS/DESP.FINANCEIRA</v>
      </c>
      <c r="O858">
        <v>1.7</v>
      </c>
      <c r="R858" t="str">
        <f t="shared" si="360"/>
        <v>BANCO CORA (102)</v>
      </c>
      <c r="S858">
        <v>3312</v>
      </c>
      <c r="T858">
        <v>2918</v>
      </c>
      <c r="U858" t="s">
        <v>21</v>
      </c>
    </row>
    <row r="859" spans="1:21">
      <c r="A859" t="str">
        <f t="shared" si="355"/>
        <v>21/11/2025</v>
      </c>
      <c r="B859" t="str">
        <f t="shared" si="356"/>
        <v>SAÍDA</v>
      </c>
      <c r="C859" t="str">
        <f t="shared" si="357"/>
        <v>BOLETO</v>
      </c>
      <c r="D859" t="str">
        <f t="shared" si="362"/>
        <v>011125</v>
      </c>
      <c r="E859" t="str">
        <f t="shared" si="368"/>
        <v>COM</v>
      </c>
      <c r="F859" t="str">
        <f t="shared" si="363"/>
        <v>CORA SOCIEDADE DE CREDITO, FINANCIAMENTO E INVESTIMENTO (20035)</v>
      </c>
      <c r="G859" t="str">
        <f t="shared" si="364"/>
        <v>TAXA BOLETO CORA</v>
      </c>
      <c r="H859" t="str">
        <f t="shared" si="365"/>
        <v>21/11/2025</v>
      </c>
      <c r="I859" t="str">
        <f t="shared" si="366"/>
        <v>01/11/2025</v>
      </c>
      <c r="J859" t="str">
        <f t="shared" si="359"/>
        <v>21/11/2025</v>
      </c>
      <c r="M859">
        <v>401</v>
      </c>
      <c r="N859" t="str">
        <f t="shared" si="367"/>
        <v>IOF/JUROS/DESP.FINANCEIRA</v>
      </c>
      <c r="P859">
        <v>1.7</v>
      </c>
      <c r="Q859" t="str">
        <f>"CORA SOCIEDADE DE CREDITO, FINANCIAMENTO E INVESTIMENTO (20035)"</f>
        <v>CORA SOCIEDADE DE CREDITO, FINANCIAMENTO E INVESTIMENTO (20035)</v>
      </c>
      <c r="R859" t="str">
        <f t="shared" si="360"/>
        <v>BANCO CORA (102)</v>
      </c>
      <c r="S859">
        <v>3312</v>
      </c>
      <c r="T859">
        <v>2918</v>
      </c>
      <c r="U859" t="s">
        <v>21</v>
      </c>
    </row>
    <row r="860" spans="1:21">
      <c r="A860" t="str">
        <f t="shared" si="355"/>
        <v>21/11/2025</v>
      </c>
      <c r="B860" t="str">
        <f t="shared" si="356"/>
        <v>SAÍDA</v>
      </c>
      <c r="C860" t="str">
        <f t="shared" si="357"/>
        <v>BOLETO</v>
      </c>
      <c r="D860" t="str">
        <f t="shared" si="362"/>
        <v>011125</v>
      </c>
      <c r="E860" t="str">
        <f t="shared" si="368"/>
        <v>COM</v>
      </c>
      <c r="F860" t="str">
        <f t="shared" si="363"/>
        <v>CORA SOCIEDADE DE CREDITO, FINANCIAMENTO E INVESTIMENTO (20035)</v>
      </c>
      <c r="G860" t="str">
        <f t="shared" si="364"/>
        <v>TAXA BOLETO CORA</v>
      </c>
      <c r="H860" t="str">
        <f t="shared" si="365"/>
        <v>21/11/2025</v>
      </c>
      <c r="I860" t="str">
        <f t="shared" si="366"/>
        <v>01/11/2025</v>
      </c>
      <c r="J860" t="str">
        <f t="shared" si="359"/>
        <v>21/11/2025</v>
      </c>
      <c r="K860">
        <v>1.7</v>
      </c>
      <c r="L860">
        <v>1.7</v>
      </c>
      <c r="M860">
        <v>401</v>
      </c>
      <c r="N860" t="str">
        <f t="shared" si="367"/>
        <v>IOF/JUROS/DESP.FINANCEIRA</v>
      </c>
      <c r="O860">
        <v>1.7</v>
      </c>
      <c r="R860" t="str">
        <f t="shared" si="360"/>
        <v>BANCO CORA (102)</v>
      </c>
      <c r="S860">
        <v>3313</v>
      </c>
      <c r="T860">
        <v>2919</v>
      </c>
      <c r="U860" t="s">
        <v>21</v>
      </c>
    </row>
    <row r="861" spans="1:21">
      <c r="A861" t="str">
        <f t="shared" si="355"/>
        <v>21/11/2025</v>
      </c>
      <c r="B861" t="str">
        <f t="shared" si="356"/>
        <v>SAÍDA</v>
      </c>
      <c r="C861" t="str">
        <f t="shared" si="357"/>
        <v>BOLETO</v>
      </c>
      <c r="D861" t="str">
        <f t="shared" si="362"/>
        <v>011125</v>
      </c>
      <c r="E861" t="str">
        <f t="shared" si="368"/>
        <v>COM</v>
      </c>
      <c r="F861" t="str">
        <f t="shared" si="363"/>
        <v>CORA SOCIEDADE DE CREDITO, FINANCIAMENTO E INVESTIMENTO (20035)</v>
      </c>
      <c r="G861" t="str">
        <f t="shared" si="364"/>
        <v>TAXA BOLETO CORA</v>
      </c>
      <c r="H861" t="str">
        <f t="shared" si="365"/>
        <v>21/11/2025</v>
      </c>
      <c r="I861" t="str">
        <f t="shared" si="366"/>
        <v>01/11/2025</v>
      </c>
      <c r="J861" t="str">
        <f t="shared" si="359"/>
        <v>21/11/2025</v>
      </c>
      <c r="M861">
        <v>401</v>
      </c>
      <c r="N861" t="str">
        <f t="shared" si="367"/>
        <v>IOF/JUROS/DESP.FINANCEIRA</v>
      </c>
      <c r="P861">
        <v>1.7</v>
      </c>
      <c r="Q861" t="str">
        <f>"CORA SOCIEDADE DE CREDITO, FINANCIAMENTO E INVESTIMENTO (20035)"</f>
        <v>CORA SOCIEDADE DE CREDITO, FINANCIAMENTO E INVESTIMENTO (20035)</v>
      </c>
      <c r="R861" t="str">
        <f t="shared" si="360"/>
        <v>BANCO CORA (102)</v>
      </c>
      <c r="S861">
        <v>3313</v>
      </c>
      <c r="T861">
        <v>2919</v>
      </c>
      <c r="U861" t="s">
        <v>21</v>
      </c>
    </row>
    <row r="862" spans="1:21">
      <c r="A862" t="str">
        <f t="shared" si="355"/>
        <v>21/11/2025</v>
      </c>
      <c r="B862" t="str">
        <f t="shared" si="356"/>
        <v>SAÍDA</v>
      </c>
      <c r="C862" t="str">
        <f t="shared" si="357"/>
        <v>BOLETO</v>
      </c>
      <c r="D862" t="str">
        <f t="shared" si="362"/>
        <v>011125</v>
      </c>
      <c r="E862" t="str">
        <f t="shared" si="368"/>
        <v>COM</v>
      </c>
      <c r="F862" t="str">
        <f t="shared" si="363"/>
        <v>CORA SOCIEDADE DE CREDITO, FINANCIAMENTO E INVESTIMENTO (20035)</v>
      </c>
      <c r="G862" t="str">
        <f t="shared" si="364"/>
        <v>TAXA BOLETO CORA</v>
      </c>
      <c r="H862" t="str">
        <f t="shared" si="365"/>
        <v>21/11/2025</v>
      </c>
      <c r="I862" t="str">
        <f t="shared" si="366"/>
        <v>01/11/2025</v>
      </c>
      <c r="J862" t="str">
        <f t="shared" si="359"/>
        <v>21/11/2025</v>
      </c>
      <c r="K862">
        <v>1.7</v>
      </c>
      <c r="L862">
        <v>1.7</v>
      </c>
      <c r="M862">
        <v>401</v>
      </c>
      <c r="N862" t="str">
        <f t="shared" si="367"/>
        <v>IOF/JUROS/DESP.FINANCEIRA</v>
      </c>
      <c r="O862">
        <v>1.7</v>
      </c>
      <c r="R862" t="str">
        <f t="shared" si="360"/>
        <v>BANCO CORA (102)</v>
      </c>
      <c r="S862">
        <v>3314</v>
      </c>
      <c r="T862">
        <v>2920</v>
      </c>
      <c r="U862" t="s">
        <v>21</v>
      </c>
    </row>
    <row r="863" spans="1:21">
      <c r="A863" t="str">
        <f t="shared" si="355"/>
        <v>21/11/2025</v>
      </c>
      <c r="B863" t="str">
        <f t="shared" si="356"/>
        <v>SAÍDA</v>
      </c>
      <c r="C863" t="str">
        <f t="shared" si="357"/>
        <v>BOLETO</v>
      </c>
      <c r="D863" t="str">
        <f t="shared" si="362"/>
        <v>011125</v>
      </c>
      <c r="E863" t="str">
        <f t="shared" si="368"/>
        <v>COM</v>
      </c>
      <c r="F863" t="str">
        <f t="shared" si="363"/>
        <v>CORA SOCIEDADE DE CREDITO, FINANCIAMENTO E INVESTIMENTO (20035)</v>
      </c>
      <c r="G863" t="str">
        <f t="shared" si="364"/>
        <v>TAXA BOLETO CORA</v>
      </c>
      <c r="H863" t="str">
        <f t="shared" si="365"/>
        <v>21/11/2025</v>
      </c>
      <c r="I863" t="str">
        <f t="shared" si="366"/>
        <v>01/11/2025</v>
      </c>
      <c r="J863" t="str">
        <f t="shared" si="359"/>
        <v>21/11/2025</v>
      </c>
      <c r="M863">
        <v>401</v>
      </c>
      <c r="N863" t="str">
        <f t="shared" si="367"/>
        <v>IOF/JUROS/DESP.FINANCEIRA</v>
      </c>
      <c r="P863">
        <v>1.7</v>
      </c>
      <c r="Q863" t="str">
        <f>"CORA SOCIEDADE DE CREDITO, FINANCIAMENTO E INVESTIMENTO (20035)"</f>
        <v>CORA SOCIEDADE DE CREDITO, FINANCIAMENTO E INVESTIMENTO (20035)</v>
      </c>
      <c r="R863" t="str">
        <f t="shared" si="360"/>
        <v>BANCO CORA (102)</v>
      </c>
      <c r="S863">
        <v>3314</v>
      </c>
      <c r="T863">
        <v>2920</v>
      </c>
      <c r="U863" t="s">
        <v>21</v>
      </c>
    </row>
    <row r="864" spans="1:21">
      <c r="A864" t="str">
        <f t="shared" si="355"/>
        <v>21/11/2025</v>
      </c>
      <c r="B864" t="str">
        <f t="shared" si="356"/>
        <v>SAÍDA</v>
      </c>
      <c r="C864" t="str">
        <f t="shared" si="357"/>
        <v>BOLETO</v>
      </c>
      <c r="D864" t="str">
        <f t="shared" si="362"/>
        <v>011125</v>
      </c>
      <c r="E864" t="str">
        <f t="shared" si="368"/>
        <v>COM</v>
      </c>
      <c r="F864" t="str">
        <f t="shared" si="363"/>
        <v>CORA SOCIEDADE DE CREDITO, FINANCIAMENTO E INVESTIMENTO (20035)</v>
      </c>
      <c r="G864" t="str">
        <f t="shared" si="364"/>
        <v>TAXA BOLETO CORA</v>
      </c>
      <c r="H864" t="str">
        <f t="shared" si="365"/>
        <v>21/11/2025</v>
      </c>
      <c r="I864" t="str">
        <f t="shared" si="366"/>
        <v>01/11/2025</v>
      </c>
      <c r="J864" t="str">
        <f t="shared" si="359"/>
        <v>21/11/2025</v>
      </c>
      <c r="K864">
        <v>1.7</v>
      </c>
      <c r="L864">
        <v>1.7</v>
      </c>
      <c r="M864">
        <v>401</v>
      </c>
      <c r="N864" t="str">
        <f t="shared" si="367"/>
        <v>IOF/JUROS/DESP.FINANCEIRA</v>
      </c>
      <c r="O864">
        <v>1.7</v>
      </c>
      <c r="R864" t="str">
        <f t="shared" si="360"/>
        <v>BANCO CORA (102)</v>
      </c>
      <c r="S864">
        <v>3315</v>
      </c>
      <c r="T864">
        <v>2921</v>
      </c>
      <c r="U864" t="s">
        <v>21</v>
      </c>
    </row>
    <row r="865" spans="1:21">
      <c r="A865" t="str">
        <f t="shared" si="355"/>
        <v>21/11/2025</v>
      </c>
      <c r="B865" t="str">
        <f t="shared" si="356"/>
        <v>SAÍDA</v>
      </c>
      <c r="C865" t="str">
        <f t="shared" si="357"/>
        <v>BOLETO</v>
      </c>
      <c r="D865" t="str">
        <f t="shared" si="362"/>
        <v>011125</v>
      </c>
      <c r="E865" t="str">
        <f t="shared" si="368"/>
        <v>COM</v>
      </c>
      <c r="F865" t="str">
        <f t="shared" si="363"/>
        <v>CORA SOCIEDADE DE CREDITO, FINANCIAMENTO E INVESTIMENTO (20035)</v>
      </c>
      <c r="G865" t="str">
        <f t="shared" si="364"/>
        <v>TAXA BOLETO CORA</v>
      </c>
      <c r="H865" t="str">
        <f t="shared" si="365"/>
        <v>21/11/2025</v>
      </c>
      <c r="I865" t="str">
        <f t="shared" si="366"/>
        <v>01/11/2025</v>
      </c>
      <c r="J865" t="str">
        <f t="shared" si="359"/>
        <v>21/11/2025</v>
      </c>
      <c r="M865">
        <v>401</v>
      </c>
      <c r="N865" t="str">
        <f t="shared" si="367"/>
        <v>IOF/JUROS/DESP.FINANCEIRA</v>
      </c>
      <c r="P865">
        <v>1.7</v>
      </c>
      <c r="Q865" t="str">
        <f>"CORA SOCIEDADE DE CREDITO, FINANCIAMENTO E INVESTIMENTO (20035)"</f>
        <v>CORA SOCIEDADE DE CREDITO, FINANCIAMENTO E INVESTIMENTO (20035)</v>
      </c>
      <c r="R865" t="str">
        <f t="shared" si="360"/>
        <v>BANCO CORA (102)</v>
      </c>
      <c r="S865">
        <v>3315</v>
      </c>
      <c r="T865">
        <v>2921</v>
      </c>
      <c r="U865" t="s">
        <v>21</v>
      </c>
    </row>
    <row r="866" spans="1:21">
      <c r="A866" t="str">
        <f t="shared" si="355"/>
        <v>21/11/2025</v>
      </c>
      <c r="B866" t="str">
        <f t="shared" si="356"/>
        <v>SAÍDA</v>
      </c>
      <c r="C866" t="str">
        <f t="shared" si="357"/>
        <v>BOLETO</v>
      </c>
      <c r="D866" t="str">
        <f t="shared" si="362"/>
        <v>011125</v>
      </c>
      <c r="E866" t="str">
        <f t="shared" si="368"/>
        <v>COM</v>
      </c>
      <c r="F866" t="str">
        <f t="shared" si="363"/>
        <v>CORA SOCIEDADE DE CREDITO, FINANCIAMENTO E INVESTIMENTO (20035)</v>
      </c>
      <c r="G866" t="str">
        <f t="shared" si="364"/>
        <v>TAXA BOLETO CORA</v>
      </c>
      <c r="H866" t="str">
        <f t="shared" si="365"/>
        <v>21/11/2025</v>
      </c>
      <c r="I866" t="str">
        <f t="shared" si="366"/>
        <v>01/11/2025</v>
      </c>
      <c r="J866" t="str">
        <f t="shared" si="359"/>
        <v>21/11/2025</v>
      </c>
      <c r="K866">
        <v>1.7</v>
      </c>
      <c r="L866">
        <v>1.7</v>
      </c>
      <c r="M866">
        <v>401</v>
      </c>
      <c r="N866" t="str">
        <f t="shared" si="367"/>
        <v>IOF/JUROS/DESP.FINANCEIRA</v>
      </c>
      <c r="O866">
        <v>1.7</v>
      </c>
      <c r="R866" t="str">
        <f t="shared" si="360"/>
        <v>BANCO CORA (102)</v>
      </c>
      <c r="S866">
        <v>3316</v>
      </c>
      <c r="T866">
        <v>2922</v>
      </c>
      <c r="U866" t="s">
        <v>21</v>
      </c>
    </row>
    <row r="867" spans="1:21">
      <c r="A867" t="str">
        <f t="shared" si="355"/>
        <v>21/11/2025</v>
      </c>
      <c r="B867" t="str">
        <f t="shared" si="356"/>
        <v>SAÍDA</v>
      </c>
      <c r="C867" t="str">
        <f t="shared" si="357"/>
        <v>BOLETO</v>
      </c>
      <c r="D867" t="str">
        <f t="shared" si="362"/>
        <v>011125</v>
      </c>
      <c r="E867" t="str">
        <f t="shared" si="368"/>
        <v>COM</v>
      </c>
      <c r="F867" t="str">
        <f t="shared" si="363"/>
        <v>CORA SOCIEDADE DE CREDITO, FINANCIAMENTO E INVESTIMENTO (20035)</v>
      </c>
      <c r="G867" t="str">
        <f t="shared" si="364"/>
        <v>TAXA BOLETO CORA</v>
      </c>
      <c r="H867" t="str">
        <f t="shared" si="365"/>
        <v>21/11/2025</v>
      </c>
      <c r="I867" t="str">
        <f t="shared" si="366"/>
        <v>01/11/2025</v>
      </c>
      <c r="J867" t="str">
        <f t="shared" si="359"/>
        <v>21/11/2025</v>
      </c>
      <c r="M867">
        <v>401</v>
      </c>
      <c r="N867" t="str">
        <f t="shared" si="367"/>
        <v>IOF/JUROS/DESP.FINANCEIRA</v>
      </c>
      <c r="P867">
        <v>1.7</v>
      </c>
      <c r="Q867" t="str">
        <f>"CORA SOCIEDADE DE CREDITO, FINANCIAMENTO E INVESTIMENTO (20035)"</f>
        <v>CORA SOCIEDADE DE CREDITO, FINANCIAMENTO E INVESTIMENTO (20035)</v>
      </c>
      <c r="R867" t="str">
        <f t="shared" si="360"/>
        <v>BANCO CORA (102)</v>
      </c>
      <c r="S867">
        <v>3316</v>
      </c>
      <c r="T867">
        <v>2922</v>
      </c>
      <c r="U867" t="s">
        <v>21</v>
      </c>
    </row>
    <row r="868" spans="1:21">
      <c r="A868" t="str">
        <f t="shared" si="355"/>
        <v>21/11/2025</v>
      </c>
      <c r="B868" t="str">
        <f t="shared" si="356"/>
        <v>SAÍDA</v>
      </c>
      <c r="C868" t="str">
        <f t="shared" si="357"/>
        <v>BOLETO</v>
      </c>
      <c r="D868" t="str">
        <f t="shared" si="362"/>
        <v>011125</v>
      </c>
      <c r="E868" t="str">
        <f t="shared" si="368"/>
        <v>COM</v>
      </c>
      <c r="F868" t="str">
        <f t="shared" si="363"/>
        <v>CORA SOCIEDADE DE CREDITO, FINANCIAMENTO E INVESTIMENTO (20035)</v>
      </c>
      <c r="G868" t="str">
        <f t="shared" si="364"/>
        <v>TAXA BOLETO CORA</v>
      </c>
      <c r="H868" t="str">
        <f t="shared" si="365"/>
        <v>21/11/2025</v>
      </c>
      <c r="I868" t="str">
        <f t="shared" si="366"/>
        <v>01/11/2025</v>
      </c>
      <c r="J868" t="str">
        <f t="shared" si="359"/>
        <v>21/11/2025</v>
      </c>
      <c r="K868">
        <v>1.7</v>
      </c>
      <c r="L868">
        <v>1.7</v>
      </c>
      <c r="M868">
        <v>401</v>
      </c>
      <c r="N868" t="str">
        <f t="shared" si="367"/>
        <v>IOF/JUROS/DESP.FINANCEIRA</v>
      </c>
      <c r="O868">
        <v>1.7</v>
      </c>
      <c r="R868" t="str">
        <f t="shared" si="360"/>
        <v>BANCO CORA (102)</v>
      </c>
      <c r="S868">
        <v>3317</v>
      </c>
      <c r="T868">
        <v>2923</v>
      </c>
      <c r="U868" t="s">
        <v>21</v>
      </c>
    </row>
    <row r="869" spans="1:21">
      <c r="A869" t="str">
        <f t="shared" si="355"/>
        <v>21/11/2025</v>
      </c>
      <c r="B869" t="str">
        <f t="shared" si="356"/>
        <v>SAÍDA</v>
      </c>
      <c r="C869" t="str">
        <f t="shared" si="357"/>
        <v>BOLETO</v>
      </c>
      <c r="D869" t="str">
        <f t="shared" si="362"/>
        <v>011125</v>
      </c>
      <c r="E869" t="str">
        <f t="shared" si="368"/>
        <v>COM</v>
      </c>
      <c r="F869" t="str">
        <f t="shared" si="363"/>
        <v>CORA SOCIEDADE DE CREDITO, FINANCIAMENTO E INVESTIMENTO (20035)</v>
      </c>
      <c r="G869" t="str">
        <f t="shared" si="364"/>
        <v>TAXA BOLETO CORA</v>
      </c>
      <c r="H869" t="str">
        <f t="shared" si="365"/>
        <v>21/11/2025</v>
      </c>
      <c r="I869" t="str">
        <f t="shared" si="366"/>
        <v>01/11/2025</v>
      </c>
      <c r="J869" t="str">
        <f t="shared" si="359"/>
        <v>21/11/2025</v>
      </c>
      <c r="M869">
        <v>401</v>
      </c>
      <c r="N869" t="str">
        <f t="shared" si="367"/>
        <v>IOF/JUROS/DESP.FINANCEIRA</v>
      </c>
      <c r="P869">
        <v>1.7</v>
      </c>
      <c r="Q869" t="str">
        <f>"CORA SOCIEDADE DE CREDITO, FINANCIAMENTO E INVESTIMENTO (20035)"</f>
        <v>CORA SOCIEDADE DE CREDITO, FINANCIAMENTO E INVESTIMENTO (20035)</v>
      </c>
      <c r="R869" t="str">
        <f t="shared" si="360"/>
        <v>BANCO CORA (102)</v>
      </c>
      <c r="S869">
        <v>3317</v>
      </c>
      <c r="T869">
        <v>2923</v>
      </c>
      <c r="U869" t="s">
        <v>21</v>
      </c>
    </row>
    <row r="870" spans="1:21">
      <c r="A870" t="str">
        <f t="shared" si="355"/>
        <v>21/11/2025</v>
      </c>
      <c r="B870" t="str">
        <f t="shared" si="356"/>
        <v>SAÍDA</v>
      </c>
      <c r="C870" t="str">
        <f t="shared" si="357"/>
        <v>BOLETO</v>
      </c>
      <c r="D870" t="str">
        <f t="shared" si="362"/>
        <v>011125</v>
      </c>
      <c r="E870" t="str">
        <f t="shared" si="368"/>
        <v>COM</v>
      </c>
      <c r="F870" t="str">
        <f t="shared" si="363"/>
        <v>CORA SOCIEDADE DE CREDITO, FINANCIAMENTO E INVESTIMENTO (20035)</v>
      </c>
      <c r="G870" t="str">
        <f t="shared" si="364"/>
        <v>TAXA BOLETO CORA</v>
      </c>
      <c r="H870" t="str">
        <f t="shared" si="365"/>
        <v>21/11/2025</v>
      </c>
      <c r="I870" t="str">
        <f t="shared" si="366"/>
        <v>01/11/2025</v>
      </c>
      <c r="J870" t="str">
        <f t="shared" si="359"/>
        <v>21/11/2025</v>
      </c>
      <c r="K870">
        <v>1.7</v>
      </c>
      <c r="L870">
        <v>1.7</v>
      </c>
      <c r="M870">
        <v>401</v>
      </c>
      <c r="N870" t="str">
        <f t="shared" si="367"/>
        <v>IOF/JUROS/DESP.FINANCEIRA</v>
      </c>
      <c r="O870">
        <v>1.7</v>
      </c>
      <c r="R870" t="str">
        <f t="shared" si="360"/>
        <v>BANCO CORA (102)</v>
      </c>
      <c r="S870">
        <v>3318</v>
      </c>
      <c r="T870">
        <v>2924</v>
      </c>
      <c r="U870" t="s">
        <v>21</v>
      </c>
    </row>
    <row r="871" spans="1:21">
      <c r="A871" t="str">
        <f t="shared" si="355"/>
        <v>21/11/2025</v>
      </c>
      <c r="B871" t="str">
        <f t="shared" si="356"/>
        <v>SAÍDA</v>
      </c>
      <c r="C871" t="str">
        <f t="shared" si="357"/>
        <v>BOLETO</v>
      </c>
      <c r="D871" t="str">
        <f t="shared" si="362"/>
        <v>011125</v>
      </c>
      <c r="E871" t="str">
        <f t="shared" si="368"/>
        <v>COM</v>
      </c>
      <c r="F871" t="str">
        <f t="shared" si="363"/>
        <v>CORA SOCIEDADE DE CREDITO, FINANCIAMENTO E INVESTIMENTO (20035)</v>
      </c>
      <c r="G871" t="str">
        <f t="shared" si="364"/>
        <v>TAXA BOLETO CORA</v>
      </c>
      <c r="H871" t="str">
        <f t="shared" si="365"/>
        <v>21/11/2025</v>
      </c>
      <c r="I871" t="str">
        <f t="shared" si="366"/>
        <v>01/11/2025</v>
      </c>
      <c r="J871" t="str">
        <f t="shared" si="359"/>
        <v>21/11/2025</v>
      </c>
      <c r="M871">
        <v>401</v>
      </c>
      <c r="N871" t="str">
        <f t="shared" si="367"/>
        <v>IOF/JUROS/DESP.FINANCEIRA</v>
      </c>
      <c r="P871">
        <v>1.7</v>
      </c>
      <c r="Q871" t="str">
        <f>"CORA SOCIEDADE DE CREDITO, FINANCIAMENTO E INVESTIMENTO (20035)"</f>
        <v>CORA SOCIEDADE DE CREDITO, FINANCIAMENTO E INVESTIMENTO (20035)</v>
      </c>
      <c r="R871" t="str">
        <f t="shared" si="360"/>
        <v>BANCO CORA (102)</v>
      </c>
      <c r="S871">
        <v>3318</v>
      </c>
      <c r="T871">
        <v>2924</v>
      </c>
      <c r="U871" t="s">
        <v>21</v>
      </c>
    </row>
    <row r="872" spans="1:21">
      <c r="A872" t="str">
        <f t="shared" ref="A872:A877" si="369">("21/11/2025")</f>
        <v>21/11/2025</v>
      </c>
      <c r="B872" t="str">
        <f t="shared" si="356"/>
        <v>SAÍDA</v>
      </c>
      <c r="C872" t="str">
        <f t="shared" si="357"/>
        <v>BOLETO</v>
      </c>
      <c r="D872" t="str">
        <f t="shared" si="362"/>
        <v>011125</v>
      </c>
      <c r="E872" t="str">
        <f t="shared" si="368"/>
        <v>COM</v>
      </c>
      <c r="F872" t="str">
        <f t="shared" si="363"/>
        <v>CORA SOCIEDADE DE CREDITO, FINANCIAMENTO E INVESTIMENTO (20035)</v>
      </c>
      <c r="G872" t="str">
        <f t="shared" si="364"/>
        <v>TAXA BOLETO CORA</v>
      </c>
      <c r="H872" t="str">
        <f t="shared" si="365"/>
        <v>21/11/2025</v>
      </c>
      <c r="I872" t="str">
        <f t="shared" si="366"/>
        <v>01/11/2025</v>
      </c>
      <c r="J872" t="str">
        <f t="shared" ref="J872:J877" si="370">("21/11/2025")</f>
        <v>21/11/2025</v>
      </c>
      <c r="K872">
        <v>1.7</v>
      </c>
      <c r="L872">
        <v>1.7</v>
      </c>
      <c r="M872">
        <v>401</v>
      </c>
      <c r="N872" t="str">
        <f t="shared" si="367"/>
        <v>IOF/JUROS/DESP.FINANCEIRA</v>
      </c>
      <c r="O872">
        <v>1.7</v>
      </c>
      <c r="R872" t="str">
        <f t="shared" si="360"/>
        <v>BANCO CORA (102)</v>
      </c>
      <c r="S872">
        <v>3319</v>
      </c>
      <c r="T872">
        <v>2925</v>
      </c>
      <c r="U872" t="s">
        <v>21</v>
      </c>
    </row>
    <row r="873" spans="1:21">
      <c r="A873" t="str">
        <f t="shared" si="369"/>
        <v>21/11/2025</v>
      </c>
      <c r="B873" t="str">
        <f t="shared" si="356"/>
        <v>SAÍDA</v>
      </c>
      <c r="C873" t="str">
        <f t="shared" si="357"/>
        <v>BOLETO</v>
      </c>
      <c r="D873" t="str">
        <f t="shared" si="362"/>
        <v>011125</v>
      </c>
      <c r="E873" t="str">
        <f t="shared" si="368"/>
        <v>COM</v>
      </c>
      <c r="F873" t="str">
        <f t="shared" si="363"/>
        <v>CORA SOCIEDADE DE CREDITO, FINANCIAMENTO E INVESTIMENTO (20035)</v>
      </c>
      <c r="G873" t="str">
        <f t="shared" si="364"/>
        <v>TAXA BOLETO CORA</v>
      </c>
      <c r="H873" t="str">
        <f t="shared" si="365"/>
        <v>21/11/2025</v>
      </c>
      <c r="I873" t="str">
        <f t="shared" si="366"/>
        <v>01/11/2025</v>
      </c>
      <c r="J873" t="str">
        <f t="shared" si="370"/>
        <v>21/11/2025</v>
      </c>
      <c r="M873">
        <v>401</v>
      </c>
      <c r="N873" t="str">
        <f t="shared" si="367"/>
        <v>IOF/JUROS/DESP.FINANCEIRA</v>
      </c>
      <c r="P873">
        <v>1.7</v>
      </c>
      <c r="Q873" t="str">
        <f>"CORA SOCIEDADE DE CREDITO, FINANCIAMENTO E INVESTIMENTO (20035)"</f>
        <v>CORA SOCIEDADE DE CREDITO, FINANCIAMENTO E INVESTIMENTO (20035)</v>
      </c>
      <c r="R873" t="str">
        <f t="shared" si="360"/>
        <v>BANCO CORA (102)</v>
      </c>
      <c r="S873">
        <v>3319</v>
      </c>
      <c r="T873">
        <v>2925</v>
      </c>
      <c r="U873" t="s">
        <v>21</v>
      </c>
    </row>
    <row r="874" spans="1:21">
      <c r="A874" t="str">
        <f t="shared" si="369"/>
        <v>21/11/2025</v>
      </c>
      <c r="B874" t="str">
        <f t="shared" si="356"/>
        <v>SAÍDA</v>
      </c>
      <c r="C874" t="str">
        <f t="shared" si="357"/>
        <v>BOLETO</v>
      </c>
      <c r="D874" t="str">
        <f t="shared" si="362"/>
        <v>011125</v>
      </c>
      <c r="E874" t="str">
        <f t="shared" si="368"/>
        <v>COM</v>
      </c>
      <c r="F874" t="str">
        <f t="shared" si="363"/>
        <v>CORA SOCIEDADE DE CREDITO, FINANCIAMENTO E INVESTIMENTO (20035)</v>
      </c>
      <c r="G874" t="str">
        <f t="shared" si="364"/>
        <v>TAXA BOLETO CORA</v>
      </c>
      <c r="H874" t="str">
        <f t="shared" si="365"/>
        <v>21/11/2025</v>
      </c>
      <c r="I874" t="str">
        <f t="shared" si="366"/>
        <v>01/11/2025</v>
      </c>
      <c r="J874" t="str">
        <f t="shared" si="370"/>
        <v>21/11/2025</v>
      </c>
      <c r="K874">
        <v>1.7</v>
      </c>
      <c r="L874">
        <v>1.7</v>
      </c>
      <c r="M874">
        <v>401</v>
      </c>
      <c r="N874" t="str">
        <f t="shared" si="367"/>
        <v>IOF/JUROS/DESP.FINANCEIRA</v>
      </c>
      <c r="O874">
        <v>1.7</v>
      </c>
      <c r="R874" t="str">
        <f t="shared" si="360"/>
        <v>BANCO CORA (102)</v>
      </c>
      <c r="S874">
        <v>3320</v>
      </c>
      <c r="T874">
        <v>2926</v>
      </c>
      <c r="U874" t="s">
        <v>21</v>
      </c>
    </row>
    <row r="875" spans="1:21">
      <c r="A875" t="str">
        <f t="shared" si="369"/>
        <v>21/11/2025</v>
      </c>
      <c r="B875" t="str">
        <f t="shared" si="356"/>
        <v>SAÍDA</v>
      </c>
      <c r="C875" t="str">
        <f t="shared" si="357"/>
        <v>BOLETO</v>
      </c>
      <c r="D875" t="str">
        <f t="shared" si="362"/>
        <v>011125</v>
      </c>
      <c r="E875" t="str">
        <f t="shared" si="368"/>
        <v>COM</v>
      </c>
      <c r="F875" t="str">
        <f t="shared" si="363"/>
        <v>CORA SOCIEDADE DE CREDITO, FINANCIAMENTO E INVESTIMENTO (20035)</v>
      </c>
      <c r="G875" t="str">
        <f t="shared" si="364"/>
        <v>TAXA BOLETO CORA</v>
      </c>
      <c r="H875" t="str">
        <f t="shared" si="365"/>
        <v>21/11/2025</v>
      </c>
      <c r="I875" t="str">
        <f t="shared" si="366"/>
        <v>01/11/2025</v>
      </c>
      <c r="J875" t="str">
        <f t="shared" si="370"/>
        <v>21/11/2025</v>
      </c>
      <c r="M875">
        <v>401</v>
      </c>
      <c r="N875" t="str">
        <f t="shared" si="367"/>
        <v>IOF/JUROS/DESP.FINANCEIRA</v>
      </c>
      <c r="P875">
        <v>1.7</v>
      </c>
      <c r="Q875" t="str">
        <f>"CORA SOCIEDADE DE CREDITO, FINANCIAMENTO E INVESTIMENTO (20035)"</f>
        <v>CORA SOCIEDADE DE CREDITO, FINANCIAMENTO E INVESTIMENTO (20035)</v>
      </c>
      <c r="R875" t="str">
        <f t="shared" si="360"/>
        <v>BANCO CORA (102)</v>
      </c>
      <c r="S875">
        <v>3320</v>
      </c>
      <c r="T875">
        <v>2926</v>
      </c>
      <c r="U875" t="s">
        <v>21</v>
      </c>
    </row>
    <row r="876" spans="1:21">
      <c r="A876" t="str">
        <f t="shared" si="369"/>
        <v>21/11/2025</v>
      </c>
      <c r="B876" t="str">
        <f t="shared" si="356"/>
        <v>SAÍDA</v>
      </c>
      <c r="C876" t="str">
        <f>"TRANSFERENCIA"</f>
        <v>TRANSFERENCIA</v>
      </c>
      <c r="D876" t="str">
        <f>""</f>
        <v/>
      </c>
      <c r="E876" t="str">
        <f>"TRF"</f>
        <v>TRF</v>
      </c>
      <c r="F876" t="str">
        <f>""</f>
        <v/>
      </c>
      <c r="G876" t="str">
        <f>"AJUDA DE MOVIMENTAÇÃO DE CAIXA (102-&gt;120)"</f>
        <v>AJUDA DE MOVIMENTAÇÃO DE CAIXA (102-&gt;120)</v>
      </c>
      <c r="H876" t="str">
        <f t="shared" si="365"/>
        <v>21/11/2025</v>
      </c>
      <c r="I876" t="str">
        <f>("21/11/2025")</f>
        <v>21/11/2025</v>
      </c>
      <c r="J876" t="str">
        <f t="shared" si="370"/>
        <v>21/11/2025</v>
      </c>
      <c r="M876">
        <v>102</v>
      </c>
      <c r="N876" t="str">
        <f>"BANCO CORA"</f>
        <v>BANCO CORA</v>
      </c>
      <c r="O876">
        <v>25000</v>
      </c>
      <c r="R876" t="str">
        <f t="shared" si="360"/>
        <v>BANCO CORA (102)</v>
      </c>
      <c r="S876">
        <v>3321</v>
      </c>
      <c r="T876">
        <v>0</v>
      </c>
      <c r="U876" t="s">
        <v>21</v>
      </c>
    </row>
    <row r="877" spans="1:21">
      <c r="A877" t="str">
        <f t="shared" si="369"/>
        <v>21/11/2025</v>
      </c>
      <c r="B877" t="str">
        <f>"ENTRADA"</f>
        <v>ENTRADA</v>
      </c>
      <c r="C877" t="str">
        <f>"TRANSFERENCIA"</f>
        <v>TRANSFERENCIA</v>
      </c>
      <c r="D877" t="str">
        <f>""</f>
        <v/>
      </c>
      <c r="E877" t="str">
        <f>"TRF"</f>
        <v>TRF</v>
      </c>
      <c r="F877" t="str">
        <f>""</f>
        <v/>
      </c>
      <c r="G877" t="str">
        <f>"AJUDA DE MOVIMENTAÇÃO DE CAIXA (102-&gt;120)"</f>
        <v>AJUDA DE MOVIMENTAÇÃO DE CAIXA (102-&gt;120)</v>
      </c>
      <c r="H877" t="str">
        <f t="shared" si="365"/>
        <v>21/11/2025</v>
      </c>
      <c r="I877" t="str">
        <f>("21/11/2025")</f>
        <v>21/11/2025</v>
      </c>
      <c r="J877" t="str">
        <f t="shared" si="370"/>
        <v>21/11/2025</v>
      </c>
      <c r="M877">
        <v>120</v>
      </c>
      <c r="N877" t="str">
        <f>"CAIXA - COOPERATIVA"</f>
        <v>CAIXA - COOPERATIVA</v>
      </c>
      <c r="O877">
        <v>25000</v>
      </c>
      <c r="R877" t="str">
        <f>"CAIXA - COOPERATIVA (120)"</f>
        <v>CAIXA - COOPERATIVA (120)</v>
      </c>
      <c r="S877">
        <v>3321</v>
      </c>
      <c r="T877">
        <v>0</v>
      </c>
      <c r="U877" t="s">
        <v>25</v>
      </c>
    </row>
    <row r="878" spans="1:21">
      <c r="A878" t="str">
        <f>("22/11/2025")</f>
        <v>22/11/2025</v>
      </c>
      <c r="B878" t="str">
        <f>"ENTRADA"</f>
        <v>ENTRADA</v>
      </c>
      <c r="C878" t="str">
        <f>"NFSE"</f>
        <v>NFSE</v>
      </c>
      <c r="D878" t="str">
        <f>"3860"</f>
        <v>3860</v>
      </c>
      <c r="E878" t="str">
        <f t="shared" ref="E878:E885" si="371">"COM"</f>
        <v>COM</v>
      </c>
      <c r="F878" t="str">
        <f>"DROGARIA VAZ (10179)"</f>
        <v>DROGARIA VAZ (10179)</v>
      </c>
      <c r="G878" t="str">
        <f>"Serv.Prest. 10/11/2025 a 16/11/2025 - RPS: 1623 - NFSe: 3860"</f>
        <v>Serv.Prest. 10/11/2025 a 16/11/2025 - RPS: 1623 - NFSe: 3860</v>
      </c>
      <c r="H878" t="str">
        <f>("19/11/2025")</f>
        <v>19/11/2025</v>
      </c>
      <c r="I878" t="str">
        <f>("18/11/2025")</f>
        <v>18/11/2025</v>
      </c>
      <c r="J878" t="str">
        <f>("22/11/2025")</f>
        <v>22/11/2025</v>
      </c>
      <c r="K878">
        <v>182.97</v>
      </c>
      <c r="L878">
        <v>186.8</v>
      </c>
      <c r="M878">
        <v>303</v>
      </c>
      <c r="N878" t="str">
        <f>"RECEITAS COM ENTREGAS"</f>
        <v>RECEITAS COM ENTREGAS</v>
      </c>
      <c r="O878">
        <v>186.8</v>
      </c>
      <c r="R878" t="str">
        <f>"RECEITAS COM ENTREGAS (303)"</f>
        <v>RECEITAS COM ENTREGAS (303)</v>
      </c>
      <c r="S878">
        <v>3322</v>
      </c>
      <c r="T878">
        <v>2732</v>
      </c>
      <c r="U878" t="s">
        <v>21</v>
      </c>
    </row>
    <row r="879" spans="1:21">
      <c r="A879" t="str">
        <f>("22/11/2025")</f>
        <v>22/11/2025</v>
      </c>
      <c r="B879" t="str">
        <f>"ENTRADA"</f>
        <v>ENTRADA</v>
      </c>
      <c r="C879" t="str">
        <f>"NFSE"</f>
        <v>NFSE</v>
      </c>
      <c r="D879" t="str">
        <f>"3860"</f>
        <v>3860</v>
      </c>
      <c r="E879" t="str">
        <f t="shared" si="371"/>
        <v>COM</v>
      </c>
      <c r="F879" t="str">
        <f>"DROGARIA VAZ (10179)"</f>
        <v>DROGARIA VAZ (10179)</v>
      </c>
      <c r="G879" t="str">
        <f>"Serv.Prest. 10/11/2025 a 16/11/2025 - RPS: 1623 - NFSe: 3860"</f>
        <v>Serv.Prest. 10/11/2025 a 16/11/2025 - RPS: 1623 - NFSe: 3860</v>
      </c>
      <c r="H879" t="str">
        <f>("19/11/2025")</f>
        <v>19/11/2025</v>
      </c>
      <c r="I879" t="str">
        <f>("18/11/2025")</f>
        <v>18/11/2025</v>
      </c>
      <c r="J879" t="str">
        <f>("22/11/2025")</f>
        <v>22/11/2025</v>
      </c>
      <c r="M879">
        <v>303</v>
      </c>
      <c r="N879" t="str">
        <f>"RECEITAS COM ENTREGAS"</f>
        <v>RECEITAS COM ENTREGAS</v>
      </c>
      <c r="P879">
        <v>186.8</v>
      </c>
      <c r="Q879" t="str">
        <f>"DROGARIA VAZ (10179)"</f>
        <v>DROGARIA VAZ (10179)</v>
      </c>
      <c r="R879" t="str">
        <f>"RECEITAS COM ENTREGAS (303)"</f>
        <v>RECEITAS COM ENTREGAS (303)</v>
      </c>
      <c r="S879">
        <v>3322</v>
      </c>
      <c r="T879">
        <v>2732</v>
      </c>
      <c r="U879" t="s">
        <v>21</v>
      </c>
    </row>
    <row r="880" spans="1:21">
      <c r="A880" t="str">
        <f>("22/11/2025")</f>
        <v>22/11/2025</v>
      </c>
      <c r="B880" t="str">
        <f t="shared" ref="B880:B887" si="372">"SAÍDA"</f>
        <v>SAÍDA</v>
      </c>
      <c r="C880" t="str">
        <f>"BOLETO"</f>
        <v>BOLETO</v>
      </c>
      <c r="D880" t="str">
        <f>"011125"</f>
        <v>011125</v>
      </c>
      <c r="E880" t="str">
        <f t="shared" si="371"/>
        <v>COM</v>
      </c>
      <c r="F880" t="str">
        <f>"CORA SOCIEDADE DE CREDITO, FINANCIAMENTO E INVESTIMENTO (20035)"</f>
        <v>CORA SOCIEDADE DE CREDITO, FINANCIAMENTO E INVESTIMENTO (20035)</v>
      </c>
      <c r="G880" t="str">
        <f>"TAXA BOLETO CORA"</f>
        <v>TAXA BOLETO CORA</v>
      </c>
      <c r="H880" t="str">
        <f>("22/11/2025")</f>
        <v>22/11/2025</v>
      </c>
      <c r="I880" t="str">
        <f>("01/11/2025")</f>
        <v>01/11/2025</v>
      </c>
      <c r="J880" t="str">
        <f>("22/11/2025")</f>
        <v>22/11/2025</v>
      </c>
      <c r="K880">
        <v>0.5</v>
      </c>
      <c r="L880">
        <v>0.5</v>
      </c>
      <c r="M880">
        <v>401</v>
      </c>
      <c r="N880" t="str">
        <f>"IOF/JUROS/DESP.FINANCEIRA"</f>
        <v>IOF/JUROS/DESP.FINANCEIRA</v>
      </c>
      <c r="O880">
        <v>0.5</v>
      </c>
      <c r="R880" t="str">
        <f t="shared" ref="R880:R887" si="373">"BANCO CORA (102)"</f>
        <v>BANCO CORA (102)</v>
      </c>
      <c r="S880">
        <v>3323</v>
      </c>
      <c r="T880">
        <v>2928</v>
      </c>
      <c r="U880" t="s">
        <v>21</v>
      </c>
    </row>
    <row r="881" spans="1:21">
      <c r="A881" t="str">
        <f>("22/11/2025")</f>
        <v>22/11/2025</v>
      </c>
      <c r="B881" t="str">
        <f t="shared" si="372"/>
        <v>SAÍDA</v>
      </c>
      <c r="C881" t="str">
        <f>"BOLETO"</f>
        <v>BOLETO</v>
      </c>
      <c r="D881" t="str">
        <f>"011125"</f>
        <v>011125</v>
      </c>
      <c r="E881" t="str">
        <f t="shared" si="371"/>
        <v>COM</v>
      </c>
      <c r="F881" t="str">
        <f>"CORA SOCIEDADE DE CREDITO, FINANCIAMENTO E INVESTIMENTO (20035)"</f>
        <v>CORA SOCIEDADE DE CREDITO, FINANCIAMENTO E INVESTIMENTO (20035)</v>
      </c>
      <c r="G881" t="str">
        <f>"TAXA BOLETO CORA"</f>
        <v>TAXA BOLETO CORA</v>
      </c>
      <c r="H881" t="str">
        <f>("22/11/2025")</f>
        <v>22/11/2025</v>
      </c>
      <c r="I881" t="str">
        <f>("01/11/2025")</f>
        <v>01/11/2025</v>
      </c>
      <c r="J881" t="str">
        <f>("22/11/2025")</f>
        <v>22/11/2025</v>
      </c>
      <c r="M881">
        <v>401</v>
      </c>
      <c r="N881" t="str">
        <f>"IOF/JUROS/DESP.FINANCEIRA"</f>
        <v>IOF/JUROS/DESP.FINANCEIRA</v>
      </c>
      <c r="P881">
        <v>0.5</v>
      </c>
      <c r="Q881" t="str">
        <f>"CORA SOCIEDADE DE CREDITO, FINANCIAMENTO E INVESTIMENTO (20035)"</f>
        <v>CORA SOCIEDADE DE CREDITO, FINANCIAMENTO E INVESTIMENTO (20035)</v>
      </c>
      <c r="R881" t="str">
        <f t="shared" si="373"/>
        <v>BANCO CORA (102)</v>
      </c>
      <c r="S881">
        <v>3323</v>
      </c>
      <c r="T881">
        <v>2928</v>
      </c>
      <c r="U881" t="s">
        <v>21</v>
      </c>
    </row>
    <row r="882" spans="1:21">
      <c r="A882" t="str">
        <f t="shared" ref="A882:A895" si="374">("24/11/2025")</f>
        <v>24/11/2025</v>
      </c>
      <c r="B882" t="str">
        <f t="shared" si="372"/>
        <v>SAÍDA</v>
      </c>
      <c r="C882" t="str">
        <f>"BOLETO"</f>
        <v>BOLETO</v>
      </c>
      <c r="D882" t="str">
        <f>"933512449"</f>
        <v>933512449</v>
      </c>
      <c r="E882" t="str">
        <f t="shared" si="371"/>
        <v>COM</v>
      </c>
      <c r="F882" t="str">
        <f>"ALLMARK SERVICOS DE MARCAS E PATENTES LTDA (20113)"</f>
        <v>ALLMARK SERVICOS DE MARCAS E PATENTES LTDA (20113)</v>
      </c>
      <c r="G882" t="str">
        <f>"SERVICOS PRESTADOS - MARCAS E PATENTES"</f>
        <v>SERVICOS PRESTADOS - MARCAS E PATENTES</v>
      </c>
      <c r="H882" t="str">
        <f>("22/11/2025")</f>
        <v>22/11/2025</v>
      </c>
      <c r="I882" t="str">
        <f>("23/10/2025")</f>
        <v>23/10/2025</v>
      </c>
      <c r="J882" t="str">
        <f t="shared" ref="J882:J895" si="375">("24/11/2025")</f>
        <v>24/11/2025</v>
      </c>
      <c r="K882">
        <v>600</v>
      </c>
      <c r="L882">
        <v>600</v>
      </c>
      <c r="M882">
        <v>113</v>
      </c>
      <c r="N882" t="str">
        <f>"MATERIAL DE CONSUMO"</f>
        <v>MATERIAL DE CONSUMO</v>
      </c>
      <c r="O882">
        <v>600</v>
      </c>
      <c r="R882" t="str">
        <f t="shared" si="373"/>
        <v>BANCO CORA (102)</v>
      </c>
      <c r="S882">
        <v>3200</v>
      </c>
      <c r="T882">
        <v>2348</v>
      </c>
      <c r="U882" t="s">
        <v>21</v>
      </c>
    </row>
    <row r="883" spans="1:21">
      <c r="A883" t="str">
        <f t="shared" si="374"/>
        <v>24/11/2025</v>
      </c>
      <c r="B883" t="str">
        <f t="shared" si="372"/>
        <v>SAÍDA</v>
      </c>
      <c r="C883" t="str">
        <f>"BOLETO"</f>
        <v>BOLETO</v>
      </c>
      <c r="D883" t="str">
        <f>"933512449"</f>
        <v>933512449</v>
      </c>
      <c r="E883" t="str">
        <f t="shared" si="371"/>
        <v>COM</v>
      </c>
      <c r="F883" t="str">
        <f>"ALLMARK SERVICOS DE MARCAS E PATENTES LTDA (20113)"</f>
        <v>ALLMARK SERVICOS DE MARCAS E PATENTES LTDA (20113)</v>
      </c>
      <c r="G883" t="str">
        <f>"SERVICOS PRESTADOS - MARCAS E PATENTES"</f>
        <v>SERVICOS PRESTADOS - MARCAS E PATENTES</v>
      </c>
      <c r="H883" t="str">
        <f>("22/11/2025")</f>
        <v>22/11/2025</v>
      </c>
      <c r="I883" t="str">
        <f>("23/10/2025")</f>
        <v>23/10/2025</v>
      </c>
      <c r="J883" t="str">
        <f t="shared" si="375"/>
        <v>24/11/2025</v>
      </c>
      <c r="M883">
        <v>113</v>
      </c>
      <c r="N883" t="str">
        <f>"MATERIAL DE CONSUMO"</f>
        <v>MATERIAL DE CONSUMO</v>
      </c>
      <c r="P883">
        <v>600</v>
      </c>
      <c r="Q883" t="str">
        <f>"ALLMARK SERVICOS DE MARCAS E PATENTES LTDA (20113)"</f>
        <v>ALLMARK SERVICOS DE MARCAS E PATENTES LTDA (20113)</v>
      </c>
      <c r="R883" t="str">
        <f t="shared" si="373"/>
        <v>BANCO CORA (102)</v>
      </c>
      <c r="S883">
        <v>3200</v>
      </c>
      <c r="T883">
        <v>2348</v>
      </c>
      <c r="U883" t="s">
        <v>21</v>
      </c>
    </row>
    <row r="884" spans="1:21">
      <c r="A884" t="str">
        <f t="shared" si="374"/>
        <v>24/11/2025</v>
      </c>
      <c r="B884" t="str">
        <f t="shared" si="372"/>
        <v>SAÍDA</v>
      </c>
      <c r="C884" t="str">
        <f>"PIX"</f>
        <v>PIX</v>
      </c>
      <c r="D884" t="str">
        <f>"1509251000"</f>
        <v>1509251000</v>
      </c>
      <c r="E884" t="str">
        <f t="shared" si="371"/>
        <v>COM</v>
      </c>
      <c r="F884" t="str">
        <f>"CONTA SIMPLES SOLUCOES DE PAGAMENTOS LTDA (20019)"</f>
        <v>CONTA SIMPLES SOLUCOES DE PAGAMENTOS LTDA (20019)</v>
      </c>
      <c r="G884" t="str">
        <f>"MARKETING REDES SOCIAIS - PIX- CHAVE ALEATORIA: 1d5b84cc-db31-469d-b8ee-076ced54c3e9"</f>
        <v>MARKETING REDES SOCIAIS - PIX- CHAVE ALEATORIA: 1d5b84cc-db31-469d-b8ee-076ced54c3e9</v>
      </c>
      <c r="H884" t="str">
        <f>("24/11/2025")</f>
        <v>24/11/2025</v>
      </c>
      <c r="I884" t="str">
        <f>("15/09/2025")</f>
        <v>15/09/2025</v>
      </c>
      <c r="J884" t="str">
        <f t="shared" si="375"/>
        <v>24/11/2025</v>
      </c>
      <c r="K884">
        <v>1500</v>
      </c>
      <c r="L884">
        <v>1500</v>
      </c>
      <c r="M884">
        <v>127</v>
      </c>
      <c r="N884" t="str">
        <f>"PUBLICIDADE E PROPAGANDAS"</f>
        <v>PUBLICIDADE E PROPAGANDAS</v>
      </c>
      <c r="O884">
        <v>1500</v>
      </c>
      <c r="R884" t="str">
        <f t="shared" si="373"/>
        <v>BANCO CORA (102)</v>
      </c>
      <c r="S884">
        <v>3201</v>
      </c>
      <c r="T884">
        <v>2779</v>
      </c>
      <c r="U884" t="s">
        <v>21</v>
      </c>
    </row>
    <row r="885" spans="1:21">
      <c r="A885" t="str">
        <f t="shared" si="374"/>
        <v>24/11/2025</v>
      </c>
      <c r="B885" t="str">
        <f t="shared" si="372"/>
        <v>SAÍDA</v>
      </c>
      <c r="C885" t="str">
        <f>"PIX"</f>
        <v>PIX</v>
      </c>
      <c r="D885" t="str">
        <f>"1509251000"</f>
        <v>1509251000</v>
      </c>
      <c r="E885" t="str">
        <f t="shared" si="371"/>
        <v>COM</v>
      </c>
      <c r="F885" t="str">
        <f>"CONTA SIMPLES SOLUCOES DE PAGAMENTOS LTDA (20019)"</f>
        <v>CONTA SIMPLES SOLUCOES DE PAGAMENTOS LTDA (20019)</v>
      </c>
      <c r="G885" t="str">
        <f>"MARKETING REDES SOCIAIS - PIX- CHAVE ALEATORIA: 1d5b84cc-db31-469d-b8ee-076ced54c3e9"</f>
        <v>MARKETING REDES SOCIAIS - PIX- CHAVE ALEATORIA: 1d5b84cc-db31-469d-b8ee-076ced54c3e9</v>
      </c>
      <c r="H885" t="str">
        <f>("24/11/2025")</f>
        <v>24/11/2025</v>
      </c>
      <c r="I885" t="str">
        <f>("15/09/2025")</f>
        <v>15/09/2025</v>
      </c>
      <c r="J885" t="str">
        <f t="shared" si="375"/>
        <v>24/11/2025</v>
      </c>
      <c r="M885">
        <v>127</v>
      </c>
      <c r="N885" t="str">
        <f>"PUBLICIDADE E PROPAGANDAS"</f>
        <v>PUBLICIDADE E PROPAGANDAS</v>
      </c>
      <c r="P885">
        <v>1500</v>
      </c>
      <c r="Q885" t="str">
        <f>"CONTA SIMPLES SOLUCOES DE PAGAMENTOS LTDA (20019)"</f>
        <v>CONTA SIMPLES SOLUCOES DE PAGAMENTOS LTDA (20019)</v>
      </c>
      <c r="R885" t="str">
        <f t="shared" si="373"/>
        <v>BANCO CORA (102)</v>
      </c>
      <c r="S885">
        <v>3201</v>
      </c>
      <c r="T885">
        <v>2779</v>
      </c>
      <c r="U885" t="s">
        <v>21</v>
      </c>
    </row>
    <row r="886" spans="1:21">
      <c r="A886" t="str">
        <f t="shared" si="374"/>
        <v>24/11/2025</v>
      </c>
      <c r="B886" t="str">
        <f t="shared" si="372"/>
        <v>SAÍDA</v>
      </c>
      <c r="C886" t="str">
        <f>""</f>
        <v/>
      </c>
      <c r="D886" t="str">
        <f>""</f>
        <v/>
      </c>
      <c r="E886" t="str">
        <f>"CXA"</f>
        <v>CXA</v>
      </c>
      <c r="F886" t="str">
        <f>""</f>
        <v/>
      </c>
      <c r="G886" t="str">
        <f>"COMISSÃO MAYKON NUNES"</f>
        <v>COMISSÃO MAYKON NUNES</v>
      </c>
      <c r="H886" t="str">
        <f>("24/11/2025")</f>
        <v>24/11/2025</v>
      </c>
      <c r="I886" t="str">
        <f>("24/11/2025")</f>
        <v>24/11/2025</v>
      </c>
      <c r="J886" t="str">
        <f t="shared" si="375"/>
        <v>24/11/2025</v>
      </c>
      <c r="K886">
        <v>1350</v>
      </c>
      <c r="L886">
        <v>1350</v>
      </c>
      <c r="M886">
        <v>126</v>
      </c>
      <c r="N886" t="str">
        <f>"COMISSÕES DE REPRESENTANTES"</f>
        <v>COMISSÕES DE REPRESENTANTES</v>
      </c>
      <c r="O886">
        <v>1350</v>
      </c>
      <c r="R886" t="str">
        <f t="shared" si="373"/>
        <v>BANCO CORA (102)</v>
      </c>
      <c r="S886">
        <v>3324</v>
      </c>
      <c r="T886">
        <v>0</v>
      </c>
      <c r="U886" t="s">
        <v>27</v>
      </c>
    </row>
    <row r="887" spans="1:21">
      <c r="A887" t="str">
        <f t="shared" si="374"/>
        <v>24/11/2025</v>
      </c>
      <c r="B887" t="str">
        <f t="shared" si="372"/>
        <v>SAÍDA</v>
      </c>
      <c r="C887" t="str">
        <f>""</f>
        <v/>
      </c>
      <c r="D887" t="str">
        <f>""</f>
        <v/>
      </c>
      <c r="E887" t="str">
        <f>"CXA"</f>
        <v>CXA</v>
      </c>
      <c r="F887" t="str">
        <f>""</f>
        <v/>
      </c>
      <c r="G887" t="str">
        <f>"COMISSÃO YURI RODRIGUES"</f>
        <v>COMISSÃO YURI RODRIGUES</v>
      </c>
      <c r="H887" t="str">
        <f>("24/11/2025")</f>
        <v>24/11/2025</v>
      </c>
      <c r="I887" t="str">
        <f>("24/11/2025")</f>
        <v>24/11/2025</v>
      </c>
      <c r="J887" t="str">
        <f t="shared" si="375"/>
        <v>24/11/2025</v>
      </c>
      <c r="K887">
        <v>1350</v>
      </c>
      <c r="L887">
        <v>1350</v>
      </c>
      <c r="M887">
        <v>126</v>
      </c>
      <c r="N887" t="str">
        <f>"COMISSÕES DE REPRESENTANTES"</f>
        <v>COMISSÕES DE REPRESENTANTES</v>
      </c>
      <c r="O887">
        <v>1350</v>
      </c>
      <c r="R887" t="str">
        <f t="shared" si="373"/>
        <v>BANCO CORA (102)</v>
      </c>
      <c r="S887">
        <v>3325</v>
      </c>
      <c r="T887">
        <v>0</v>
      </c>
      <c r="U887" t="s">
        <v>27</v>
      </c>
    </row>
    <row r="888" spans="1:21">
      <c r="A888" t="str">
        <f t="shared" si="374"/>
        <v>24/11/2025</v>
      </c>
      <c r="B888" t="str">
        <f>"ENTRADA"</f>
        <v>ENTRADA</v>
      </c>
      <c r="C888" t="str">
        <f>"NFSE"</f>
        <v>NFSE</v>
      </c>
      <c r="D888" t="str">
        <f>"3849"</f>
        <v>3849</v>
      </c>
      <c r="E888" t="str">
        <f t="shared" ref="E888:E899" si="376">"COM"</f>
        <v>COM</v>
      </c>
      <c r="F888" t="str">
        <f>"DROGARIA POUPA MINAS (DOIS AMIGOS) 5 (10140)"</f>
        <v>DROGARIA POUPA MINAS (DOIS AMIGOS) 5 (10140)</v>
      </c>
      <c r="G888" t="str">
        <f>"Serv.Prest. 10/11/2025 a 16/11/2025 - RPS: 1612 - NFSe: 3849"</f>
        <v>Serv.Prest. 10/11/2025 a 16/11/2025 - RPS: 1612 - NFSe: 3849</v>
      </c>
      <c r="H888" t="str">
        <f>("20/11/2025")</f>
        <v>20/11/2025</v>
      </c>
      <c r="I888" t="str">
        <f>("18/11/2025")</f>
        <v>18/11/2025</v>
      </c>
      <c r="J888" t="str">
        <f t="shared" si="375"/>
        <v>24/11/2025</v>
      </c>
      <c r="K888">
        <v>802.49</v>
      </c>
      <c r="L888">
        <v>802.49</v>
      </c>
      <c r="M888">
        <v>303</v>
      </c>
      <c r="N888" t="str">
        <f>"RECEITAS COM ENTREGAS"</f>
        <v>RECEITAS COM ENTREGAS</v>
      </c>
      <c r="O888">
        <v>802.49</v>
      </c>
      <c r="R888" t="str">
        <f>"RECEITAS COM ENTREGAS (303)"</f>
        <v>RECEITAS COM ENTREGAS (303)</v>
      </c>
      <c r="S888">
        <v>3326</v>
      </c>
      <c r="T888">
        <v>2652</v>
      </c>
      <c r="U888" t="s">
        <v>21</v>
      </c>
    </row>
    <row r="889" spans="1:21">
      <c r="A889" t="str">
        <f t="shared" si="374"/>
        <v>24/11/2025</v>
      </c>
      <c r="B889" t="str">
        <f>"ENTRADA"</f>
        <v>ENTRADA</v>
      </c>
      <c r="C889" t="str">
        <f>"NFSE"</f>
        <v>NFSE</v>
      </c>
      <c r="D889" t="str">
        <f>"3849"</f>
        <v>3849</v>
      </c>
      <c r="E889" t="str">
        <f t="shared" si="376"/>
        <v>COM</v>
      </c>
      <c r="F889" t="str">
        <f>"DROGARIA POUPA MINAS (DOIS AMIGOS) 5 (10140)"</f>
        <v>DROGARIA POUPA MINAS (DOIS AMIGOS) 5 (10140)</v>
      </c>
      <c r="G889" t="str">
        <f>"Serv.Prest. 10/11/2025 a 16/11/2025 - RPS: 1612 - NFSe: 3849"</f>
        <v>Serv.Prest. 10/11/2025 a 16/11/2025 - RPS: 1612 - NFSe: 3849</v>
      </c>
      <c r="H889" t="str">
        <f>("20/11/2025")</f>
        <v>20/11/2025</v>
      </c>
      <c r="I889" t="str">
        <f>("18/11/2025")</f>
        <v>18/11/2025</v>
      </c>
      <c r="J889" t="str">
        <f t="shared" si="375"/>
        <v>24/11/2025</v>
      </c>
      <c r="M889">
        <v>303</v>
      </c>
      <c r="N889" t="str">
        <f>"RECEITAS COM ENTREGAS"</f>
        <v>RECEITAS COM ENTREGAS</v>
      </c>
      <c r="P889">
        <v>802.49</v>
      </c>
      <c r="Q889" t="str">
        <f>"DROGARIA POUPA MINAS (ULTRAMINAS) 1 (10181)"</f>
        <v>DROGARIA POUPA MINAS (ULTRAMINAS) 1 (10181)</v>
      </c>
      <c r="R889" t="str">
        <f>"RECEITAS COM ENTREGAS (303)"</f>
        <v>RECEITAS COM ENTREGAS (303)</v>
      </c>
      <c r="S889">
        <v>3326</v>
      </c>
      <c r="T889">
        <v>2652</v>
      </c>
      <c r="U889" t="s">
        <v>21</v>
      </c>
    </row>
    <row r="890" spans="1:21">
      <c r="A890" t="str">
        <f t="shared" si="374"/>
        <v>24/11/2025</v>
      </c>
      <c r="B890" t="str">
        <f>"ENTRADA"</f>
        <v>ENTRADA</v>
      </c>
      <c r="C890" t="str">
        <f>"NFSE"</f>
        <v>NFSE</v>
      </c>
      <c r="D890" t="str">
        <f>"3827"</f>
        <v>3827</v>
      </c>
      <c r="E890" t="str">
        <f t="shared" si="376"/>
        <v>COM</v>
      </c>
      <c r="F890" t="str">
        <f>"DROGARIA POUPA MINAS (ULTRAMINAS) 3 (10129)"</f>
        <v>DROGARIA POUPA MINAS (ULTRAMINAS) 3 (10129)</v>
      </c>
      <c r="G890" t="str">
        <f>"Serv.Prest. 10/11/2025 a 16/11/2025 - RPS: 1590 - NFSe: 3827"</f>
        <v>Serv.Prest. 10/11/2025 a 16/11/2025 - RPS: 1590 - NFSe: 3827</v>
      </c>
      <c r="H890" t="str">
        <f>("20/11/2025")</f>
        <v>20/11/2025</v>
      </c>
      <c r="I890" t="str">
        <f>("17/11/2025")</f>
        <v>17/11/2025</v>
      </c>
      <c r="J890" t="str">
        <f t="shared" si="375"/>
        <v>24/11/2025</v>
      </c>
      <c r="K890">
        <v>171.6</v>
      </c>
      <c r="L890">
        <v>171.6</v>
      </c>
      <c r="M890">
        <v>303</v>
      </c>
      <c r="N890" t="str">
        <f>"RECEITAS COM ENTREGAS"</f>
        <v>RECEITAS COM ENTREGAS</v>
      </c>
      <c r="O890">
        <v>171.6</v>
      </c>
      <c r="R890" t="str">
        <f>"RECEITAS COM ENTREGAS (303)"</f>
        <v>RECEITAS COM ENTREGAS (303)</v>
      </c>
      <c r="S890">
        <v>3327</v>
      </c>
      <c r="T890">
        <v>2630</v>
      </c>
      <c r="U890" t="s">
        <v>21</v>
      </c>
    </row>
    <row r="891" spans="1:21">
      <c r="A891" t="str">
        <f t="shared" si="374"/>
        <v>24/11/2025</v>
      </c>
      <c r="B891" t="str">
        <f>"ENTRADA"</f>
        <v>ENTRADA</v>
      </c>
      <c r="C891" t="str">
        <f>"NFSE"</f>
        <v>NFSE</v>
      </c>
      <c r="D891" t="str">
        <f>"3827"</f>
        <v>3827</v>
      </c>
      <c r="E891" t="str">
        <f t="shared" si="376"/>
        <v>COM</v>
      </c>
      <c r="F891" t="str">
        <f>"DROGARIA POUPA MINAS (ULTRAMINAS) 3 (10129)"</f>
        <v>DROGARIA POUPA MINAS (ULTRAMINAS) 3 (10129)</v>
      </c>
      <c r="G891" t="str">
        <f>"Serv.Prest. 10/11/2025 a 16/11/2025 - RPS: 1590 - NFSe: 3827"</f>
        <v>Serv.Prest. 10/11/2025 a 16/11/2025 - RPS: 1590 - NFSe: 3827</v>
      </c>
      <c r="H891" t="str">
        <f>("20/11/2025")</f>
        <v>20/11/2025</v>
      </c>
      <c r="I891" t="str">
        <f>("17/11/2025")</f>
        <v>17/11/2025</v>
      </c>
      <c r="J891" t="str">
        <f t="shared" si="375"/>
        <v>24/11/2025</v>
      </c>
      <c r="M891">
        <v>303</v>
      </c>
      <c r="N891" t="str">
        <f>"RECEITAS COM ENTREGAS"</f>
        <v>RECEITAS COM ENTREGAS</v>
      </c>
      <c r="P891">
        <v>171.6</v>
      </c>
      <c r="Q891" t="str">
        <f>"DROGARIA POUPA MINAS (ULTRAMINAS) 3 (10129)"</f>
        <v>DROGARIA POUPA MINAS (ULTRAMINAS) 3 (10129)</v>
      </c>
      <c r="R891" t="str">
        <f>"RECEITAS COM ENTREGAS (303)"</f>
        <v>RECEITAS COM ENTREGAS (303)</v>
      </c>
      <c r="S891">
        <v>3327</v>
      </c>
      <c r="T891">
        <v>2630</v>
      </c>
      <c r="U891" t="s">
        <v>21</v>
      </c>
    </row>
    <row r="892" spans="1:21">
      <c r="A892" t="str">
        <f t="shared" si="374"/>
        <v>24/11/2025</v>
      </c>
      <c r="B892" t="str">
        <f t="shared" ref="B892:B900" si="377">"SAÍDA"</f>
        <v>SAÍDA</v>
      </c>
      <c r="C892" t="str">
        <f t="shared" ref="C892:C897" si="378">"BOLETO"</f>
        <v>BOLETO</v>
      </c>
      <c r="D892" t="str">
        <f>"011125"</f>
        <v>011125</v>
      </c>
      <c r="E892" t="str">
        <f t="shared" si="376"/>
        <v>COM</v>
      </c>
      <c r="F892" t="str">
        <f>"CORA SOCIEDADE DE CREDITO, FINANCIAMENTO E INVESTIMENTO (20035)"</f>
        <v>CORA SOCIEDADE DE CREDITO, FINANCIAMENTO E INVESTIMENTO (20035)</v>
      </c>
      <c r="G892" t="str">
        <f>"TAXA BOLETO CORA"</f>
        <v>TAXA BOLETO CORA</v>
      </c>
      <c r="H892" t="str">
        <f>("24/11/2025")</f>
        <v>24/11/2025</v>
      </c>
      <c r="I892" t="str">
        <f>("01/11/2025")</f>
        <v>01/11/2025</v>
      </c>
      <c r="J892" t="str">
        <f t="shared" si="375"/>
        <v>24/11/2025</v>
      </c>
      <c r="K892">
        <v>1.7</v>
      </c>
      <c r="L892">
        <v>1.7</v>
      </c>
      <c r="M892">
        <v>401</v>
      </c>
      <c r="N892" t="str">
        <f>"IOF/JUROS/DESP.FINANCEIRA"</f>
        <v>IOF/JUROS/DESP.FINANCEIRA</v>
      </c>
      <c r="O892">
        <v>1.7</v>
      </c>
      <c r="R892" t="str">
        <f t="shared" ref="R892:R900" si="379">"BANCO CORA (102)"</f>
        <v>BANCO CORA (102)</v>
      </c>
      <c r="S892">
        <v>3328</v>
      </c>
      <c r="T892">
        <v>2929</v>
      </c>
      <c r="U892" t="s">
        <v>21</v>
      </c>
    </row>
    <row r="893" spans="1:21">
      <c r="A893" t="str">
        <f t="shared" si="374"/>
        <v>24/11/2025</v>
      </c>
      <c r="B893" t="str">
        <f t="shared" si="377"/>
        <v>SAÍDA</v>
      </c>
      <c r="C893" t="str">
        <f t="shared" si="378"/>
        <v>BOLETO</v>
      </c>
      <c r="D893" t="str">
        <f>"011125"</f>
        <v>011125</v>
      </c>
      <c r="E893" t="str">
        <f t="shared" si="376"/>
        <v>COM</v>
      </c>
      <c r="F893" t="str">
        <f>"CORA SOCIEDADE DE CREDITO, FINANCIAMENTO E INVESTIMENTO (20035)"</f>
        <v>CORA SOCIEDADE DE CREDITO, FINANCIAMENTO E INVESTIMENTO (20035)</v>
      </c>
      <c r="G893" t="str">
        <f>"TAXA BOLETO CORA"</f>
        <v>TAXA BOLETO CORA</v>
      </c>
      <c r="H893" t="str">
        <f>("24/11/2025")</f>
        <v>24/11/2025</v>
      </c>
      <c r="I893" t="str">
        <f>("01/11/2025")</f>
        <v>01/11/2025</v>
      </c>
      <c r="J893" t="str">
        <f t="shared" si="375"/>
        <v>24/11/2025</v>
      </c>
      <c r="M893">
        <v>401</v>
      </c>
      <c r="N893" t="str">
        <f>"IOF/JUROS/DESP.FINANCEIRA"</f>
        <v>IOF/JUROS/DESP.FINANCEIRA</v>
      </c>
      <c r="P893">
        <v>1.7</v>
      </c>
      <c r="Q893" t="str">
        <f>"CORA SOCIEDADE DE CREDITO, FINANCIAMENTO E INVESTIMENTO (20035)"</f>
        <v>CORA SOCIEDADE DE CREDITO, FINANCIAMENTO E INVESTIMENTO (20035)</v>
      </c>
      <c r="R893" t="str">
        <f t="shared" si="379"/>
        <v>BANCO CORA (102)</v>
      </c>
      <c r="S893">
        <v>3328</v>
      </c>
      <c r="T893">
        <v>2929</v>
      </c>
      <c r="U893" t="s">
        <v>21</v>
      </c>
    </row>
    <row r="894" spans="1:21">
      <c r="A894" t="str">
        <f t="shared" si="374"/>
        <v>24/11/2025</v>
      </c>
      <c r="B894" t="str">
        <f t="shared" si="377"/>
        <v>SAÍDA</v>
      </c>
      <c r="C894" t="str">
        <f t="shared" si="378"/>
        <v>BOLETO</v>
      </c>
      <c r="D894" t="str">
        <f>"011125"</f>
        <v>011125</v>
      </c>
      <c r="E894" t="str">
        <f t="shared" si="376"/>
        <v>COM</v>
      </c>
      <c r="F894" t="str">
        <f>"CORA SOCIEDADE DE CREDITO, FINANCIAMENTO E INVESTIMENTO (20035)"</f>
        <v>CORA SOCIEDADE DE CREDITO, FINANCIAMENTO E INVESTIMENTO (20035)</v>
      </c>
      <c r="G894" t="str">
        <f>"TAXA BOLETO CORA"</f>
        <v>TAXA BOLETO CORA</v>
      </c>
      <c r="H894" t="str">
        <f>("24/11/2025")</f>
        <v>24/11/2025</v>
      </c>
      <c r="I894" t="str">
        <f>("01/11/2025")</f>
        <v>01/11/2025</v>
      </c>
      <c r="J894" t="str">
        <f t="shared" si="375"/>
        <v>24/11/2025</v>
      </c>
      <c r="K894">
        <v>1.7</v>
      </c>
      <c r="L894">
        <v>1.7</v>
      </c>
      <c r="M894">
        <v>401</v>
      </c>
      <c r="N894" t="str">
        <f>"IOF/JUROS/DESP.FINANCEIRA"</f>
        <v>IOF/JUROS/DESP.FINANCEIRA</v>
      </c>
      <c r="O894">
        <v>1.7</v>
      </c>
      <c r="R894" t="str">
        <f t="shared" si="379"/>
        <v>BANCO CORA (102)</v>
      </c>
      <c r="S894">
        <v>3329</v>
      </c>
      <c r="T894">
        <v>2930</v>
      </c>
      <c r="U894" t="s">
        <v>21</v>
      </c>
    </row>
    <row r="895" spans="1:21">
      <c r="A895" t="str">
        <f t="shared" si="374"/>
        <v>24/11/2025</v>
      </c>
      <c r="B895" t="str">
        <f t="shared" si="377"/>
        <v>SAÍDA</v>
      </c>
      <c r="C895" t="str">
        <f t="shared" si="378"/>
        <v>BOLETO</v>
      </c>
      <c r="D895" t="str">
        <f>"011125"</f>
        <v>011125</v>
      </c>
      <c r="E895" t="str">
        <f t="shared" si="376"/>
        <v>COM</v>
      </c>
      <c r="F895" t="str">
        <f>"CORA SOCIEDADE DE CREDITO, FINANCIAMENTO E INVESTIMENTO (20035)"</f>
        <v>CORA SOCIEDADE DE CREDITO, FINANCIAMENTO E INVESTIMENTO (20035)</v>
      </c>
      <c r="G895" t="str">
        <f>"TAXA BOLETO CORA"</f>
        <v>TAXA BOLETO CORA</v>
      </c>
      <c r="H895" t="str">
        <f>("24/11/2025")</f>
        <v>24/11/2025</v>
      </c>
      <c r="I895" t="str">
        <f>("01/11/2025")</f>
        <v>01/11/2025</v>
      </c>
      <c r="J895" t="str">
        <f t="shared" si="375"/>
        <v>24/11/2025</v>
      </c>
      <c r="M895">
        <v>401</v>
      </c>
      <c r="N895" t="str">
        <f>"IOF/JUROS/DESP.FINANCEIRA"</f>
        <v>IOF/JUROS/DESP.FINANCEIRA</v>
      </c>
      <c r="P895">
        <v>1.7</v>
      </c>
      <c r="Q895" t="str">
        <f>"CORA SOCIEDADE DE CREDITO, FINANCIAMENTO E INVESTIMENTO (20035)"</f>
        <v>CORA SOCIEDADE DE CREDITO, FINANCIAMENTO E INVESTIMENTO (20035)</v>
      </c>
      <c r="R895" t="str">
        <f t="shared" si="379"/>
        <v>BANCO CORA (102)</v>
      </c>
      <c r="S895">
        <v>3329</v>
      </c>
      <c r="T895">
        <v>2930</v>
      </c>
      <c r="U895" t="s">
        <v>21</v>
      </c>
    </row>
    <row r="896" spans="1:21">
      <c r="A896" t="str">
        <f t="shared" ref="A896:A919" si="380">("25/11/2025")</f>
        <v>25/11/2025</v>
      </c>
      <c r="B896" t="str">
        <f t="shared" si="377"/>
        <v>SAÍDA</v>
      </c>
      <c r="C896" t="str">
        <f t="shared" si="378"/>
        <v>BOLETO</v>
      </c>
      <c r="D896" t="str">
        <f>"22399"</f>
        <v>22399</v>
      </c>
      <c r="E896" t="str">
        <f t="shared" si="376"/>
        <v>COM</v>
      </c>
      <c r="F896" t="str">
        <f>"ABRADILAN ASSOCIACAO BRASILEIRA DE DISTRIBUICAO E LOGIS (20121)"</f>
        <v>ABRADILAN ASSOCIACAO BRASILEIRA DE DISTRIBUICAO E LOGIS (20121)</v>
      </c>
      <c r="G896" t="str">
        <f>"COTA PATROCINIO - EXPOSITOR FARMACIA DO FUTURO"</f>
        <v>COTA PATROCINIO - EXPOSITOR FARMACIA DO FUTURO</v>
      </c>
      <c r="H896" t="str">
        <f t="shared" ref="H896:H901" si="381">("25/11/2025")</f>
        <v>25/11/2025</v>
      </c>
      <c r="I896" t="str">
        <f>("16/10/2025")</f>
        <v>16/10/2025</v>
      </c>
      <c r="J896" t="str">
        <f t="shared" ref="J896:J919" si="382">("25/11/2025")</f>
        <v>25/11/2025</v>
      </c>
      <c r="K896">
        <v>2500</v>
      </c>
      <c r="L896">
        <v>2500</v>
      </c>
      <c r="M896">
        <v>127</v>
      </c>
      <c r="N896" t="str">
        <f>"PUBLICIDADE E PROPAGANDAS"</f>
        <v>PUBLICIDADE E PROPAGANDAS</v>
      </c>
      <c r="O896">
        <v>2500</v>
      </c>
      <c r="R896" t="str">
        <f t="shared" si="379"/>
        <v>BANCO CORA (102)</v>
      </c>
      <c r="S896">
        <v>3207</v>
      </c>
      <c r="T896">
        <v>2396</v>
      </c>
      <c r="U896" t="s">
        <v>21</v>
      </c>
    </row>
    <row r="897" spans="1:21">
      <c r="A897" t="str">
        <f t="shared" si="380"/>
        <v>25/11/2025</v>
      </c>
      <c r="B897" t="str">
        <f t="shared" si="377"/>
        <v>SAÍDA</v>
      </c>
      <c r="C897" t="str">
        <f t="shared" si="378"/>
        <v>BOLETO</v>
      </c>
      <c r="D897" t="str">
        <f>"22399"</f>
        <v>22399</v>
      </c>
      <c r="E897" t="str">
        <f t="shared" si="376"/>
        <v>COM</v>
      </c>
      <c r="F897" t="str">
        <f>"ABRADILAN ASSOCIACAO BRASILEIRA DE DISTRIBUICAO E LOGIS (20121)"</f>
        <v>ABRADILAN ASSOCIACAO BRASILEIRA DE DISTRIBUICAO E LOGIS (20121)</v>
      </c>
      <c r="G897" t="str">
        <f>"COTA PATROCINIO - EXPOSITOR FARMACIA DO FUTURO"</f>
        <v>COTA PATROCINIO - EXPOSITOR FARMACIA DO FUTURO</v>
      </c>
      <c r="H897" t="str">
        <f t="shared" si="381"/>
        <v>25/11/2025</v>
      </c>
      <c r="I897" t="str">
        <f>("16/10/2025")</f>
        <v>16/10/2025</v>
      </c>
      <c r="J897" t="str">
        <f t="shared" si="382"/>
        <v>25/11/2025</v>
      </c>
      <c r="M897">
        <v>127</v>
      </c>
      <c r="N897" t="str">
        <f>"PUBLICIDADE E PROPAGANDAS"</f>
        <v>PUBLICIDADE E PROPAGANDAS</v>
      </c>
      <c r="P897">
        <v>2500</v>
      </c>
      <c r="Q897" t="str">
        <f>"ABRADILAN ASSOCIACAO BRASILEIRA DE DISTRIBUICAO E LOGIS (20121)"</f>
        <v>ABRADILAN ASSOCIACAO BRASILEIRA DE DISTRIBUICAO E LOGIS (20121)</v>
      </c>
      <c r="R897" t="str">
        <f t="shared" si="379"/>
        <v>BANCO CORA (102)</v>
      </c>
      <c r="S897">
        <v>3207</v>
      </c>
      <c r="T897">
        <v>2396</v>
      </c>
      <c r="U897" t="s">
        <v>21</v>
      </c>
    </row>
    <row r="898" spans="1:21">
      <c r="A898" t="str">
        <f t="shared" si="380"/>
        <v>25/11/2025</v>
      </c>
      <c r="B898" t="str">
        <f t="shared" si="377"/>
        <v>SAÍDA</v>
      </c>
      <c r="C898" t="str">
        <f>"PIX"</f>
        <v>PIX</v>
      </c>
      <c r="D898" t="str">
        <f>"25112025"</f>
        <v>25112025</v>
      </c>
      <c r="E898" t="str">
        <f t="shared" si="376"/>
        <v>COM</v>
      </c>
      <c r="F898" t="str">
        <f>"LINHA E ARTE BORDADOS LTDA (20119)"</f>
        <v>LINHA E ARTE BORDADOS LTDA (20119)</v>
      </c>
      <c r="G898" t="str">
        <f>"BORDADOS UNIFORMES FLUX E COOPMOB CHAVE PIX: (CNPJ) 29244633000127"</f>
        <v>BORDADOS UNIFORMES FLUX E COOPMOB CHAVE PIX: (CNPJ) 29244633000127</v>
      </c>
      <c r="H898" t="str">
        <f t="shared" si="381"/>
        <v>25/11/2025</v>
      </c>
      <c r="I898" t="str">
        <f>("25/11/2025")</f>
        <v>25/11/2025</v>
      </c>
      <c r="J898" t="str">
        <f t="shared" si="382"/>
        <v>25/11/2025</v>
      </c>
      <c r="K898">
        <v>145</v>
      </c>
      <c r="L898">
        <v>145</v>
      </c>
      <c r="M898">
        <v>129</v>
      </c>
      <c r="N898" t="str">
        <f>"DESPESAS COM EVENTOS"</f>
        <v>DESPESAS COM EVENTOS</v>
      </c>
      <c r="O898">
        <v>145</v>
      </c>
      <c r="R898" t="str">
        <f t="shared" si="379"/>
        <v>BANCO CORA (102)</v>
      </c>
      <c r="S898">
        <v>3208</v>
      </c>
      <c r="T898">
        <v>2823</v>
      </c>
      <c r="U898" t="s">
        <v>21</v>
      </c>
    </row>
    <row r="899" spans="1:21">
      <c r="A899" t="str">
        <f t="shared" si="380"/>
        <v>25/11/2025</v>
      </c>
      <c r="B899" t="str">
        <f t="shared" si="377"/>
        <v>SAÍDA</v>
      </c>
      <c r="C899" t="str">
        <f>"PIX"</f>
        <v>PIX</v>
      </c>
      <c r="D899" t="str">
        <f>"25112025"</f>
        <v>25112025</v>
      </c>
      <c r="E899" t="str">
        <f t="shared" si="376"/>
        <v>COM</v>
      </c>
      <c r="F899" t="str">
        <f>"LINHA E ARTE BORDADOS LTDA (20119)"</f>
        <v>LINHA E ARTE BORDADOS LTDA (20119)</v>
      </c>
      <c r="G899" t="str">
        <f>"BORDADOS UNIFORMES FLUX E COOPMOB CHAVE PIX: (CNPJ) 29244633000127"</f>
        <v>BORDADOS UNIFORMES FLUX E COOPMOB CHAVE PIX: (CNPJ) 29244633000127</v>
      </c>
      <c r="H899" t="str">
        <f t="shared" si="381"/>
        <v>25/11/2025</v>
      </c>
      <c r="I899" t="str">
        <f>("25/11/2025")</f>
        <v>25/11/2025</v>
      </c>
      <c r="J899" t="str">
        <f t="shared" si="382"/>
        <v>25/11/2025</v>
      </c>
      <c r="M899">
        <v>129</v>
      </c>
      <c r="N899" t="str">
        <f>"DESPESAS COM EVENTOS"</f>
        <v>DESPESAS COM EVENTOS</v>
      </c>
      <c r="P899">
        <v>145</v>
      </c>
      <c r="Q899" t="str">
        <f>"LINHA E ARTE BORDADOS LTDA (20119)"</f>
        <v>LINHA E ARTE BORDADOS LTDA (20119)</v>
      </c>
      <c r="R899" t="str">
        <f t="shared" si="379"/>
        <v>BANCO CORA (102)</v>
      </c>
      <c r="S899">
        <v>3208</v>
      </c>
      <c r="T899">
        <v>2823</v>
      </c>
      <c r="U899" t="s">
        <v>21</v>
      </c>
    </row>
    <row r="900" spans="1:21">
      <c r="A900" t="str">
        <f t="shared" si="380"/>
        <v>25/11/2025</v>
      </c>
      <c r="B900" t="str">
        <f t="shared" si="377"/>
        <v>SAÍDA</v>
      </c>
      <c r="C900" t="str">
        <f>"TRANSFERENCIA"</f>
        <v>TRANSFERENCIA</v>
      </c>
      <c r="D900" t="str">
        <f>""</f>
        <v/>
      </c>
      <c r="E900" t="str">
        <f>"TRF"</f>
        <v>TRF</v>
      </c>
      <c r="F900" t="str">
        <f>""</f>
        <v/>
      </c>
      <c r="G900" t="str">
        <f>"TRANSFERENCIA ENTRE CONTAS (102-&gt;131)"</f>
        <v>TRANSFERENCIA ENTRE CONTAS (102-&gt;131)</v>
      </c>
      <c r="H900" t="str">
        <f t="shared" si="381"/>
        <v>25/11/2025</v>
      </c>
      <c r="I900" t="str">
        <f>("25/11/2025")</f>
        <v>25/11/2025</v>
      </c>
      <c r="J900" t="str">
        <f t="shared" si="382"/>
        <v>25/11/2025</v>
      </c>
      <c r="M900">
        <v>102</v>
      </c>
      <c r="N900" t="str">
        <f>"BANCO CORA"</f>
        <v>BANCO CORA</v>
      </c>
      <c r="O900">
        <v>50000</v>
      </c>
      <c r="R900" t="str">
        <f t="shared" si="379"/>
        <v>BANCO CORA (102)</v>
      </c>
      <c r="S900">
        <v>3330</v>
      </c>
      <c r="T900">
        <v>0</v>
      </c>
      <c r="U900" t="s">
        <v>21</v>
      </c>
    </row>
    <row r="901" spans="1:21">
      <c r="A901" t="str">
        <f t="shared" si="380"/>
        <v>25/11/2025</v>
      </c>
      <c r="B901" t="str">
        <f t="shared" ref="B901:B917" si="383">"ENTRADA"</f>
        <v>ENTRADA</v>
      </c>
      <c r="C901" t="str">
        <f>"TRANSFERENCIA"</f>
        <v>TRANSFERENCIA</v>
      </c>
      <c r="D901" t="str">
        <f>""</f>
        <v/>
      </c>
      <c r="E901" t="str">
        <f>"TRF"</f>
        <v>TRF</v>
      </c>
      <c r="F901" t="str">
        <f>""</f>
        <v/>
      </c>
      <c r="G901" t="str">
        <f>"TRANSFERENCIA ENTRE CONTAS (102-&gt;131)"</f>
        <v>TRANSFERENCIA ENTRE CONTAS (102-&gt;131)</v>
      </c>
      <c r="H901" t="str">
        <f t="shared" si="381"/>
        <v>25/11/2025</v>
      </c>
      <c r="I901" t="str">
        <f>("25/11/2025")</f>
        <v>25/11/2025</v>
      </c>
      <c r="J901" t="str">
        <f t="shared" si="382"/>
        <v>25/11/2025</v>
      </c>
      <c r="M901">
        <v>131</v>
      </c>
      <c r="N901" t="str">
        <f>"BANCO SICREDI"</f>
        <v>BANCO SICREDI</v>
      </c>
      <c r="O901">
        <v>50000</v>
      </c>
      <c r="R901" t="str">
        <f>"BANCO SICREDI (131)"</f>
        <v>BANCO SICREDI (131)</v>
      </c>
      <c r="S901">
        <v>3330</v>
      </c>
      <c r="T901">
        <v>0</v>
      </c>
      <c r="U901" t="s">
        <v>28</v>
      </c>
    </row>
    <row r="902" spans="1:21">
      <c r="A902" t="str">
        <f t="shared" si="380"/>
        <v>25/11/2025</v>
      </c>
      <c r="B902" t="str">
        <f t="shared" si="383"/>
        <v>ENTRADA</v>
      </c>
      <c r="C902" t="str">
        <f t="shared" ref="C902:C917" si="384">"NFSE"</f>
        <v>NFSE</v>
      </c>
      <c r="D902" t="str">
        <f>"3800"</f>
        <v>3800</v>
      </c>
      <c r="E902" t="str">
        <f t="shared" ref="E902:E933" si="385">"COM"</f>
        <v>COM</v>
      </c>
      <c r="F902" t="str">
        <f>"PAGMENOS - LJ 326 (10264)"</f>
        <v>PAGMENOS - LJ 326 (10264)</v>
      </c>
      <c r="G902" t="str">
        <f>"Serv.Prest. 03/11/2025 a 09/11/2025 - RPS: 1563 - NFSe: 3800"</f>
        <v>Serv.Prest. 03/11/2025 a 09/11/2025 - RPS: 1563 - NFSe: 3800</v>
      </c>
      <c r="H902" t="str">
        <f t="shared" ref="H902:H911" si="386">("21/11/2025")</f>
        <v>21/11/2025</v>
      </c>
      <c r="I902" t="str">
        <f t="shared" ref="I902:I911" si="387">("10/11/2025")</f>
        <v>10/11/2025</v>
      </c>
      <c r="J902" t="str">
        <f t="shared" si="382"/>
        <v>25/11/2025</v>
      </c>
      <c r="K902">
        <v>20</v>
      </c>
      <c r="L902">
        <v>20</v>
      </c>
      <c r="M902">
        <v>303</v>
      </c>
      <c r="N902" t="str">
        <f t="shared" ref="N902:N917" si="388">"RECEITAS COM ENTREGAS"</f>
        <v>RECEITAS COM ENTREGAS</v>
      </c>
      <c r="O902">
        <v>20</v>
      </c>
      <c r="R902" t="str">
        <f t="shared" ref="R902:R917" si="389">"RECEITAS COM ENTREGAS (303)"</f>
        <v>RECEITAS COM ENTREGAS (303)</v>
      </c>
      <c r="S902">
        <v>3331</v>
      </c>
      <c r="T902">
        <v>2509</v>
      </c>
      <c r="U902" t="s">
        <v>21</v>
      </c>
    </row>
    <row r="903" spans="1:21">
      <c r="A903" t="str">
        <f t="shared" si="380"/>
        <v>25/11/2025</v>
      </c>
      <c r="B903" t="str">
        <f t="shared" si="383"/>
        <v>ENTRADA</v>
      </c>
      <c r="C903" t="str">
        <f t="shared" si="384"/>
        <v>NFSE</v>
      </c>
      <c r="D903" t="str">
        <f>"3800"</f>
        <v>3800</v>
      </c>
      <c r="E903" t="str">
        <f t="shared" si="385"/>
        <v>COM</v>
      </c>
      <c r="F903" t="str">
        <f>"PAGMENOS - LJ 326 (10264)"</f>
        <v>PAGMENOS - LJ 326 (10264)</v>
      </c>
      <c r="G903" t="str">
        <f>"Serv.Prest. 03/11/2025 a 09/11/2025 - RPS: 1563 - NFSe: 3800"</f>
        <v>Serv.Prest. 03/11/2025 a 09/11/2025 - RPS: 1563 - NFSe: 3800</v>
      </c>
      <c r="H903" t="str">
        <f t="shared" si="386"/>
        <v>21/11/2025</v>
      </c>
      <c r="I903" t="str">
        <f t="shared" si="387"/>
        <v>10/11/2025</v>
      </c>
      <c r="J903" t="str">
        <f t="shared" si="382"/>
        <v>25/11/2025</v>
      </c>
      <c r="M903">
        <v>303</v>
      </c>
      <c r="N903" t="str">
        <f t="shared" si="388"/>
        <v>RECEITAS COM ENTREGAS</v>
      </c>
      <c r="P903">
        <v>20</v>
      </c>
      <c r="Q903" t="str">
        <f>"PAGMENOS - LJ 326 (10264)"</f>
        <v>PAGMENOS - LJ 326 (10264)</v>
      </c>
      <c r="R903" t="str">
        <f t="shared" si="389"/>
        <v>RECEITAS COM ENTREGAS (303)</v>
      </c>
      <c r="S903">
        <v>3331</v>
      </c>
      <c r="T903">
        <v>2509</v>
      </c>
      <c r="U903" t="s">
        <v>21</v>
      </c>
    </row>
    <row r="904" spans="1:21">
      <c r="A904" t="str">
        <f t="shared" si="380"/>
        <v>25/11/2025</v>
      </c>
      <c r="B904" t="str">
        <f t="shared" si="383"/>
        <v>ENTRADA</v>
      </c>
      <c r="C904" t="str">
        <f t="shared" si="384"/>
        <v>NFSE</v>
      </c>
      <c r="D904" t="str">
        <f>"3801"</f>
        <v>3801</v>
      </c>
      <c r="E904" t="str">
        <f t="shared" si="385"/>
        <v>COM</v>
      </c>
      <c r="F904" t="str">
        <f>"PAGMENOS - LJ 431 (10265)"</f>
        <v>PAGMENOS - LJ 431 (10265)</v>
      </c>
      <c r="G904" t="str">
        <f>"Serv.Prest. 03/11/2025 a 09/11/2025 - RPS: 1564 - NFSe: 3801"</f>
        <v>Serv.Prest. 03/11/2025 a 09/11/2025 - RPS: 1564 - NFSe: 3801</v>
      </c>
      <c r="H904" t="str">
        <f t="shared" si="386"/>
        <v>21/11/2025</v>
      </c>
      <c r="I904" t="str">
        <f t="shared" si="387"/>
        <v>10/11/2025</v>
      </c>
      <c r="J904" t="str">
        <f t="shared" si="382"/>
        <v>25/11/2025</v>
      </c>
      <c r="K904">
        <v>279.3</v>
      </c>
      <c r="L904">
        <v>279.3</v>
      </c>
      <c r="M904">
        <v>303</v>
      </c>
      <c r="N904" t="str">
        <f t="shared" si="388"/>
        <v>RECEITAS COM ENTREGAS</v>
      </c>
      <c r="O904">
        <v>279.3</v>
      </c>
      <c r="R904" t="str">
        <f t="shared" si="389"/>
        <v>RECEITAS COM ENTREGAS (303)</v>
      </c>
      <c r="S904">
        <v>3332</v>
      </c>
      <c r="T904">
        <v>2510</v>
      </c>
      <c r="U904" t="s">
        <v>21</v>
      </c>
    </row>
    <row r="905" spans="1:21">
      <c r="A905" t="str">
        <f t="shared" si="380"/>
        <v>25/11/2025</v>
      </c>
      <c r="B905" t="str">
        <f t="shared" si="383"/>
        <v>ENTRADA</v>
      </c>
      <c r="C905" t="str">
        <f t="shared" si="384"/>
        <v>NFSE</v>
      </c>
      <c r="D905" t="str">
        <f>"3801"</f>
        <v>3801</v>
      </c>
      <c r="E905" t="str">
        <f t="shared" si="385"/>
        <v>COM</v>
      </c>
      <c r="F905" t="str">
        <f>"PAGMENOS - LJ 431 (10265)"</f>
        <v>PAGMENOS - LJ 431 (10265)</v>
      </c>
      <c r="G905" t="str">
        <f>"Serv.Prest. 03/11/2025 a 09/11/2025 - RPS: 1564 - NFSe: 3801"</f>
        <v>Serv.Prest. 03/11/2025 a 09/11/2025 - RPS: 1564 - NFSe: 3801</v>
      </c>
      <c r="H905" t="str">
        <f t="shared" si="386"/>
        <v>21/11/2025</v>
      </c>
      <c r="I905" t="str">
        <f t="shared" si="387"/>
        <v>10/11/2025</v>
      </c>
      <c r="J905" t="str">
        <f t="shared" si="382"/>
        <v>25/11/2025</v>
      </c>
      <c r="M905">
        <v>303</v>
      </c>
      <c r="N905" t="str">
        <f t="shared" si="388"/>
        <v>RECEITAS COM ENTREGAS</v>
      </c>
      <c r="P905">
        <v>279.3</v>
      </c>
      <c r="Q905" t="str">
        <f>"PAGMENOS - LJ 431 (10265)"</f>
        <v>PAGMENOS - LJ 431 (10265)</v>
      </c>
      <c r="R905" t="str">
        <f t="shared" si="389"/>
        <v>RECEITAS COM ENTREGAS (303)</v>
      </c>
      <c r="S905">
        <v>3332</v>
      </c>
      <c r="T905">
        <v>2510</v>
      </c>
      <c r="U905" t="s">
        <v>21</v>
      </c>
    </row>
    <row r="906" spans="1:21">
      <c r="A906" t="str">
        <f t="shared" si="380"/>
        <v>25/11/2025</v>
      </c>
      <c r="B906" t="str">
        <f t="shared" si="383"/>
        <v>ENTRADA</v>
      </c>
      <c r="C906" t="str">
        <f t="shared" si="384"/>
        <v>NFSE</v>
      </c>
      <c r="D906" t="str">
        <f>"3803"</f>
        <v>3803</v>
      </c>
      <c r="E906" t="str">
        <f t="shared" si="385"/>
        <v>COM</v>
      </c>
      <c r="F906" t="str">
        <f>"PAGMENOS - LJ 608 (10135)"</f>
        <v>PAGMENOS - LJ 608 (10135)</v>
      </c>
      <c r="G906" t="str">
        <f>"Serv.Prest. 03/11/2025 a 09/11/2025 - RPS: 1566 - NFSe: 3803"</f>
        <v>Serv.Prest. 03/11/2025 a 09/11/2025 - RPS: 1566 - NFSe: 3803</v>
      </c>
      <c r="H906" t="str">
        <f t="shared" si="386"/>
        <v>21/11/2025</v>
      </c>
      <c r="I906" t="str">
        <f t="shared" si="387"/>
        <v>10/11/2025</v>
      </c>
      <c r="J906" t="str">
        <f t="shared" si="382"/>
        <v>25/11/2025</v>
      </c>
      <c r="K906">
        <v>220.25</v>
      </c>
      <c r="L906">
        <v>220.25</v>
      </c>
      <c r="M906">
        <v>303</v>
      </c>
      <c r="N906" t="str">
        <f t="shared" si="388"/>
        <v>RECEITAS COM ENTREGAS</v>
      </c>
      <c r="O906">
        <v>220.25</v>
      </c>
      <c r="R906" t="str">
        <f t="shared" si="389"/>
        <v>RECEITAS COM ENTREGAS (303)</v>
      </c>
      <c r="S906">
        <v>3333</v>
      </c>
      <c r="T906">
        <v>2512</v>
      </c>
      <c r="U906" t="s">
        <v>21</v>
      </c>
    </row>
    <row r="907" spans="1:21">
      <c r="A907" t="str">
        <f t="shared" si="380"/>
        <v>25/11/2025</v>
      </c>
      <c r="B907" t="str">
        <f t="shared" si="383"/>
        <v>ENTRADA</v>
      </c>
      <c r="C907" t="str">
        <f t="shared" si="384"/>
        <v>NFSE</v>
      </c>
      <c r="D907" t="str">
        <f>"3803"</f>
        <v>3803</v>
      </c>
      <c r="E907" t="str">
        <f t="shared" si="385"/>
        <v>COM</v>
      </c>
      <c r="F907" t="str">
        <f>"PAGMENOS - LJ 608 (10135)"</f>
        <v>PAGMENOS - LJ 608 (10135)</v>
      </c>
      <c r="G907" t="str">
        <f>"Serv.Prest. 03/11/2025 a 09/11/2025 - RPS: 1566 - NFSe: 3803"</f>
        <v>Serv.Prest. 03/11/2025 a 09/11/2025 - RPS: 1566 - NFSe: 3803</v>
      </c>
      <c r="H907" t="str">
        <f t="shared" si="386"/>
        <v>21/11/2025</v>
      </c>
      <c r="I907" t="str">
        <f t="shared" si="387"/>
        <v>10/11/2025</v>
      </c>
      <c r="J907" t="str">
        <f t="shared" si="382"/>
        <v>25/11/2025</v>
      </c>
      <c r="M907">
        <v>303</v>
      </c>
      <c r="N907" t="str">
        <f t="shared" si="388"/>
        <v>RECEITAS COM ENTREGAS</v>
      </c>
      <c r="P907">
        <v>220.25</v>
      </c>
      <c r="Q907" t="str">
        <f>"PAGMENOS - LJ 608 (10135)"</f>
        <v>PAGMENOS - LJ 608 (10135)</v>
      </c>
      <c r="R907" t="str">
        <f t="shared" si="389"/>
        <v>RECEITAS COM ENTREGAS (303)</v>
      </c>
      <c r="S907">
        <v>3333</v>
      </c>
      <c r="T907">
        <v>2512</v>
      </c>
      <c r="U907" t="s">
        <v>21</v>
      </c>
    </row>
    <row r="908" spans="1:21">
      <c r="A908" t="str">
        <f t="shared" si="380"/>
        <v>25/11/2025</v>
      </c>
      <c r="B908" t="str">
        <f t="shared" si="383"/>
        <v>ENTRADA</v>
      </c>
      <c r="C908" t="str">
        <f t="shared" si="384"/>
        <v>NFSE</v>
      </c>
      <c r="D908" t="str">
        <f>"3804"</f>
        <v>3804</v>
      </c>
      <c r="E908" t="str">
        <f t="shared" si="385"/>
        <v>COM</v>
      </c>
      <c r="F908" t="str">
        <f>"PAGMENOS - LJ 657 (10136)"</f>
        <v>PAGMENOS - LJ 657 (10136)</v>
      </c>
      <c r="G908" t="str">
        <f>"Serv.Prest. 03/11/2025 a 09/11/2025 - RPS: 1567 - NFSe: 3804"</f>
        <v>Serv.Prest. 03/11/2025 a 09/11/2025 - RPS: 1567 - NFSe: 3804</v>
      </c>
      <c r="H908" t="str">
        <f t="shared" si="386"/>
        <v>21/11/2025</v>
      </c>
      <c r="I908" t="str">
        <f t="shared" si="387"/>
        <v>10/11/2025</v>
      </c>
      <c r="J908" t="str">
        <f t="shared" si="382"/>
        <v>25/11/2025</v>
      </c>
      <c r="K908">
        <v>550.62</v>
      </c>
      <c r="L908">
        <v>550.62</v>
      </c>
      <c r="M908">
        <v>303</v>
      </c>
      <c r="N908" t="str">
        <f t="shared" si="388"/>
        <v>RECEITAS COM ENTREGAS</v>
      </c>
      <c r="O908">
        <v>550.62</v>
      </c>
      <c r="R908" t="str">
        <f t="shared" si="389"/>
        <v>RECEITAS COM ENTREGAS (303)</v>
      </c>
      <c r="S908">
        <v>3334</v>
      </c>
      <c r="T908">
        <v>2513</v>
      </c>
      <c r="U908" t="s">
        <v>21</v>
      </c>
    </row>
    <row r="909" spans="1:21">
      <c r="A909" t="str">
        <f t="shared" si="380"/>
        <v>25/11/2025</v>
      </c>
      <c r="B909" t="str">
        <f t="shared" si="383"/>
        <v>ENTRADA</v>
      </c>
      <c r="C909" t="str">
        <f t="shared" si="384"/>
        <v>NFSE</v>
      </c>
      <c r="D909" t="str">
        <f>"3804"</f>
        <v>3804</v>
      </c>
      <c r="E909" t="str">
        <f t="shared" si="385"/>
        <v>COM</v>
      </c>
      <c r="F909" t="str">
        <f>"PAGMENOS - LJ 657 (10136)"</f>
        <v>PAGMENOS - LJ 657 (10136)</v>
      </c>
      <c r="G909" t="str">
        <f>"Serv.Prest. 03/11/2025 a 09/11/2025 - RPS: 1567 - NFSe: 3804"</f>
        <v>Serv.Prest. 03/11/2025 a 09/11/2025 - RPS: 1567 - NFSe: 3804</v>
      </c>
      <c r="H909" t="str">
        <f t="shared" si="386"/>
        <v>21/11/2025</v>
      </c>
      <c r="I909" t="str">
        <f t="shared" si="387"/>
        <v>10/11/2025</v>
      </c>
      <c r="J909" t="str">
        <f t="shared" si="382"/>
        <v>25/11/2025</v>
      </c>
      <c r="M909">
        <v>303</v>
      </c>
      <c r="N909" t="str">
        <f t="shared" si="388"/>
        <v>RECEITAS COM ENTREGAS</v>
      </c>
      <c r="P909">
        <v>550.62</v>
      </c>
      <c r="Q909" t="str">
        <f>"PAGMENOS - LJ 657 (10136)"</f>
        <v>PAGMENOS - LJ 657 (10136)</v>
      </c>
      <c r="R909" t="str">
        <f t="shared" si="389"/>
        <v>RECEITAS COM ENTREGAS (303)</v>
      </c>
      <c r="S909">
        <v>3334</v>
      </c>
      <c r="T909">
        <v>2513</v>
      </c>
      <c r="U909" t="s">
        <v>21</v>
      </c>
    </row>
    <row r="910" spans="1:21">
      <c r="A910" t="str">
        <f t="shared" si="380"/>
        <v>25/11/2025</v>
      </c>
      <c r="B910" t="str">
        <f t="shared" si="383"/>
        <v>ENTRADA</v>
      </c>
      <c r="C910" t="str">
        <f t="shared" si="384"/>
        <v>NFSE</v>
      </c>
      <c r="D910" t="str">
        <f>"3802"</f>
        <v>3802</v>
      </c>
      <c r="E910" t="str">
        <f t="shared" si="385"/>
        <v>COM</v>
      </c>
      <c r="F910" t="str">
        <f>"PAGMENOS - LJ 768 (10266)"</f>
        <v>PAGMENOS - LJ 768 (10266)</v>
      </c>
      <c r="G910" t="str">
        <f>"Serv.Prest. 03/11/2025 a 09/11/2025 - RPS: 1565 - NFSe: 3802"</f>
        <v>Serv.Prest. 03/11/2025 a 09/11/2025 - RPS: 1565 - NFSe: 3802</v>
      </c>
      <c r="H910" t="str">
        <f t="shared" si="386"/>
        <v>21/11/2025</v>
      </c>
      <c r="I910" t="str">
        <f t="shared" si="387"/>
        <v>10/11/2025</v>
      </c>
      <c r="J910" t="str">
        <f t="shared" si="382"/>
        <v>25/11/2025</v>
      </c>
      <c r="K910">
        <v>245.1</v>
      </c>
      <c r="L910">
        <v>245.1</v>
      </c>
      <c r="M910">
        <v>303</v>
      </c>
      <c r="N910" t="str">
        <f t="shared" si="388"/>
        <v>RECEITAS COM ENTREGAS</v>
      </c>
      <c r="O910">
        <v>245.1</v>
      </c>
      <c r="R910" t="str">
        <f t="shared" si="389"/>
        <v>RECEITAS COM ENTREGAS (303)</v>
      </c>
      <c r="S910">
        <v>3335</v>
      </c>
      <c r="T910">
        <v>2511</v>
      </c>
      <c r="U910" t="s">
        <v>21</v>
      </c>
    </row>
    <row r="911" spans="1:21">
      <c r="A911" t="str">
        <f t="shared" si="380"/>
        <v>25/11/2025</v>
      </c>
      <c r="B911" t="str">
        <f t="shared" si="383"/>
        <v>ENTRADA</v>
      </c>
      <c r="C911" t="str">
        <f t="shared" si="384"/>
        <v>NFSE</v>
      </c>
      <c r="D911" t="str">
        <f>"3802"</f>
        <v>3802</v>
      </c>
      <c r="E911" t="str">
        <f t="shared" si="385"/>
        <v>COM</v>
      </c>
      <c r="F911" t="str">
        <f>"PAGMENOS - LJ 768 (10266)"</f>
        <v>PAGMENOS - LJ 768 (10266)</v>
      </c>
      <c r="G911" t="str">
        <f>"Serv.Prest. 03/11/2025 a 09/11/2025 - RPS: 1565 - NFSe: 3802"</f>
        <v>Serv.Prest. 03/11/2025 a 09/11/2025 - RPS: 1565 - NFSe: 3802</v>
      </c>
      <c r="H911" t="str">
        <f t="shared" si="386"/>
        <v>21/11/2025</v>
      </c>
      <c r="I911" t="str">
        <f t="shared" si="387"/>
        <v>10/11/2025</v>
      </c>
      <c r="J911" t="str">
        <f t="shared" si="382"/>
        <v>25/11/2025</v>
      </c>
      <c r="M911">
        <v>303</v>
      </c>
      <c r="N911" t="str">
        <f t="shared" si="388"/>
        <v>RECEITAS COM ENTREGAS</v>
      </c>
      <c r="P911">
        <v>245.1</v>
      </c>
      <c r="Q911" t="str">
        <f>"PAGMENOS - LJ 768 (10266)"</f>
        <v>PAGMENOS - LJ 768 (10266)</v>
      </c>
      <c r="R911" t="str">
        <f t="shared" si="389"/>
        <v>RECEITAS COM ENTREGAS (303)</v>
      </c>
      <c r="S911">
        <v>3335</v>
      </c>
      <c r="T911">
        <v>2511</v>
      </c>
      <c r="U911" t="s">
        <v>21</v>
      </c>
    </row>
    <row r="912" spans="1:21">
      <c r="A912" t="str">
        <f t="shared" si="380"/>
        <v>25/11/2025</v>
      </c>
      <c r="B912" t="str">
        <f t="shared" si="383"/>
        <v>ENTRADA</v>
      </c>
      <c r="C912" t="str">
        <f t="shared" si="384"/>
        <v>NFSE</v>
      </c>
      <c r="D912" t="str">
        <f t="shared" ref="D912:D917" si="390">"3866"</f>
        <v>3866</v>
      </c>
      <c r="E912" t="str">
        <f t="shared" si="385"/>
        <v>COM</v>
      </c>
      <c r="F912" t="str">
        <f t="shared" ref="F912:F917" si="391">"DROGALIDER 31 (10256)"</f>
        <v>DROGALIDER 31 (10256)</v>
      </c>
      <c r="G912" t="str">
        <f t="shared" ref="G912:G917" si="392">"Serv.Prest. 10/11/2025 a 16/11/2025 - RPS: 1629 - NFSe: 3866"</f>
        <v>Serv.Prest. 10/11/2025 a 16/11/2025 - RPS: 1629 - NFSe: 3866</v>
      </c>
      <c r="H912" t="str">
        <f t="shared" ref="H912:H917" si="393">("24/11/2025")</f>
        <v>24/11/2025</v>
      </c>
      <c r="I912" t="str">
        <f t="shared" ref="I912:I917" si="394">("19/11/2025")</f>
        <v>19/11/2025</v>
      </c>
      <c r="J912" t="str">
        <f t="shared" si="382"/>
        <v>25/11/2025</v>
      </c>
      <c r="K912">
        <v>450</v>
      </c>
      <c r="L912">
        <v>450</v>
      </c>
      <c r="M912">
        <v>303</v>
      </c>
      <c r="N912" t="str">
        <f t="shared" si="388"/>
        <v>RECEITAS COM ENTREGAS</v>
      </c>
      <c r="O912">
        <v>450</v>
      </c>
      <c r="R912" t="str">
        <f t="shared" si="389"/>
        <v>RECEITAS COM ENTREGAS (303)</v>
      </c>
      <c r="S912">
        <v>3336</v>
      </c>
      <c r="T912">
        <v>2748</v>
      </c>
      <c r="U912" t="s">
        <v>21</v>
      </c>
    </row>
    <row r="913" spans="1:21">
      <c r="A913" t="str">
        <f t="shared" si="380"/>
        <v>25/11/2025</v>
      </c>
      <c r="B913" t="str">
        <f t="shared" si="383"/>
        <v>ENTRADA</v>
      </c>
      <c r="C913" t="str">
        <f t="shared" si="384"/>
        <v>NFSE</v>
      </c>
      <c r="D913" t="str">
        <f t="shared" si="390"/>
        <v>3866</v>
      </c>
      <c r="E913" t="str">
        <f t="shared" si="385"/>
        <v>COM</v>
      </c>
      <c r="F913" t="str">
        <f t="shared" si="391"/>
        <v>DROGALIDER 31 (10256)</v>
      </c>
      <c r="G913" t="str">
        <f t="shared" si="392"/>
        <v>Serv.Prest. 10/11/2025 a 16/11/2025 - RPS: 1629 - NFSe: 3866</v>
      </c>
      <c r="H913" t="str">
        <f t="shared" si="393"/>
        <v>24/11/2025</v>
      </c>
      <c r="I913" t="str">
        <f t="shared" si="394"/>
        <v>19/11/2025</v>
      </c>
      <c r="J913" t="str">
        <f t="shared" si="382"/>
        <v>25/11/2025</v>
      </c>
      <c r="M913">
        <v>303</v>
      </c>
      <c r="N913" t="str">
        <f t="shared" si="388"/>
        <v>RECEITAS COM ENTREGAS</v>
      </c>
      <c r="P913">
        <v>90</v>
      </c>
      <c r="Q913" t="str">
        <f>"DROGALIDER 42 (10247)"</f>
        <v>DROGALIDER 42 (10247)</v>
      </c>
      <c r="R913" t="str">
        <f t="shared" si="389"/>
        <v>RECEITAS COM ENTREGAS (303)</v>
      </c>
      <c r="S913">
        <v>3336</v>
      </c>
      <c r="T913">
        <v>2748</v>
      </c>
      <c r="U913" t="s">
        <v>21</v>
      </c>
    </row>
    <row r="914" spans="1:21">
      <c r="A914" t="str">
        <f t="shared" si="380"/>
        <v>25/11/2025</v>
      </c>
      <c r="B914" t="str">
        <f t="shared" si="383"/>
        <v>ENTRADA</v>
      </c>
      <c r="C914" t="str">
        <f t="shared" si="384"/>
        <v>NFSE</v>
      </c>
      <c r="D914" t="str">
        <f t="shared" si="390"/>
        <v>3866</v>
      </c>
      <c r="E914" t="str">
        <f t="shared" si="385"/>
        <v>COM</v>
      </c>
      <c r="F914" t="str">
        <f t="shared" si="391"/>
        <v>DROGALIDER 31 (10256)</v>
      </c>
      <c r="G914" t="str">
        <f t="shared" si="392"/>
        <v>Serv.Prest. 10/11/2025 a 16/11/2025 - RPS: 1629 - NFSe: 3866</v>
      </c>
      <c r="H914" t="str">
        <f t="shared" si="393"/>
        <v>24/11/2025</v>
      </c>
      <c r="I914" t="str">
        <f t="shared" si="394"/>
        <v>19/11/2025</v>
      </c>
      <c r="J914" t="str">
        <f t="shared" si="382"/>
        <v>25/11/2025</v>
      </c>
      <c r="M914">
        <v>303</v>
      </c>
      <c r="N914" t="str">
        <f t="shared" si="388"/>
        <v>RECEITAS COM ENTREGAS</v>
      </c>
      <c r="P914">
        <v>90</v>
      </c>
      <c r="Q914" t="str">
        <f>"DROGALIDER 55 (10249)"</f>
        <v>DROGALIDER 55 (10249)</v>
      </c>
      <c r="R914" t="str">
        <f t="shared" si="389"/>
        <v>RECEITAS COM ENTREGAS (303)</v>
      </c>
      <c r="S914">
        <v>3336</v>
      </c>
      <c r="T914">
        <v>2748</v>
      </c>
      <c r="U914" t="s">
        <v>21</v>
      </c>
    </row>
    <row r="915" spans="1:21">
      <c r="A915" t="str">
        <f t="shared" si="380"/>
        <v>25/11/2025</v>
      </c>
      <c r="B915" t="str">
        <f t="shared" si="383"/>
        <v>ENTRADA</v>
      </c>
      <c r="C915" t="str">
        <f t="shared" si="384"/>
        <v>NFSE</v>
      </c>
      <c r="D915" t="str">
        <f t="shared" si="390"/>
        <v>3866</v>
      </c>
      <c r="E915" t="str">
        <f t="shared" si="385"/>
        <v>COM</v>
      </c>
      <c r="F915" t="str">
        <f t="shared" si="391"/>
        <v>DROGALIDER 31 (10256)</v>
      </c>
      <c r="G915" t="str">
        <f t="shared" si="392"/>
        <v>Serv.Prest. 10/11/2025 a 16/11/2025 - RPS: 1629 - NFSe: 3866</v>
      </c>
      <c r="H915" t="str">
        <f t="shared" si="393"/>
        <v>24/11/2025</v>
      </c>
      <c r="I915" t="str">
        <f t="shared" si="394"/>
        <v>19/11/2025</v>
      </c>
      <c r="J915" t="str">
        <f t="shared" si="382"/>
        <v>25/11/2025</v>
      </c>
      <c r="M915">
        <v>303</v>
      </c>
      <c r="N915" t="str">
        <f t="shared" si="388"/>
        <v>RECEITAS COM ENTREGAS</v>
      </c>
      <c r="P915">
        <v>75.02</v>
      </c>
      <c r="Q915" t="str">
        <f>"DROGALIDER 67 (10252)"</f>
        <v>DROGALIDER 67 (10252)</v>
      </c>
      <c r="R915" t="str">
        <f t="shared" si="389"/>
        <v>RECEITAS COM ENTREGAS (303)</v>
      </c>
      <c r="S915">
        <v>3336</v>
      </c>
      <c r="T915">
        <v>2748</v>
      </c>
      <c r="U915" t="s">
        <v>21</v>
      </c>
    </row>
    <row r="916" spans="1:21">
      <c r="A916" t="str">
        <f t="shared" si="380"/>
        <v>25/11/2025</v>
      </c>
      <c r="B916" t="str">
        <f t="shared" si="383"/>
        <v>ENTRADA</v>
      </c>
      <c r="C916" t="str">
        <f t="shared" si="384"/>
        <v>NFSE</v>
      </c>
      <c r="D916" t="str">
        <f t="shared" si="390"/>
        <v>3866</v>
      </c>
      <c r="E916" t="str">
        <f t="shared" si="385"/>
        <v>COM</v>
      </c>
      <c r="F916" t="str">
        <f t="shared" si="391"/>
        <v>DROGALIDER 31 (10256)</v>
      </c>
      <c r="G916" t="str">
        <f t="shared" si="392"/>
        <v>Serv.Prest. 10/11/2025 a 16/11/2025 - RPS: 1629 - NFSe: 3866</v>
      </c>
      <c r="H916" t="str">
        <f t="shared" si="393"/>
        <v>24/11/2025</v>
      </c>
      <c r="I916" t="str">
        <f t="shared" si="394"/>
        <v>19/11/2025</v>
      </c>
      <c r="J916" t="str">
        <f t="shared" si="382"/>
        <v>25/11/2025</v>
      </c>
      <c r="M916">
        <v>303</v>
      </c>
      <c r="N916" t="str">
        <f t="shared" si="388"/>
        <v>RECEITAS COM ENTREGAS</v>
      </c>
      <c r="P916">
        <v>73.48</v>
      </c>
      <c r="Q916" t="str">
        <f>"DROGALIDER 68 (10253)"</f>
        <v>DROGALIDER 68 (10253)</v>
      </c>
      <c r="R916" t="str">
        <f t="shared" si="389"/>
        <v>RECEITAS COM ENTREGAS (303)</v>
      </c>
      <c r="S916">
        <v>3336</v>
      </c>
      <c r="T916">
        <v>2748</v>
      </c>
      <c r="U916" t="s">
        <v>21</v>
      </c>
    </row>
    <row r="917" spans="1:21">
      <c r="A917" t="str">
        <f t="shared" si="380"/>
        <v>25/11/2025</v>
      </c>
      <c r="B917" t="str">
        <f t="shared" si="383"/>
        <v>ENTRADA</v>
      </c>
      <c r="C917" t="str">
        <f t="shared" si="384"/>
        <v>NFSE</v>
      </c>
      <c r="D917" t="str">
        <f t="shared" si="390"/>
        <v>3866</v>
      </c>
      <c r="E917" t="str">
        <f t="shared" si="385"/>
        <v>COM</v>
      </c>
      <c r="F917" t="str">
        <f t="shared" si="391"/>
        <v>DROGALIDER 31 (10256)</v>
      </c>
      <c r="G917" t="str">
        <f t="shared" si="392"/>
        <v>Serv.Prest. 10/11/2025 a 16/11/2025 - RPS: 1629 - NFSe: 3866</v>
      </c>
      <c r="H917" t="str">
        <f t="shared" si="393"/>
        <v>24/11/2025</v>
      </c>
      <c r="I917" t="str">
        <f t="shared" si="394"/>
        <v>19/11/2025</v>
      </c>
      <c r="J917" t="str">
        <f t="shared" si="382"/>
        <v>25/11/2025</v>
      </c>
      <c r="M917">
        <v>303</v>
      </c>
      <c r="N917" t="str">
        <f t="shared" si="388"/>
        <v>RECEITAS COM ENTREGAS</v>
      </c>
      <c r="P917">
        <v>121.5</v>
      </c>
      <c r="Q917" t="str">
        <f>"DROGALIDER 31 (10256)"</f>
        <v>DROGALIDER 31 (10256)</v>
      </c>
      <c r="R917" t="str">
        <f t="shared" si="389"/>
        <v>RECEITAS COM ENTREGAS (303)</v>
      </c>
      <c r="S917">
        <v>3336</v>
      </c>
      <c r="T917">
        <v>2748</v>
      </c>
      <c r="U917" t="s">
        <v>21</v>
      </c>
    </row>
    <row r="918" spans="1:21">
      <c r="A918" t="str">
        <f t="shared" si="380"/>
        <v>25/11/2025</v>
      </c>
      <c r="B918" t="str">
        <f>"SAÍDA"</f>
        <v>SAÍDA</v>
      </c>
      <c r="C918" t="str">
        <f>"BOLETO"</f>
        <v>BOLETO</v>
      </c>
      <c r="D918" t="str">
        <f>"011125"</f>
        <v>011125</v>
      </c>
      <c r="E918" t="str">
        <f t="shared" si="385"/>
        <v>COM</v>
      </c>
      <c r="F918" t="str">
        <f>"CORA SOCIEDADE DE CREDITO, FINANCIAMENTO E INVESTIMENTO (20035)"</f>
        <v>CORA SOCIEDADE DE CREDITO, FINANCIAMENTO E INVESTIMENTO (20035)</v>
      </c>
      <c r="G918" t="str">
        <f>"TAXA BOLETO CORA"</f>
        <v>TAXA BOLETO CORA</v>
      </c>
      <c r="H918" t="str">
        <f>("25/11/2025")</f>
        <v>25/11/2025</v>
      </c>
      <c r="I918" t="str">
        <f>("01/11/2025")</f>
        <v>01/11/2025</v>
      </c>
      <c r="J918" t="str">
        <f t="shared" si="382"/>
        <v>25/11/2025</v>
      </c>
      <c r="K918">
        <v>1.7</v>
      </c>
      <c r="L918">
        <v>1.7</v>
      </c>
      <c r="M918">
        <v>401</v>
      </c>
      <c r="N918" t="str">
        <f>"IOF/JUROS/DESP.FINANCEIRA"</f>
        <v>IOF/JUROS/DESP.FINANCEIRA</v>
      </c>
      <c r="O918">
        <v>1.7</v>
      </c>
      <c r="R918" t="str">
        <f>"BANCO CORA (102)"</f>
        <v>BANCO CORA (102)</v>
      </c>
      <c r="S918">
        <v>3348</v>
      </c>
      <c r="T918">
        <v>2931</v>
      </c>
      <c r="U918" t="s">
        <v>21</v>
      </c>
    </row>
    <row r="919" spans="1:21">
      <c r="A919" t="str">
        <f t="shared" si="380"/>
        <v>25/11/2025</v>
      </c>
      <c r="B919" t="str">
        <f>"SAÍDA"</f>
        <v>SAÍDA</v>
      </c>
      <c r="C919" t="str">
        <f>"BOLETO"</f>
        <v>BOLETO</v>
      </c>
      <c r="D919" t="str">
        <f>"011125"</f>
        <v>011125</v>
      </c>
      <c r="E919" t="str">
        <f t="shared" si="385"/>
        <v>COM</v>
      </c>
      <c r="F919" t="str">
        <f>"CORA SOCIEDADE DE CREDITO, FINANCIAMENTO E INVESTIMENTO (20035)"</f>
        <v>CORA SOCIEDADE DE CREDITO, FINANCIAMENTO E INVESTIMENTO (20035)</v>
      </c>
      <c r="G919" t="str">
        <f>"TAXA BOLETO CORA"</f>
        <v>TAXA BOLETO CORA</v>
      </c>
      <c r="H919" t="str">
        <f>("25/11/2025")</f>
        <v>25/11/2025</v>
      </c>
      <c r="I919" t="str">
        <f>("01/11/2025")</f>
        <v>01/11/2025</v>
      </c>
      <c r="J919" t="str">
        <f t="shared" si="382"/>
        <v>25/11/2025</v>
      </c>
      <c r="M919">
        <v>401</v>
      </c>
      <c r="N919" t="str">
        <f>"IOF/JUROS/DESP.FINANCEIRA"</f>
        <v>IOF/JUROS/DESP.FINANCEIRA</v>
      </c>
      <c r="P919">
        <v>1.7</v>
      </c>
      <c r="Q919" t="str">
        <f>"CORA SOCIEDADE DE CREDITO, FINANCIAMENTO E INVESTIMENTO (20035)"</f>
        <v>CORA SOCIEDADE DE CREDITO, FINANCIAMENTO E INVESTIMENTO (20035)</v>
      </c>
      <c r="R919" t="str">
        <f>"BANCO CORA (102)"</f>
        <v>BANCO CORA (102)</v>
      </c>
      <c r="S919">
        <v>3348</v>
      </c>
      <c r="T919">
        <v>2931</v>
      </c>
      <c r="U919" t="s">
        <v>21</v>
      </c>
    </row>
    <row r="920" spans="1:21">
      <c r="A920" t="str">
        <f t="shared" ref="A920:A951" si="395">("26/11/2025")</f>
        <v>26/11/2025</v>
      </c>
      <c r="B920" t="str">
        <f t="shared" ref="B920:B951" si="396">"ENTRADA"</f>
        <v>ENTRADA</v>
      </c>
      <c r="C920" t="str">
        <f t="shared" ref="C920:C951" si="397">"NFSE"</f>
        <v>NFSE</v>
      </c>
      <c r="D920" t="str">
        <f t="shared" ref="D920:D951" si="398">"3857"</f>
        <v>3857</v>
      </c>
      <c r="E920" t="str">
        <f t="shared" si="385"/>
        <v>COM</v>
      </c>
      <c r="F920" t="str">
        <f t="shared" ref="F920:F951" si="399">"FARMÁCIA INDIANA LJ 1 (10126)"</f>
        <v>FARMÁCIA INDIANA LJ 1 (10126)</v>
      </c>
      <c r="G920" t="str">
        <f t="shared" ref="G920:G951" si="400">"Serv.Prest. 10/11/2025 a 16/11/2025 - RPS: 1620 - NFSe: 3857"</f>
        <v>Serv.Prest. 10/11/2025 a 16/11/2025 - RPS: 1620 - NFSe: 3857</v>
      </c>
      <c r="H920" t="str">
        <f t="shared" ref="H920:H983" si="401">("26/11/2025")</f>
        <v>26/11/2025</v>
      </c>
      <c r="I920" t="str">
        <f t="shared" ref="I920:I951" si="402">("18/11/2025")</f>
        <v>18/11/2025</v>
      </c>
      <c r="J920" t="str">
        <f t="shared" ref="J920:J951" si="403">("26/11/2025")</f>
        <v>26/11/2025</v>
      </c>
      <c r="K920">
        <v>12963.94</v>
      </c>
      <c r="L920">
        <v>12963.94</v>
      </c>
      <c r="M920">
        <v>303</v>
      </c>
      <c r="N920" t="str">
        <f t="shared" ref="N920:N951" si="404">"RECEITAS COM ENTREGAS"</f>
        <v>RECEITAS COM ENTREGAS</v>
      </c>
      <c r="O920">
        <v>12963.94</v>
      </c>
      <c r="R920" t="str">
        <f t="shared" ref="R920:R951" si="405">"RECEITAS COM ENTREGAS (303)"</f>
        <v>RECEITAS COM ENTREGAS (303)</v>
      </c>
      <c r="S920">
        <v>3289</v>
      </c>
      <c r="T920">
        <v>2661</v>
      </c>
      <c r="U920" t="s">
        <v>21</v>
      </c>
    </row>
    <row r="921" spans="1:21">
      <c r="A921" t="str">
        <f t="shared" si="395"/>
        <v>26/11/2025</v>
      </c>
      <c r="B921" t="str">
        <f t="shared" si="396"/>
        <v>ENTRADA</v>
      </c>
      <c r="C921" t="str">
        <f t="shared" si="397"/>
        <v>NFSE</v>
      </c>
      <c r="D921" t="str">
        <f t="shared" si="398"/>
        <v>3857</v>
      </c>
      <c r="E921" t="str">
        <f t="shared" si="385"/>
        <v>COM</v>
      </c>
      <c r="F921" t="str">
        <f t="shared" si="399"/>
        <v>FARMÁCIA INDIANA LJ 1 (10126)</v>
      </c>
      <c r="G921" t="str">
        <f t="shared" si="400"/>
        <v>Serv.Prest. 10/11/2025 a 16/11/2025 - RPS: 1620 - NFSe: 3857</v>
      </c>
      <c r="H921" t="str">
        <f t="shared" si="401"/>
        <v>26/11/2025</v>
      </c>
      <c r="I921" t="str">
        <f t="shared" si="402"/>
        <v>18/11/2025</v>
      </c>
      <c r="J921" t="str">
        <f t="shared" si="403"/>
        <v>26/11/2025</v>
      </c>
      <c r="M921">
        <v>303</v>
      </c>
      <c r="N921" t="str">
        <f t="shared" si="404"/>
        <v>RECEITAS COM ENTREGAS</v>
      </c>
      <c r="P921">
        <v>1974.45</v>
      </c>
      <c r="Q921" t="str">
        <f>"FARMÁCIA INDIANA LJ 06 (10006)"</f>
        <v>FARMÁCIA INDIANA LJ 06 (10006)</v>
      </c>
      <c r="R921" t="str">
        <f t="shared" si="405"/>
        <v>RECEITAS COM ENTREGAS (303)</v>
      </c>
      <c r="S921">
        <v>3289</v>
      </c>
      <c r="T921">
        <v>2661</v>
      </c>
      <c r="U921" t="s">
        <v>21</v>
      </c>
    </row>
    <row r="922" spans="1:21">
      <c r="A922" t="str">
        <f t="shared" si="395"/>
        <v>26/11/2025</v>
      </c>
      <c r="B922" t="str">
        <f t="shared" si="396"/>
        <v>ENTRADA</v>
      </c>
      <c r="C922" t="str">
        <f t="shared" si="397"/>
        <v>NFSE</v>
      </c>
      <c r="D922" t="str">
        <f t="shared" si="398"/>
        <v>3857</v>
      </c>
      <c r="E922" t="str">
        <f t="shared" si="385"/>
        <v>COM</v>
      </c>
      <c r="F922" t="str">
        <f t="shared" si="399"/>
        <v>FARMÁCIA INDIANA LJ 1 (10126)</v>
      </c>
      <c r="G922" t="str">
        <f t="shared" si="400"/>
        <v>Serv.Prest. 10/11/2025 a 16/11/2025 - RPS: 1620 - NFSe: 3857</v>
      </c>
      <c r="H922" t="str">
        <f t="shared" si="401"/>
        <v>26/11/2025</v>
      </c>
      <c r="I922" t="str">
        <f t="shared" si="402"/>
        <v>18/11/2025</v>
      </c>
      <c r="J922" t="str">
        <f t="shared" si="403"/>
        <v>26/11/2025</v>
      </c>
      <c r="M922">
        <v>303</v>
      </c>
      <c r="N922" t="str">
        <f t="shared" si="404"/>
        <v>RECEITAS COM ENTREGAS</v>
      </c>
      <c r="P922">
        <v>1471.41</v>
      </c>
      <c r="Q922" t="str">
        <f>"FARMÁCIA INDIANA LJ 07 (10007)"</f>
        <v>FARMÁCIA INDIANA LJ 07 (10007)</v>
      </c>
      <c r="R922" t="str">
        <f t="shared" si="405"/>
        <v>RECEITAS COM ENTREGAS (303)</v>
      </c>
      <c r="S922">
        <v>3289</v>
      </c>
      <c r="T922">
        <v>2661</v>
      </c>
      <c r="U922" t="s">
        <v>21</v>
      </c>
    </row>
    <row r="923" spans="1:21">
      <c r="A923" t="str">
        <f t="shared" si="395"/>
        <v>26/11/2025</v>
      </c>
      <c r="B923" t="str">
        <f t="shared" si="396"/>
        <v>ENTRADA</v>
      </c>
      <c r="C923" t="str">
        <f t="shared" si="397"/>
        <v>NFSE</v>
      </c>
      <c r="D923" t="str">
        <f t="shared" si="398"/>
        <v>3857</v>
      </c>
      <c r="E923" t="str">
        <f t="shared" si="385"/>
        <v>COM</v>
      </c>
      <c r="F923" t="str">
        <f t="shared" si="399"/>
        <v>FARMÁCIA INDIANA LJ 1 (10126)</v>
      </c>
      <c r="G923" t="str">
        <f t="shared" si="400"/>
        <v>Serv.Prest. 10/11/2025 a 16/11/2025 - RPS: 1620 - NFSe: 3857</v>
      </c>
      <c r="H923" t="str">
        <f t="shared" si="401"/>
        <v>26/11/2025</v>
      </c>
      <c r="I923" t="str">
        <f t="shared" si="402"/>
        <v>18/11/2025</v>
      </c>
      <c r="J923" t="str">
        <f t="shared" si="403"/>
        <v>26/11/2025</v>
      </c>
      <c r="M923">
        <v>303</v>
      </c>
      <c r="N923" t="str">
        <f t="shared" si="404"/>
        <v>RECEITAS COM ENTREGAS</v>
      </c>
      <c r="P923">
        <v>969.7</v>
      </c>
      <c r="Q923" t="str">
        <f>"FARMÁCIA INDIANA LJ 11 (10008)"</f>
        <v>FARMÁCIA INDIANA LJ 11 (10008)</v>
      </c>
      <c r="R923" t="str">
        <f t="shared" si="405"/>
        <v>RECEITAS COM ENTREGAS (303)</v>
      </c>
      <c r="S923">
        <v>3289</v>
      </c>
      <c r="T923">
        <v>2661</v>
      </c>
      <c r="U923" t="s">
        <v>21</v>
      </c>
    </row>
    <row r="924" spans="1:21">
      <c r="A924" t="str">
        <f t="shared" si="395"/>
        <v>26/11/2025</v>
      </c>
      <c r="B924" t="str">
        <f t="shared" si="396"/>
        <v>ENTRADA</v>
      </c>
      <c r="C924" t="str">
        <f t="shared" si="397"/>
        <v>NFSE</v>
      </c>
      <c r="D924" t="str">
        <f t="shared" si="398"/>
        <v>3857</v>
      </c>
      <c r="E924" t="str">
        <f t="shared" si="385"/>
        <v>COM</v>
      </c>
      <c r="F924" t="str">
        <f t="shared" si="399"/>
        <v>FARMÁCIA INDIANA LJ 1 (10126)</v>
      </c>
      <c r="G924" t="str">
        <f t="shared" si="400"/>
        <v>Serv.Prest. 10/11/2025 a 16/11/2025 - RPS: 1620 - NFSe: 3857</v>
      </c>
      <c r="H924" t="str">
        <f t="shared" si="401"/>
        <v>26/11/2025</v>
      </c>
      <c r="I924" t="str">
        <f t="shared" si="402"/>
        <v>18/11/2025</v>
      </c>
      <c r="J924" t="str">
        <f t="shared" si="403"/>
        <v>26/11/2025</v>
      </c>
      <c r="M924">
        <v>303</v>
      </c>
      <c r="N924" t="str">
        <f t="shared" si="404"/>
        <v>RECEITAS COM ENTREGAS</v>
      </c>
      <c r="P924">
        <v>495.22</v>
      </c>
      <c r="Q924" t="str">
        <f>"FARMÁCIA INDIANA LJ 14 (10009)"</f>
        <v>FARMÁCIA INDIANA LJ 14 (10009)</v>
      </c>
      <c r="R924" t="str">
        <f t="shared" si="405"/>
        <v>RECEITAS COM ENTREGAS (303)</v>
      </c>
      <c r="S924">
        <v>3289</v>
      </c>
      <c r="T924">
        <v>2661</v>
      </c>
      <c r="U924" t="s">
        <v>21</v>
      </c>
    </row>
    <row r="925" spans="1:21">
      <c r="A925" t="str">
        <f t="shared" si="395"/>
        <v>26/11/2025</v>
      </c>
      <c r="B925" t="str">
        <f t="shared" si="396"/>
        <v>ENTRADA</v>
      </c>
      <c r="C925" t="str">
        <f t="shared" si="397"/>
        <v>NFSE</v>
      </c>
      <c r="D925" t="str">
        <f t="shared" si="398"/>
        <v>3857</v>
      </c>
      <c r="E925" t="str">
        <f t="shared" si="385"/>
        <v>COM</v>
      </c>
      <c r="F925" t="str">
        <f t="shared" si="399"/>
        <v>FARMÁCIA INDIANA LJ 1 (10126)</v>
      </c>
      <c r="G925" t="str">
        <f t="shared" si="400"/>
        <v>Serv.Prest. 10/11/2025 a 16/11/2025 - RPS: 1620 - NFSe: 3857</v>
      </c>
      <c r="H925" t="str">
        <f t="shared" si="401"/>
        <v>26/11/2025</v>
      </c>
      <c r="I925" t="str">
        <f t="shared" si="402"/>
        <v>18/11/2025</v>
      </c>
      <c r="J925" t="str">
        <f t="shared" si="403"/>
        <v>26/11/2025</v>
      </c>
      <c r="M925">
        <v>303</v>
      </c>
      <c r="N925" t="str">
        <f t="shared" si="404"/>
        <v>RECEITAS COM ENTREGAS</v>
      </c>
      <c r="P925">
        <v>287.8</v>
      </c>
      <c r="Q925" t="str">
        <f>"FARMÁCIA INDIANA LJ 18 (10011)"</f>
        <v>FARMÁCIA INDIANA LJ 18 (10011)</v>
      </c>
      <c r="R925" t="str">
        <f t="shared" si="405"/>
        <v>RECEITAS COM ENTREGAS (303)</v>
      </c>
      <c r="S925">
        <v>3289</v>
      </c>
      <c r="T925">
        <v>2661</v>
      </c>
      <c r="U925" t="s">
        <v>21</v>
      </c>
    </row>
    <row r="926" spans="1:21">
      <c r="A926" t="str">
        <f t="shared" si="395"/>
        <v>26/11/2025</v>
      </c>
      <c r="B926" t="str">
        <f t="shared" si="396"/>
        <v>ENTRADA</v>
      </c>
      <c r="C926" t="str">
        <f t="shared" si="397"/>
        <v>NFSE</v>
      </c>
      <c r="D926" t="str">
        <f t="shared" si="398"/>
        <v>3857</v>
      </c>
      <c r="E926" t="str">
        <f t="shared" si="385"/>
        <v>COM</v>
      </c>
      <c r="F926" t="str">
        <f t="shared" si="399"/>
        <v>FARMÁCIA INDIANA LJ 1 (10126)</v>
      </c>
      <c r="G926" t="str">
        <f t="shared" si="400"/>
        <v>Serv.Prest. 10/11/2025 a 16/11/2025 - RPS: 1620 - NFSe: 3857</v>
      </c>
      <c r="H926" t="str">
        <f t="shared" si="401"/>
        <v>26/11/2025</v>
      </c>
      <c r="I926" t="str">
        <f t="shared" si="402"/>
        <v>18/11/2025</v>
      </c>
      <c r="J926" t="str">
        <f t="shared" si="403"/>
        <v>26/11/2025</v>
      </c>
      <c r="M926">
        <v>303</v>
      </c>
      <c r="N926" t="str">
        <f t="shared" si="404"/>
        <v>RECEITAS COM ENTREGAS</v>
      </c>
      <c r="P926">
        <v>379.84</v>
      </c>
      <c r="Q926" t="str">
        <f>"FARMÁCIA INDIANA LJ 19 (10012)"</f>
        <v>FARMÁCIA INDIANA LJ 19 (10012)</v>
      </c>
      <c r="R926" t="str">
        <f t="shared" si="405"/>
        <v>RECEITAS COM ENTREGAS (303)</v>
      </c>
      <c r="S926">
        <v>3289</v>
      </c>
      <c r="T926">
        <v>2661</v>
      </c>
      <c r="U926" t="s">
        <v>21</v>
      </c>
    </row>
    <row r="927" spans="1:21">
      <c r="A927" t="str">
        <f t="shared" si="395"/>
        <v>26/11/2025</v>
      </c>
      <c r="B927" t="str">
        <f t="shared" si="396"/>
        <v>ENTRADA</v>
      </c>
      <c r="C927" t="str">
        <f t="shared" si="397"/>
        <v>NFSE</v>
      </c>
      <c r="D927" t="str">
        <f t="shared" si="398"/>
        <v>3857</v>
      </c>
      <c r="E927" t="str">
        <f t="shared" si="385"/>
        <v>COM</v>
      </c>
      <c r="F927" t="str">
        <f t="shared" si="399"/>
        <v>FARMÁCIA INDIANA LJ 1 (10126)</v>
      </c>
      <c r="G927" t="str">
        <f t="shared" si="400"/>
        <v>Serv.Prest. 10/11/2025 a 16/11/2025 - RPS: 1620 - NFSe: 3857</v>
      </c>
      <c r="H927" t="str">
        <f t="shared" si="401"/>
        <v>26/11/2025</v>
      </c>
      <c r="I927" t="str">
        <f t="shared" si="402"/>
        <v>18/11/2025</v>
      </c>
      <c r="J927" t="str">
        <f t="shared" si="403"/>
        <v>26/11/2025</v>
      </c>
      <c r="M927">
        <v>303</v>
      </c>
      <c r="N927" t="str">
        <f t="shared" si="404"/>
        <v>RECEITAS COM ENTREGAS</v>
      </c>
      <c r="P927">
        <v>449.85</v>
      </c>
      <c r="Q927" t="str">
        <f>"FARMÁCIA INDIANA LJ 40 (10016)"</f>
        <v>FARMÁCIA INDIANA LJ 40 (10016)</v>
      </c>
      <c r="R927" t="str">
        <f t="shared" si="405"/>
        <v>RECEITAS COM ENTREGAS (303)</v>
      </c>
      <c r="S927">
        <v>3289</v>
      </c>
      <c r="T927">
        <v>2661</v>
      </c>
      <c r="U927" t="s">
        <v>21</v>
      </c>
    </row>
    <row r="928" spans="1:21">
      <c r="A928" t="str">
        <f t="shared" si="395"/>
        <v>26/11/2025</v>
      </c>
      <c r="B928" t="str">
        <f t="shared" si="396"/>
        <v>ENTRADA</v>
      </c>
      <c r="C928" t="str">
        <f t="shared" si="397"/>
        <v>NFSE</v>
      </c>
      <c r="D928" t="str">
        <f t="shared" si="398"/>
        <v>3857</v>
      </c>
      <c r="E928" t="str">
        <f t="shared" si="385"/>
        <v>COM</v>
      </c>
      <c r="F928" t="str">
        <f t="shared" si="399"/>
        <v>FARMÁCIA INDIANA LJ 1 (10126)</v>
      </c>
      <c r="G928" t="str">
        <f t="shared" si="400"/>
        <v>Serv.Prest. 10/11/2025 a 16/11/2025 - RPS: 1620 - NFSe: 3857</v>
      </c>
      <c r="H928" t="str">
        <f t="shared" si="401"/>
        <v>26/11/2025</v>
      </c>
      <c r="I928" t="str">
        <f t="shared" si="402"/>
        <v>18/11/2025</v>
      </c>
      <c r="J928" t="str">
        <f t="shared" si="403"/>
        <v>26/11/2025</v>
      </c>
      <c r="M928">
        <v>303</v>
      </c>
      <c r="N928" t="str">
        <f t="shared" si="404"/>
        <v>RECEITAS COM ENTREGAS</v>
      </c>
      <c r="P928">
        <v>245.02</v>
      </c>
      <c r="Q928" t="str">
        <f>"FARMÁCIA INDIANA LJ 59 (10026)"</f>
        <v>FARMÁCIA INDIANA LJ 59 (10026)</v>
      </c>
      <c r="R928" t="str">
        <f t="shared" si="405"/>
        <v>RECEITAS COM ENTREGAS (303)</v>
      </c>
      <c r="S928">
        <v>3289</v>
      </c>
      <c r="T928">
        <v>2661</v>
      </c>
      <c r="U928" t="s">
        <v>21</v>
      </c>
    </row>
    <row r="929" spans="1:21">
      <c r="A929" t="str">
        <f t="shared" si="395"/>
        <v>26/11/2025</v>
      </c>
      <c r="B929" t="str">
        <f t="shared" si="396"/>
        <v>ENTRADA</v>
      </c>
      <c r="C929" t="str">
        <f t="shared" si="397"/>
        <v>NFSE</v>
      </c>
      <c r="D929" t="str">
        <f t="shared" si="398"/>
        <v>3857</v>
      </c>
      <c r="E929" t="str">
        <f t="shared" si="385"/>
        <v>COM</v>
      </c>
      <c r="F929" t="str">
        <f t="shared" si="399"/>
        <v>FARMÁCIA INDIANA LJ 1 (10126)</v>
      </c>
      <c r="G929" t="str">
        <f t="shared" si="400"/>
        <v>Serv.Prest. 10/11/2025 a 16/11/2025 - RPS: 1620 - NFSe: 3857</v>
      </c>
      <c r="H929" t="str">
        <f t="shared" si="401"/>
        <v>26/11/2025</v>
      </c>
      <c r="I929" t="str">
        <f t="shared" si="402"/>
        <v>18/11/2025</v>
      </c>
      <c r="J929" t="str">
        <f t="shared" si="403"/>
        <v>26/11/2025</v>
      </c>
      <c r="M929">
        <v>303</v>
      </c>
      <c r="N929" t="str">
        <f t="shared" si="404"/>
        <v>RECEITAS COM ENTREGAS</v>
      </c>
      <c r="P929">
        <v>475.78</v>
      </c>
      <c r="Q929" t="str">
        <f>"FARMÁCIA INDIANA LJ 61 (10027)"</f>
        <v>FARMÁCIA INDIANA LJ 61 (10027)</v>
      </c>
      <c r="R929" t="str">
        <f t="shared" si="405"/>
        <v>RECEITAS COM ENTREGAS (303)</v>
      </c>
      <c r="S929">
        <v>3289</v>
      </c>
      <c r="T929">
        <v>2661</v>
      </c>
      <c r="U929" t="s">
        <v>21</v>
      </c>
    </row>
    <row r="930" spans="1:21">
      <c r="A930" t="str">
        <f t="shared" si="395"/>
        <v>26/11/2025</v>
      </c>
      <c r="B930" t="str">
        <f t="shared" si="396"/>
        <v>ENTRADA</v>
      </c>
      <c r="C930" t="str">
        <f t="shared" si="397"/>
        <v>NFSE</v>
      </c>
      <c r="D930" t="str">
        <f t="shared" si="398"/>
        <v>3857</v>
      </c>
      <c r="E930" t="str">
        <f t="shared" si="385"/>
        <v>COM</v>
      </c>
      <c r="F930" t="str">
        <f t="shared" si="399"/>
        <v>FARMÁCIA INDIANA LJ 1 (10126)</v>
      </c>
      <c r="G930" t="str">
        <f t="shared" si="400"/>
        <v>Serv.Prest. 10/11/2025 a 16/11/2025 - RPS: 1620 - NFSe: 3857</v>
      </c>
      <c r="H930" t="str">
        <f t="shared" si="401"/>
        <v>26/11/2025</v>
      </c>
      <c r="I930" t="str">
        <f t="shared" si="402"/>
        <v>18/11/2025</v>
      </c>
      <c r="J930" t="str">
        <f t="shared" si="403"/>
        <v>26/11/2025</v>
      </c>
      <c r="M930">
        <v>303</v>
      </c>
      <c r="N930" t="str">
        <f t="shared" si="404"/>
        <v>RECEITAS COM ENTREGAS</v>
      </c>
      <c r="P930">
        <v>190.57</v>
      </c>
      <c r="Q930" t="str">
        <f>"FARMÁCIA INDIANA LJ 62 (10028)"</f>
        <v>FARMÁCIA INDIANA LJ 62 (10028)</v>
      </c>
      <c r="R930" t="str">
        <f t="shared" si="405"/>
        <v>RECEITAS COM ENTREGAS (303)</v>
      </c>
      <c r="S930">
        <v>3289</v>
      </c>
      <c r="T930">
        <v>2661</v>
      </c>
      <c r="U930" t="s">
        <v>21</v>
      </c>
    </row>
    <row r="931" spans="1:21">
      <c r="A931" t="str">
        <f t="shared" si="395"/>
        <v>26/11/2025</v>
      </c>
      <c r="B931" t="str">
        <f t="shared" si="396"/>
        <v>ENTRADA</v>
      </c>
      <c r="C931" t="str">
        <f t="shared" si="397"/>
        <v>NFSE</v>
      </c>
      <c r="D931" t="str">
        <f t="shared" si="398"/>
        <v>3857</v>
      </c>
      <c r="E931" t="str">
        <f t="shared" si="385"/>
        <v>COM</v>
      </c>
      <c r="F931" t="str">
        <f t="shared" si="399"/>
        <v>FARMÁCIA INDIANA LJ 1 (10126)</v>
      </c>
      <c r="G931" t="str">
        <f t="shared" si="400"/>
        <v>Serv.Prest. 10/11/2025 a 16/11/2025 - RPS: 1620 - NFSe: 3857</v>
      </c>
      <c r="H931" t="str">
        <f t="shared" si="401"/>
        <v>26/11/2025</v>
      </c>
      <c r="I931" t="str">
        <f t="shared" si="402"/>
        <v>18/11/2025</v>
      </c>
      <c r="J931" t="str">
        <f t="shared" si="403"/>
        <v>26/11/2025</v>
      </c>
      <c r="M931">
        <v>303</v>
      </c>
      <c r="N931" t="str">
        <f t="shared" si="404"/>
        <v>RECEITAS COM ENTREGAS</v>
      </c>
      <c r="P931">
        <v>71.3</v>
      </c>
      <c r="Q931" t="str">
        <f>"FARMÁCIA INDIANA LJ 64 (10029)"</f>
        <v>FARMÁCIA INDIANA LJ 64 (10029)</v>
      </c>
      <c r="R931" t="str">
        <f t="shared" si="405"/>
        <v>RECEITAS COM ENTREGAS (303)</v>
      </c>
      <c r="S931">
        <v>3289</v>
      </c>
      <c r="T931">
        <v>2661</v>
      </c>
      <c r="U931" t="s">
        <v>21</v>
      </c>
    </row>
    <row r="932" spans="1:21">
      <c r="A932" t="str">
        <f t="shared" si="395"/>
        <v>26/11/2025</v>
      </c>
      <c r="B932" t="str">
        <f t="shared" si="396"/>
        <v>ENTRADA</v>
      </c>
      <c r="C932" t="str">
        <f t="shared" si="397"/>
        <v>NFSE</v>
      </c>
      <c r="D932" t="str">
        <f t="shared" si="398"/>
        <v>3857</v>
      </c>
      <c r="E932" t="str">
        <f t="shared" si="385"/>
        <v>COM</v>
      </c>
      <c r="F932" t="str">
        <f t="shared" si="399"/>
        <v>FARMÁCIA INDIANA LJ 1 (10126)</v>
      </c>
      <c r="G932" t="str">
        <f t="shared" si="400"/>
        <v>Serv.Prest. 10/11/2025 a 16/11/2025 - RPS: 1620 - NFSe: 3857</v>
      </c>
      <c r="H932" t="str">
        <f t="shared" si="401"/>
        <v>26/11/2025</v>
      </c>
      <c r="I932" t="str">
        <f t="shared" si="402"/>
        <v>18/11/2025</v>
      </c>
      <c r="J932" t="str">
        <f t="shared" si="403"/>
        <v>26/11/2025</v>
      </c>
      <c r="M932">
        <v>303</v>
      </c>
      <c r="N932" t="str">
        <f t="shared" si="404"/>
        <v>RECEITAS COM ENTREGAS</v>
      </c>
      <c r="P932">
        <v>67.41</v>
      </c>
      <c r="Q932" t="str">
        <f>"FARMÁCIA INDIANA LJ 97 (10040)"</f>
        <v>FARMÁCIA INDIANA LJ 97 (10040)</v>
      </c>
      <c r="R932" t="str">
        <f t="shared" si="405"/>
        <v>RECEITAS COM ENTREGAS (303)</v>
      </c>
      <c r="S932">
        <v>3289</v>
      </c>
      <c r="T932">
        <v>2661</v>
      </c>
      <c r="U932" t="s">
        <v>21</v>
      </c>
    </row>
    <row r="933" spans="1:21">
      <c r="A933" t="str">
        <f t="shared" si="395"/>
        <v>26/11/2025</v>
      </c>
      <c r="B933" t="str">
        <f t="shared" si="396"/>
        <v>ENTRADA</v>
      </c>
      <c r="C933" t="str">
        <f t="shared" si="397"/>
        <v>NFSE</v>
      </c>
      <c r="D933" t="str">
        <f t="shared" si="398"/>
        <v>3857</v>
      </c>
      <c r="E933" t="str">
        <f t="shared" si="385"/>
        <v>COM</v>
      </c>
      <c r="F933" t="str">
        <f t="shared" si="399"/>
        <v>FARMÁCIA INDIANA LJ 1 (10126)</v>
      </c>
      <c r="G933" t="str">
        <f t="shared" si="400"/>
        <v>Serv.Prest. 10/11/2025 a 16/11/2025 - RPS: 1620 - NFSe: 3857</v>
      </c>
      <c r="H933" t="str">
        <f t="shared" si="401"/>
        <v>26/11/2025</v>
      </c>
      <c r="I933" t="str">
        <f t="shared" si="402"/>
        <v>18/11/2025</v>
      </c>
      <c r="J933" t="str">
        <f t="shared" si="403"/>
        <v>26/11/2025</v>
      </c>
      <c r="M933">
        <v>303</v>
      </c>
      <c r="N933" t="str">
        <f t="shared" si="404"/>
        <v>RECEITAS COM ENTREGAS</v>
      </c>
      <c r="P933">
        <v>199.64</v>
      </c>
      <c r="Q933" t="str">
        <f>"FARMÁCIA INDIANA LJ 100 (10042)"</f>
        <v>FARMÁCIA INDIANA LJ 100 (10042)</v>
      </c>
      <c r="R933" t="str">
        <f t="shared" si="405"/>
        <v>RECEITAS COM ENTREGAS (303)</v>
      </c>
      <c r="S933">
        <v>3289</v>
      </c>
      <c r="T933">
        <v>2661</v>
      </c>
      <c r="U933" t="s">
        <v>21</v>
      </c>
    </row>
    <row r="934" spans="1:21">
      <c r="A934" t="str">
        <f t="shared" si="395"/>
        <v>26/11/2025</v>
      </c>
      <c r="B934" t="str">
        <f t="shared" si="396"/>
        <v>ENTRADA</v>
      </c>
      <c r="C934" t="str">
        <f t="shared" si="397"/>
        <v>NFSE</v>
      </c>
      <c r="D934" t="str">
        <f t="shared" si="398"/>
        <v>3857</v>
      </c>
      <c r="E934" t="str">
        <f t="shared" ref="E934:E965" si="406">"COM"</f>
        <v>COM</v>
      </c>
      <c r="F934" t="str">
        <f t="shared" si="399"/>
        <v>FARMÁCIA INDIANA LJ 1 (10126)</v>
      </c>
      <c r="G934" t="str">
        <f t="shared" si="400"/>
        <v>Serv.Prest. 10/11/2025 a 16/11/2025 - RPS: 1620 - NFSe: 3857</v>
      </c>
      <c r="H934" t="str">
        <f t="shared" si="401"/>
        <v>26/11/2025</v>
      </c>
      <c r="I934" t="str">
        <f t="shared" si="402"/>
        <v>18/11/2025</v>
      </c>
      <c r="J934" t="str">
        <f t="shared" si="403"/>
        <v>26/11/2025</v>
      </c>
      <c r="M934">
        <v>303</v>
      </c>
      <c r="N934" t="str">
        <f t="shared" si="404"/>
        <v>RECEITAS COM ENTREGAS</v>
      </c>
      <c r="P934">
        <v>680.61</v>
      </c>
      <c r="Q934" t="str">
        <f>"FARMÁCIA INDIANA LJ 101 (10043)"</f>
        <v>FARMÁCIA INDIANA LJ 101 (10043)</v>
      </c>
      <c r="R934" t="str">
        <f t="shared" si="405"/>
        <v>RECEITAS COM ENTREGAS (303)</v>
      </c>
      <c r="S934">
        <v>3289</v>
      </c>
      <c r="T934">
        <v>2661</v>
      </c>
      <c r="U934" t="s">
        <v>21</v>
      </c>
    </row>
    <row r="935" spans="1:21">
      <c r="A935" t="str">
        <f t="shared" si="395"/>
        <v>26/11/2025</v>
      </c>
      <c r="B935" t="str">
        <f t="shared" si="396"/>
        <v>ENTRADA</v>
      </c>
      <c r="C935" t="str">
        <f t="shared" si="397"/>
        <v>NFSE</v>
      </c>
      <c r="D935" t="str">
        <f t="shared" si="398"/>
        <v>3857</v>
      </c>
      <c r="E935" t="str">
        <f t="shared" si="406"/>
        <v>COM</v>
      </c>
      <c r="F935" t="str">
        <f t="shared" si="399"/>
        <v>FARMÁCIA INDIANA LJ 1 (10126)</v>
      </c>
      <c r="G935" t="str">
        <f t="shared" si="400"/>
        <v>Serv.Prest. 10/11/2025 a 16/11/2025 - RPS: 1620 - NFSe: 3857</v>
      </c>
      <c r="H935" t="str">
        <f t="shared" si="401"/>
        <v>26/11/2025</v>
      </c>
      <c r="I935" t="str">
        <f t="shared" si="402"/>
        <v>18/11/2025</v>
      </c>
      <c r="J935" t="str">
        <f t="shared" si="403"/>
        <v>26/11/2025</v>
      </c>
      <c r="M935">
        <v>303</v>
      </c>
      <c r="N935" t="str">
        <f t="shared" si="404"/>
        <v>RECEITAS COM ENTREGAS</v>
      </c>
      <c r="P935">
        <v>55.74</v>
      </c>
      <c r="Q935" t="str">
        <f>"FARMÁCIA INDIANA LJ 103 (10044)"</f>
        <v>FARMÁCIA INDIANA LJ 103 (10044)</v>
      </c>
      <c r="R935" t="str">
        <f t="shared" si="405"/>
        <v>RECEITAS COM ENTREGAS (303)</v>
      </c>
      <c r="S935">
        <v>3289</v>
      </c>
      <c r="T935">
        <v>2661</v>
      </c>
      <c r="U935" t="s">
        <v>21</v>
      </c>
    </row>
    <row r="936" spans="1:21">
      <c r="A936" t="str">
        <f t="shared" si="395"/>
        <v>26/11/2025</v>
      </c>
      <c r="B936" t="str">
        <f t="shared" si="396"/>
        <v>ENTRADA</v>
      </c>
      <c r="C936" t="str">
        <f t="shared" si="397"/>
        <v>NFSE</v>
      </c>
      <c r="D936" t="str">
        <f t="shared" si="398"/>
        <v>3857</v>
      </c>
      <c r="E936" t="str">
        <f t="shared" si="406"/>
        <v>COM</v>
      </c>
      <c r="F936" t="str">
        <f t="shared" si="399"/>
        <v>FARMÁCIA INDIANA LJ 1 (10126)</v>
      </c>
      <c r="G936" t="str">
        <f t="shared" si="400"/>
        <v>Serv.Prest. 10/11/2025 a 16/11/2025 - RPS: 1620 - NFSe: 3857</v>
      </c>
      <c r="H936" t="str">
        <f t="shared" si="401"/>
        <v>26/11/2025</v>
      </c>
      <c r="I936" t="str">
        <f t="shared" si="402"/>
        <v>18/11/2025</v>
      </c>
      <c r="J936" t="str">
        <f t="shared" si="403"/>
        <v>26/11/2025</v>
      </c>
      <c r="M936">
        <v>303</v>
      </c>
      <c r="N936" t="str">
        <f t="shared" si="404"/>
        <v>RECEITAS COM ENTREGAS</v>
      </c>
      <c r="P936">
        <v>246.31</v>
      </c>
      <c r="Q936" t="str">
        <f>"FARMÁCIA INDIANA LJ 109 (10047)"</f>
        <v>FARMÁCIA INDIANA LJ 109 (10047)</v>
      </c>
      <c r="R936" t="str">
        <f t="shared" si="405"/>
        <v>RECEITAS COM ENTREGAS (303)</v>
      </c>
      <c r="S936">
        <v>3289</v>
      </c>
      <c r="T936">
        <v>2661</v>
      </c>
      <c r="U936" t="s">
        <v>21</v>
      </c>
    </row>
    <row r="937" spans="1:21">
      <c r="A937" t="str">
        <f t="shared" si="395"/>
        <v>26/11/2025</v>
      </c>
      <c r="B937" t="str">
        <f t="shared" si="396"/>
        <v>ENTRADA</v>
      </c>
      <c r="C937" t="str">
        <f t="shared" si="397"/>
        <v>NFSE</v>
      </c>
      <c r="D937" t="str">
        <f t="shared" si="398"/>
        <v>3857</v>
      </c>
      <c r="E937" t="str">
        <f t="shared" si="406"/>
        <v>COM</v>
      </c>
      <c r="F937" t="str">
        <f t="shared" si="399"/>
        <v>FARMÁCIA INDIANA LJ 1 (10126)</v>
      </c>
      <c r="G937" t="str">
        <f t="shared" si="400"/>
        <v>Serv.Prest. 10/11/2025 a 16/11/2025 - RPS: 1620 - NFSe: 3857</v>
      </c>
      <c r="H937" t="str">
        <f t="shared" si="401"/>
        <v>26/11/2025</v>
      </c>
      <c r="I937" t="str">
        <f t="shared" si="402"/>
        <v>18/11/2025</v>
      </c>
      <c r="J937" t="str">
        <f t="shared" si="403"/>
        <v>26/11/2025</v>
      </c>
      <c r="M937">
        <v>303</v>
      </c>
      <c r="N937" t="str">
        <f t="shared" si="404"/>
        <v>RECEITAS COM ENTREGAS</v>
      </c>
      <c r="P937">
        <v>340.95</v>
      </c>
      <c r="Q937" t="str">
        <f>"FARMÁCIA INDIANA LJ 110 (10048)"</f>
        <v>FARMÁCIA INDIANA LJ 110 (10048)</v>
      </c>
      <c r="R937" t="str">
        <f t="shared" si="405"/>
        <v>RECEITAS COM ENTREGAS (303)</v>
      </c>
      <c r="S937">
        <v>3289</v>
      </c>
      <c r="T937">
        <v>2661</v>
      </c>
      <c r="U937" t="s">
        <v>21</v>
      </c>
    </row>
    <row r="938" spans="1:21">
      <c r="A938" t="str">
        <f t="shared" si="395"/>
        <v>26/11/2025</v>
      </c>
      <c r="B938" t="str">
        <f t="shared" si="396"/>
        <v>ENTRADA</v>
      </c>
      <c r="C938" t="str">
        <f t="shared" si="397"/>
        <v>NFSE</v>
      </c>
      <c r="D938" t="str">
        <f t="shared" si="398"/>
        <v>3857</v>
      </c>
      <c r="E938" t="str">
        <f t="shared" si="406"/>
        <v>COM</v>
      </c>
      <c r="F938" t="str">
        <f t="shared" si="399"/>
        <v>FARMÁCIA INDIANA LJ 1 (10126)</v>
      </c>
      <c r="G938" t="str">
        <f t="shared" si="400"/>
        <v>Serv.Prest. 10/11/2025 a 16/11/2025 - RPS: 1620 - NFSe: 3857</v>
      </c>
      <c r="H938" t="str">
        <f t="shared" si="401"/>
        <v>26/11/2025</v>
      </c>
      <c r="I938" t="str">
        <f t="shared" si="402"/>
        <v>18/11/2025</v>
      </c>
      <c r="J938" t="str">
        <f t="shared" si="403"/>
        <v>26/11/2025</v>
      </c>
      <c r="M938">
        <v>303</v>
      </c>
      <c r="N938" t="str">
        <f t="shared" si="404"/>
        <v>RECEITAS COM ENTREGAS</v>
      </c>
      <c r="P938">
        <v>66.12</v>
      </c>
      <c r="Q938" t="str">
        <f>"FARMÁCIA INDIANA LJ 111 (10049)"</f>
        <v>FARMÁCIA INDIANA LJ 111 (10049)</v>
      </c>
      <c r="R938" t="str">
        <f t="shared" si="405"/>
        <v>RECEITAS COM ENTREGAS (303)</v>
      </c>
      <c r="S938">
        <v>3289</v>
      </c>
      <c r="T938">
        <v>2661</v>
      </c>
      <c r="U938" t="s">
        <v>21</v>
      </c>
    </row>
    <row r="939" spans="1:21">
      <c r="A939" t="str">
        <f t="shared" si="395"/>
        <v>26/11/2025</v>
      </c>
      <c r="B939" t="str">
        <f t="shared" si="396"/>
        <v>ENTRADA</v>
      </c>
      <c r="C939" t="str">
        <f t="shared" si="397"/>
        <v>NFSE</v>
      </c>
      <c r="D939" t="str">
        <f t="shared" si="398"/>
        <v>3857</v>
      </c>
      <c r="E939" t="str">
        <f t="shared" si="406"/>
        <v>COM</v>
      </c>
      <c r="F939" t="str">
        <f t="shared" si="399"/>
        <v>FARMÁCIA INDIANA LJ 1 (10126)</v>
      </c>
      <c r="G939" t="str">
        <f t="shared" si="400"/>
        <v>Serv.Prest. 10/11/2025 a 16/11/2025 - RPS: 1620 - NFSe: 3857</v>
      </c>
      <c r="H939" t="str">
        <f t="shared" si="401"/>
        <v>26/11/2025</v>
      </c>
      <c r="I939" t="str">
        <f t="shared" si="402"/>
        <v>18/11/2025</v>
      </c>
      <c r="J939" t="str">
        <f t="shared" si="403"/>
        <v>26/11/2025</v>
      </c>
      <c r="M939">
        <v>303</v>
      </c>
      <c r="N939" t="str">
        <f t="shared" si="404"/>
        <v>RECEITAS COM ENTREGAS</v>
      </c>
      <c r="P939">
        <v>99.82</v>
      </c>
      <c r="Q939" t="str">
        <f>"FARMÁCIA INDIANA LJ 112 (10050)"</f>
        <v>FARMÁCIA INDIANA LJ 112 (10050)</v>
      </c>
      <c r="R939" t="str">
        <f t="shared" si="405"/>
        <v>RECEITAS COM ENTREGAS (303)</v>
      </c>
      <c r="S939">
        <v>3289</v>
      </c>
      <c r="T939">
        <v>2661</v>
      </c>
      <c r="U939" t="s">
        <v>21</v>
      </c>
    </row>
    <row r="940" spans="1:21">
      <c r="A940" t="str">
        <f t="shared" si="395"/>
        <v>26/11/2025</v>
      </c>
      <c r="B940" t="str">
        <f t="shared" si="396"/>
        <v>ENTRADA</v>
      </c>
      <c r="C940" t="str">
        <f t="shared" si="397"/>
        <v>NFSE</v>
      </c>
      <c r="D940" t="str">
        <f t="shared" si="398"/>
        <v>3857</v>
      </c>
      <c r="E940" t="str">
        <f t="shared" si="406"/>
        <v>COM</v>
      </c>
      <c r="F940" t="str">
        <f t="shared" si="399"/>
        <v>FARMÁCIA INDIANA LJ 1 (10126)</v>
      </c>
      <c r="G940" t="str">
        <f t="shared" si="400"/>
        <v>Serv.Prest. 10/11/2025 a 16/11/2025 - RPS: 1620 - NFSe: 3857</v>
      </c>
      <c r="H940" t="str">
        <f t="shared" si="401"/>
        <v>26/11/2025</v>
      </c>
      <c r="I940" t="str">
        <f t="shared" si="402"/>
        <v>18/11/2025</v>
      </c>
      <c r="J940" t="str">
        <f t="shared" si="403"/>
        <v>26/11/2025</v>
      </c>
      <c r="M940">
        <v>303</v>
      </c>
      <c r="N940" t="str">
        <f t="shared" si="404"/>
        <v>RECEITAS COM ENTREGAS</v>
      </c>
      <c r="P940">
        <v>99.82</v>
      </c>
      <c r="Q940" t="str">
        <f>"FARMÁCIA INDIANA LJ 116 (10051)"</f>
        <v>FARMÁCIA INDIANA LJ 116 (10051)</v>
      </c>
      <c r="R940" t="str">
        <f t="shared" si="405"/>
        <v>RECEITAS COM ENTREGAS (303)</v>
      </c>
      <c r="S940">
        <v>3289</v>
      </c>
      <c r="T940">
        <v>2661</v>
      </c>
      <c r="U940" t="s">
        <v>21</v>
      </c>
    </row>
    <row r="941" spans="1:21">
      <c r="A941" t="str">
        <f t="shared" si="395"/>
        <v>26/11/2025</v>
      </c>
      <c r="B941" t="str">
        <f t="shared" si="396"/>
        <v>ENTRADA</v>
      </c>
      <c r="C941" t="str">
        <f t="shared" si="397"/>
        <v>NFSE</v>
      </c>
      <c r="D941" t="str">
        <f t="shared" si="398"/>
        <v>3857</v>
      </c>
      <c r="E941" t="str">
        <f t="shared" si="406"/>
        <v>COM</v>
      </c>
      <c r="F941" t="str">
        <f t="shared" si="399"/>
        <v>FARMÁCIA INDIANA LJ 1 (10126)</v>
      </c>
      <c r="G941" t="str">
        <f t="shared" si="400"/>
        <v>Serv.Prest. 10/11/2025 a 16/11/2025 - RPS: 1620 - NFSe: 3857</v>
      </c>
      <c r="H941" t="str">
        <f t="shared" si="401"/>
        <v>26/11/2025</v>
      </c>
      <c r="I941" t="str">
        <f t="shared" si="402"/>
        <v>18/11/2025</v>
      </c>
      <c r="J941" t="str">
        <f t="shared" si="403"/>
        <v>26/11/2025</v>
      </c>
      <c r="M941">
        <v>303</v>
      </c>
      <c r="N941" t="str">
        <f t="shared" si="404"/>
        <v>RECEITAS COM ENTREGAS</v>
      </c>
      <c r="P941">
        <v>89.45</v>
      </c>
      <c r="Q941" t="str">
        <f>"FARMÁCIA INDIANA LJ 118 (10052)"</f>
        <v>FARMÁCIA INDIANA LJ 118 (10052)</v>
      </c>
      <c r="R941" t="str">
        <f t="shared" si="405"/>
        <v>RECEITAS COM ENTREGAS (303)</v>
      </c>
      <c r="S941">
        <v>3289</v>
      </c>
      <c r="T941">
        <v>2661</v>
      </c>
      <c r="U941" t="s">
        <v>21</v>
      </c>
    </row>
    <row r="942" spans="1:21">
      <c r="A942" t="str">
        <f t="shared" si="395"/>
        <v>26/11/2025</v>
      </c>
      <c r="B942" t="str">
        <f t="shared" si="396"/>
        <v>ENTRADA</v>
      </c>
      <c r="C942" t="str">
        <f t="shared" si="397"/>
        <v>NFSE</v>
      </c>
      <c r="D942" t="str">
        <f t="shared" si="398"/>
        <v>3857</v>
      </c>
      <c r="E942" t="str">
        <f t="shared" si="406"/>
        <v>COM</v>
      </c>
      <c r="F942" t="str">
        <f t="shared" si="399"/>
        <v>FARMÁCIA INDIANA LJ 1 (10126)</v>
      </c>
      <c r="G942" t="str">
        <f t="shared" si="400"/>
        <v>Serv.Prest. 10/11/2025 a 16/11/2025 - RPS: 1620 - NFSe: 3857</v>
      </c>
      <c r="H942" t="str">
        <f t="shared" si="401"/>
        <v>26/11/2025</v>
      </c>
      <c r="I942" t="str">
        <f t="shared" si="402"/>
        <v>18/11/2025</v>
      </c>
      <c r="J942" t="str">
        <f t="shared" si="403"/>
        <v>26/11/2025</v>
      </c>
      <c r="M942">
        <v>303</v>
      </c>
      <c r="N942" t="str">
        <f t="shared" si="404"/>
        <v>RECEITAS COM ENTREGAS</v>
      </c>
      <c r="P942">
        <v>99.82</v>
      </c>
      <c r="Q942" t="str">
        <f>"FARMÁCIA INDIANA LJ 121 (10054)"</f>
        <v>FARMÁCIA INDIANA LJ 121 (10054)</v>
      </c>
      <c r="R942" t="str">
        <f t="shared" si="405"/>
        <v>RECEITAS COM ENTREGAS (303)</v>
      </c>
      <c r="S942">
        <v>3289</v>
      </c>
      <c r="T942">
        <v>2661</v>
      </c>
      <c r="U942" t="s">
        <v>21</v>
      </c>
    </row>
    <row r="943" spans="1:21">
      <c r="A943" t="str">
        <f t="shared" si="395"/>
        <v>26/11/2025</v>
      </c>
      <c r="B943" t="str">
        <f t="shared" si="396"/>
        <v>ENTRADA</v>
      </c>
      <c r="C943" t="str">
        <f t="shared" si="397"/>
        <v>NFSE</v>
      </c>
      <c r="D943" t="str">
        <f t="shared" si="398"/>
        <v>3857</v>
      </c>
      <c r="E943" t="str">
        <f t="shared" si="406"/>
        <v>COM</v>
      </c>
      <c r="F943" t="str">
        <f t="shared" si="399"/>
        <v>FARMÁCIA INDIANA LJ 1 (10126)</v>
      </c>
      <c r="G943" t="str">
        <f t="shared" si="400"/>
        <v>Serv.Prest. 10/11/2025 a 16/11/2025 - RPS: 1620 - NFSe: 3857</v>
      </c>
      <c r="H943" t="str">
        <f t="shared" si="401"/>
        <v>26/11/2025</v>
      </c>
      <c r="I943" t="str">
        <f t="shared" si="402"/>
        <v>18/11/2025</v>
      </c>
      <c r="J943" t="str">
        <f t="shared" si="403"/>
        <v>26/11/2025</v>
      </c>
      <c r="M943">
        <v>303</v>
      </c>
      <c r="N943" t="str">
        <f t="shared" si="404"/>
        <v>RECEITAS COM ENTREGAS</v>
      </c>
      <c r="P943">
        <v>99.82</v>
      </c>
      <c r="Q943" t="str">
        <f>"FARMÁCIA INDIANA LJ 128 (10057)"</f>
        <v>FARMÁCIA INDIANA LJ 128 (10057)</v>
      </c>
      <c r="R943" t="str">
        <f t="shared" si="405"/>
        <v>RECEITAS COM ENTREGAS (303)</v>
      </c>
      <c r="S943">
        <v>3289</v>
      </c>
      <c r="T943">
        <v>2661</v>
      </c>
      <c r="U943" t="s">
        <v>21</v>
      </c>
    </row>
    <row r="944" spans="1:21">
      <c r="A944" t="str">
        <f t="shared" si="395"/>
        <v>26/11/2025</v>
      </c>
      <c r="B944" t="str">
        <f t="shared" si="396"/>
        <v>ENTRADA</v>
      </c>
      <c r="C944" t="str">
        <f t="shared" si="397"/>
        <v>NFSE</v>
      </c>
      <c r="D944" t="str">
        <f t="shared" si="398"/>
        <v>3857</v>
      </c>
      <c r="E944" t="str">
        <f t="shared" si="406"/>
        <v>COM</v>
      </c>
      <c r="F944" t="str">
        <f t="shared" si="399"/>
        <v>FARMÁCIA INDIANA LJ 1 (10126)</v>
      </c>
      <c r="G944" t="str">
        <f t="shared" si="400"/>
        <v>Serv.Prest. 10/11/2025 a 16/11/2025 - RPS: 1620 - NFSe: 3857</v>
      </c>
      <c r="H944" t="str">
        <f t="shared" si="401"/>
        <v>26/11/2025</v>
      </c>
      <c r="I944" t="str">
        <f t="shared" si="402"/>
        <v>18/11/2025</v>
      </c>
      <c r="J944" t="str">
        <f t="shared" si="403"/>
        <v>26/11/2025</v>
      </c>
      <c r="M944">
        <v>303</v>
      </c>
      <c r="N944" t="str">
        <f t="shared" si="404"/>
        <v>RECEITAS COM ENTREGAS</v>
      </c>
      <c r="P944">
        <v>24.63</v>
      </c>
      <c r="Q944" t="str">
        <f>"FARMÁCIA INDIANA LJ 140 (10064)"</f>
        <v>FARMÁCIA INDIANA LJ 140 (10064)</v>
      </c>
      <c r="R944" t="str">
        <f t="shared" si="405"/>
        <v>RECEITAS COM ENTREGAS (303)</v>
      </c>
      <c r="S944">
        <v>3289</v>
      </c>
      <c r="T944">
        <v>2661</v>
      </c>
      <c r="U944" t="s">
        <v>21</v>
      </c>
    </row>
    <row r="945" spans="1:21">
      <c r="A945" t="str">
        <f t="shared" si="395"/>
        <v>26/11/2025</v>
      </c>
      <c r="B945" t="str">
        <f t="shared" si="396"/>
        <v>ENTRADA</v>
      </c>
      <c r="C945" t="str">
        <f t="shared" si="397"/>
        <v>NFSE</v>
      </c>
      <c r="D945" t="str">
        <f t="shared" si="398"/>
        <v>3857</v>
      </c>
      <c r="E945" t="str">
        <f t="shared" si="406"/>
        <v>COM</v>
      </c>
      <c r="F945" t="str">
        <f t="shared" si="399"/>
        <v>FARMÁCIA INDIANA LJ 1 (10126)</v>
      </c>
      <c r="G945" t="str">
        <f t="shared" si="400"/>
        <v>Serv.Prest. 10/11/2025 a 16/11/2025 - RPS: 1620 - NFSe: 3857</v>
      </c>
      <c r="H945" t="str">
        <f t="shared" si="401"/>
        <v>26/11/2025</v>
      </c>
      <c r="I945" t="str">
        <f t="shared" si="402"/>
        <v>18/11/2025</v>
      </c>
      <c r="J945" t="str">
        <f t="shared" si="403"/>
        <v>26/11/2025</v>
      </c>
      <c r="M945">
        <v>303</v>
      </c>
      <c r="N945" t="str">
        <f t="shared" si="404"/>
        <v>RECEITAS COM ENTREGAS</v>
      </c>
      <c r="P945">
        <v>12.96</v>
      </c>
      <c r="Q945" t="str">
        <f>"FARMÁCIA INDIANA LJ 141 (10065)"</f>
        <v>FARMÁCIA INDIANA LJ 141 (10065)</v>
      </c>
      <c r="R945" t="str">
        <f t="shared" si="405"/>
        <v>RECEITAS COM ENTREGAS (303)</v>
      </c>
      <c r="S945">
        <v>3289</v>
      </c>
      <c r="T945">
        <v>2661</v>
      </c>
      <c r="U945" t="s">
        <v>21</v>
      </c>
    </row>
    <row r="946" spans="1:21">
      <c r="A946" t="str">
        <f t="shared" si="395"/>
        <v>26/11/2025</v>
      </c>
      <c r="B946" t="str">
        <f t="shared" si="396"/>
        <v>ENTRADA</v>
      </c>
      <c r="C946" t="str">
        <f t="shared" si="397"/>
        <v>NFSE</v>
      </c>
      <c r="D946" t="str">
        <f t="shared" si="398"/>
        <v>3857</v>
      </c>
      <c r="E946" t="str">
        <f t="shared" si="406"/>
        <v>COM</v>
      </c>
      <c r="F946" t="str">
        <f t="shared" si="399"/>
        <v>FARMÁCIA INDIANA LJ 1 (10126)</v>
      </c>
      <c r="G946" t="str">
        <f t="shared" si="400"/>
        <v>Serv.Prest. 10/11/2025 a 16/11/2025 - RPS: 1620 - NFSe: 3857</v>
      </c>
      <c r="H946" t="str">
        <f t="shared" si="401"/>
        <v>26/11/2025</v>
      </c>
      <c r="I946" t="str">
        <f t="shared" si="402"/>
        <v>18/11/2025</v>
      </c>
      <c r="J946" t="str">
        <f t="shared" si="403"/>
        <v>26/11/2025</v>
      </c>
      <c r="M946">
        <v>303</v>
      </c>
      <c r="N946" t="str">
        <f t="shared" si="404"/>
        <v>RECEITAS COM ENTREGAS</v>
      </c>
      <c r="P946">
        <v>724.68</v>
      </c>
      <c r="Q946" t="str">
        <f>"FARMÁCIA INDIANA LJ 142 (10066)"</f>
        <v>FARMÁCIA INDIANA LJ 142 (10066)</v>
      </c>
      <c r="R946" t="str">
        <f t="shared" si="405"/>
        <v>RECEITAS COM ENTREGAS (303)</v>
      </c>
      <c r="S946">
        <v>3289</v>
      </c>
      <c r="T946">
        <v>2661</v>
      </c>
      <c r="U946" t="s">
        <v>21</v>
      </c>
    </row>
    <row r="947" spans="1:21">
      <c r="A947" t="str">
        <f t="shared" si="395"/>
        <v>26/11/2025</v>
      </c>
      <c r="B947" t="str">
        <f t="shared" si="396"/>
        <v>ENTRADA</v>
      </c>
      <c r="C947" t="str">
        <f t="shared" si="397"/>
        <v>NFSE</v>
      </c>
      <c r="D947" t="str">
        <f t="shared" si="398"/>
        <v>3857</v>
      </c>
      <c r="E947" t="str">
        <f t="shared" si="406"/>
        <v>COM</v>
      </c>
      <c r="F947" t="str">
        <f t="shared" si="399"/>
        <v>FARMÁCIA INDIANA LJ 1 (10126)</v>
      </c>
      <c r="G947" t="str">
        <f t="shared" si="400"/>
        <v>Serv.Prest. 10/11/2025 a 16/11/2025 - RPS: 1620 - NFSe: 3857</v>
      </c>
      <c r="H947" t="str">
        <f t="shared" si="401"/>
        <v>26/11/2025</v>
      </c>
      <c r="I947" t="str">
        <f t="shared" si="402"/>
        <v>18/11/2025</v>
      </c>
      <c r="J947" t="str">
        <f t="shared" si="403"/>
        <v>26/11/2025</v>
      </c>
      <c r="M947">
        <v>303</v>
      </c>
      <c r="N947" t="str">
        <f t="shared" si="404"/>
        <v>RECEITAS COM ENTREGAS</v>
      </c>
      <c r="P947">
        <v>67.41</v>
      </c>
      <c r="Q947" t="str">
        <f>"FARMÁCIA INDIANA LJ 143 (10067)"</f>
        <v>FARMÁCIA INDIANA LJ 143 (10067)</v>
      </c>
      <c r="R947" t="str">
        <f t="shared" si="405"/>
        <v>RECEITAS COM ENTREGAS (303)</v>
      </c>
      <c r="S947">
        <v>3289</v>
      </c>
      <c r="T947">
        <v>2661</v>
      </c>
      <c r="U947" t="s">
        <v>21</v>
      </c>
    </row>
    <row r="948" spans="1:21">
      <c r="A948" t="str">
        <f t="shared" si="395"/>
        <v>26/11/2025</v>
      </c>
      <c r="B948" t="str">
        <f t="shared" si="396"/>
        <v>ENTRADA</v>
      </c>
      <c r="C948" t="str">
        <f t="shared" si="397"/>
        <v>NFSE</v>
      </c>
      <c r="D948" t="str">
        <f t="shared" si="398"/>
        <v>3857</v>
      </c>
      <c r="E948" t="str">
        <f t="shared" si="406"/>
        <v>COM</v>
      </c>
      <c r="F948" t="str">
        <f t="shared" si="399"/>
        <v>FARMÁCIA INDIANA LJ 1 (10126)</v>
      </c>
      <c r="G948" t="str">
        <f t="shared" si="400"/>
        <v>Serv.Prest. 10/11/2025 a 16/11/2025 - RPS: 1620 - NFSe: 3857</v>
      </c>
      <c r="H948" t="str">
        <f t="shared" si="401"/>
        <v>26/11/2025</v>
      </c>
      <c r="I948" t="str">
        <f t="shared" si="402"/>
        <v>18/11/2025</v>
      </c>
      <c r="J948" t="str">
        <f t="shared" si="403"/>
        <v>26/11/2025</v>
      </c>
      <c r="M948">
        <v>303</v>
      </c>
      <c r="N948" t="str">
        <f t="shared" si="404"/>
        <v>RECEITAS COM ENTREGAS</v>
      </c>
      <c r="P948">
        <v>362.99</v>
      </c>
      <c r="Q948" t="str">
        <f>"FARMÁCIA INDIANA LJ 152 (10069)"</f>
        <v>FARMÁCIA INDIANA LJ 152 (10069)</v>
      </c>
      <c r="R948" t="str">
        <f t="shared" si="405"/>
        <v>RECEITAS COM ENTREGAS (303)</v>
      </c>
      <c r="S948">
        <v>3289</v>
      </c>
      <c r="T948">
        <v>2661</v>
      </c>
      <c r="U948" t="s">
        <v>21</v>
      </c>
    </row>
    <row r="949" spans="1:21">
      <c r="A949" t="str">
        <f t="shared" si="395"/>
        <v>26/11/2025</v>
      </c>
      <c r="B949" t="str">
        <f t="shared" si="396"/>
        <v>ENTRADA</v>
      </c>
      <c r="C949" t="str">
        <f t="shared" si="397"/>
        <v>NFSE</v>
      </c>
      <c r="D949" t="str">
        <f t="shared" si="398"/>
        <v>3857</v>
      </c>
      <c r="E949" t="str">
        <f t="shared" si="406"/>
        <v>COM</v>
      </c>
      <c r="F949" t="str">
        <f t="shared" si="399"/>
        <v>FARMÁCIA INDIANA LJ 1 (10126)</v>
      </c>
      <c r="G949" t="str">
        <f t="shared" si="400"/>
        <v>Serv.Prest. 10/11/2025 a 16/11/2025 - RPS: 1620 - NFSe: 3857</v>
      </c>
      <c r="H949" t="str">
        <f t="shared" si="401"/>
        <v>26/11/2025</v>
      </c>
      <c r="I949" t="str">
        <f t="shared" si="402"/>
        <v>18/11/2025</v>
      </c>
      <c r="J949" t="str">
        <f t="shared" si="403"/>
        <v>26/11/2025</v>
      </c>
      <c r="M949">
        <v>303</v>
      </c>
      <c r="N949" t="str">
        <f t="shared" si="404"/>
        <v>RECEITAS COM ENTREGAS</v>
      </c>
      <c r="P949">
        <v>24.63</v>
      </c>
      <c r="Q949" t="str">
        <f>"FARMÁCIA INDIANA LJ 154 (10070)"</f>
        <v>FARMÁCIA INDIANA LJ 154 (10070)</v>
      </c>
      <c r="R949" t="str">
        <f t="shared" si="405"/>
        <v>RECEITAS COM ENTREGAS (303)</v>
      </c>
      <c r="S949">
        <v>3289</v>
      </c>
      <c r="T949">
        <v>2661</v>
      </c>
      <c r="U949" t="s">
        <v>21</v>
      </c>
    </row>
    <row r="950" spans="1:21">
      <c r="A950" t="str">
        <f t="shared" si="395"/>
        <v>26/11/2025</v>
      </c>
      <c r="B950" t="str">
        <f t="shared" si="396"/>
        <v>ENTRADA</v>
      </c>
      <c r="C950" t="str">
        <f t="shared" si="397"/>
        <v>NFSE</v>
      </c>
      <c r="D950" t="str">
        <f t="shared" si="398"/>
        <v>3857</v>
      </c>
      <c r="E950" t="str">
        <f t="shared" si="406"/>
        <v>COM</v>
      </c>
      <c r="F950" t="str">
        <f t="shared" si="399"/>
        <v>FARMÁCIA INDIANA LJ 1 (10126)</v>
      </c>
      <c r="G950" t="str">
        <f t="shared" si="400"/>
        <v>Serv.Prest. 10/11/2025 a 16/11/2025 - RPS: 1620 - NFSe: 3857</v>
      </c>
      <c r="H950" t="str">
        <f t="shared" si="401"/>
        <v>26/11/2025</v>
      </c>
      <c r="I950" t="str">
        <f t="shared" si="402"/>
        <v>18/11/2025</v>
      </c>
      <c r="J950" t="str">
        <f t="shared" si="403"/>
        <v>26/11/2025</v>
      </c>
      <c r="M950">
        <v>303</v>
      </c>
      <c r="N950" t="str">
        <f t="shared" si="404"/>
        <v>RECEITAS COM ENTREGAS</v>
      </c>
      <c r="P950">
        <v>213.91</v>
      </c>
      <c r="Q950" t="str">
        <f>"FARMÁCIA INDIANA LJ 171 (10074)"</f>
        <v>FARMÁCIA INDIANA LJ 171 (10074)</v>
      </c>
      <c r="R950" t="str">
        <f t="shared" si="405"/>
        <v>RECEITAS COM ENTREGAS (303)</v>
      </c>
      <c r="S950">
        <v>3289</v>
      </c>
      <c r="T950">
        <v>2661</v>
      </c>
      <c r="U950" t="s">
        <v>21</v>
      </c>
    </row>
    <row r="951" spans="1:21">
      <c r="A951" t="str">
        <f t="shared" si="395"/>
        <v>26/11/2025</v>
      </c>
      <c r="B951" t="str">
        <f t="shared" si="396"/>
        <v>ENTRADA</v>
      </c>
      <c r="C951" t="str">
        <f t="shared" si="397"/>
        <v>NFSE</v>
      </c>
      <c r="D951" t="str">
        <f t="shared" si="398"/>
        <v>3857</v>
      </c>
      <c r="E951" t="str">
        <f t="shared" si="406"/>
        <v>COM</v>
      </c>
      <c r="F951" t="str">
        <f t="shared" si="399"/>
        <v>FARMÁCIA INDIANA LJ 1 (10126)</v>
      </c>
      <c r="G951" t="str">
        <f t="shared" si="400"/>
        <v>Serv.Prest. 10/11/2025 a 16/11/2025 - RPS: 1620 - NFSe: 3857</v>
      </c>
      <c r="H951" t="str">
        <f t="shared" si="401"/>
        <v>26/11/2025</v>
      </c>
      <c r="I951" t="str">
        <f t="shared" si="402"/>
        <v>18/11/2025</v>
      </c>
      <c r="J951" t="str">
        <f t="shared" si="403"/>
        <v>26/11/2025</v>
      </c>
      <c r="M951">
        <v>303</v>
      </c>
      <c r="N951" t="str">
        <f t="shared" si="404"/>
        <v>RECEITAS COM ENTREGAS</v>
      </c>
      <c r="P951">
        <v>81.67</v>
      </c>
      <c r="Q951" t="str">
        <f>"FARMÁCIA INDIANA LJ 175 (10076)"</f>
        <v>FARMÁCIA INDIANA LJ 175 (10076)</v>
      </c>
      <c r="R951" t="str">
        <f t="shared" si="405"/>
        <v>RECEITAS COM ENTREGAS (303)</v>
      </c>
      <c r="S951">
        <v>3289</v>
      </c>
      <c r="T951">
        <v>2661</v>
      </c>
      <c r="U951" t="s">
        <v>21</v>
      </c>
    </row>
    <row r="952" spans="1:21">
      <c r="A952" t="str">
        <f t="shared" ref="A952:A983" si="407">("26/11/2025")</f>
        <v>26/11/2025</v>
      </c>
      <c r="B952" t="str">
        <f t="shared" ref="B952:B983" si="408">"ENTRADA"</f>
        <v>ENTRADA</v>
      </c>
      <c r="C952" t="str">
        <f t="shared" ref="C952:C983" si="409">"NFSE"</f>
        <v>NFSE</v>
      </c>
      <c r="D952" t="str">
        <f t="shared" ref="D952:D968" si="410">"3857"</f>
        <v>3857</v>
      </c>
      <c r="E952" t="str">
        <f t="shared" si="406"/>
        <v>COM</v>
      </c>
      <c r="F952" t="str">
        <f t="shared" ref="F952:F968" si="411">"FARMÁCIA INDIANA LJ 1 (10126)"</f>
        <v>FARMÁCIA INDIANA LJ 1 (10126)</v>
      </c>
      <c r="G952" t="str">
        <f t="shared" ref="G952:G968" si="412">"Serv.Prest. 10/11/2025 a 16/11/2025 - RPS: 1620 - NFSe: 3857"</f>
        <v>Serv.Prest. 10/11/2025 a 16/11/2025 - RPS: 1620 - NFSe: 3857</v>
      </c>
      <c r="H952" t="str">
        <f t="shared" si="401"/>
        <v>26/11/2025</v>
      </c>
      <c r="I952" t="str">
        <f t="shared" ref="I952:I983" si="413">("18/11/2025")</f>
        <v>18/11/2025</v>
      </c>
      <c r="J952" t="str">
        <f t="shared" ref="J952:J983" si="414">("26/11/2025")</f>
        <v>26/11/2025</v>
      </c>
      <c r="M952">
        <v>303</v>
      </c>
      <c r="N952" t="str">
        <f t="shared" ref="N952:N983" si="415">"RECEITAS COM ENTREGAS"</f>
        <v>RECEITAS COM ENTREGAS</v>
      </c>
      <c r="P952">
        <v>128.34</v>
      </c>
      <c r="Q952" t="str">
        <f>"FARMÁCIA INDIANA LJ 178 (10077)"</f>
        <v>FARMÁCIA INDIANA LJ 178 (10077)</v>
      </c>
      <c r="R952" t="str">
        <f t="shared" ref="R952:R983" si="416">"RECEITAS COM ENTREGAS (303)"</f>
        <v>RECEITAS COM ENTREGAS (303)</v>
      </c>
      <c r="S952">
        <v>3289</v>
      </c>
      <c r="T952">
        <v>2661</v>
      </c>
      <c r="U952" t="s">
        <v>21</v>
      </c>
    </row>
    <row r="953" spans="1:21">
      <c r="A953" t="str">
        <f t="shared" si="407"/>
        <v>26/11/2025</v>
      </c>
      <c r="B953" t="str">
        <f t="shared" si="408"/>
        <v>ENTRADA</v>
      </c>
      <c r="C953" t="str">
        <f t="shared" si="409"/>
        <v>NFSE</v>
      </c>
      <c r="D953" t="str">
        <f t="shared" si="410"/>
        <v>3857</v>
      </c>
      <c r="E953" t="str">
        <f t="shared" si="406"/>
        <v>COM</v>
      </c>
      <c r="F953" t="str">
        <f t="shared" si="411"/>
        <v>FARMÁCIA INDIANA LJ 1 (10126)</v>
      </c>
      <c r="G953" t="str">
        <f t="shared" si="412"/>
        <v>Serv.Prest. 10/11/2025 a 16/11/2025 - RPS: 1620 - NFSe: 3857</v>
      </c>
      <c r="H953" t="str">
        <f t="shared" si="401"/>
        <v>26/11/2025</v>
      </c>
      <c r="I953" t="str">
        <f t="shared" si="413"/>
        <v>18/11/2025</v>
      </c>
      <c r="J953" t="str">
        <f t="shared" si="414"/>
        <v>26/11/2025</v>
      </c>
      <c r="M953">
        <v>303</v>
      </c>
      <c r="N953" t="str">
        <f t="shared" si="415"/>
        <v>RECEITAS COM ENTREGAS</v>
      </c>
      <c r="P953">
        <v>50.56</v>
      </c>
      <c r="Q953" t="str">
        <f>"FARMÁCIA INDIANA LJ 182 (10079)"</f>
        <v>FARMÁCIA INDIANA LJ 182 (10079)</v>
      </c>
      <c r="R953" t="str">
        <f t="shared" si="416"/>
        <v>RECEITAS COM ENTREGAS (303)</v>
      </c>
      <c r="S953">
        <v>3289</v>
      </c>
      <c r="T953">
        <v>2661</v>
      </c>
      <c r="U953" t="s">
        <v>21</v>
      </c>
    </row>
    <row r="954" spans="1:21">
      <c r="A954" t="str">
        <f t="shared" si="407"/>
        <v>26/11/2025</v>
      </c>
      <c r="B954" t="str">
        <f t="shared" si="408"/>
        <v>ENTRADA</v>
      </c>
      <c r="C954" t="str">
        <f t="shared" si="409"/>
        <v>NFSE</v>
      </c>
      <c r="D954" t="str">
        <f t="shared" si="410"/>
        <v>3857</v>
      </c>
      <c r="E954" t="str">
        <f t="shared" si="406"/>
        <v>COM</v>
      </c>
      <c r="F954" t="str">
        <f t="shared" si="411"/>
        <v>FARMÁCIA INDIANA LJ 1 (10126)</v>
      </c>
      <c r="G954" t="str">
        <f t="shared" si="412"/>
        <v>Serv.Prest. 10/11/2025 a 16/11/2025 - RPS: 1620 - NFSe: 3857</v>
      </c>
      <c r="H954" t="str">
        <f t="shared" si="401"/>
        <v>26/11/2025</v>
      </c>
      <c r="I954" t="str">
        <f t="shared" si="413"/>
        <v>18/11/2025</v>
      </c>
      <c r="J954" t="str">
        <f t="shared" si="414"/>
        <v>26/11/2025</v>
      </c>
      <c r="M954">
        <v>303</v>
      </c>
      <c r="N954" t="str">
        <f t="shared" si="415"/>
        <v>RECEITAS COM ENTREGAS</v>
      </c>
      <c r="P954">
        <v>40.19</v>
      </c>
      <c r="Q954" t="str">
        <f>"FARMÁCIA INDIANA LJ 184 (10080)"</f>
        <v>FARMÁCIA INDIANA LJ 184 (10080)</v>
      </c>
      <c r="R954" t="str">
        <f t="shared" si="416"/>
        <v>RECEITAS COM ENTREGAS (303)</v>
      </c>
      <c r="S954">
        <v>3289</v>
      </c>
      <c r="T954">
        <v>2661</v>
      </c>
      <c r="U954" t="s">
        <v>21</v>
      </c>
    </row>
    <row r="955" spans="1:21">
      <c r="A955" t="str">
        <f t="shared" si="407"/>
        <v>26/11/2025</v>
      </c>
      <c r="B955" t="str">
        <f t="shared" si="408"/>
        <v>ENTRADA</v>
      </c>
      <c r="C955" t="str">
        <f t="shared" si="409"/>
        <v>NFSE</v>
      </c>
      <c r="D955" t="str">
        <f t="shared" si="410"/>
        <v>3857</v>
      </c>
      <c r="E955" t="str">
        <f t="shared" si="406"/>
        <v>COM</v>
      </c>
      <c r="F955" t="str">
        <f t="shared" si="411"/>
        <v>FARMÁCIA INDIANA LJ 1 (10126)</v>
      </c>
      <c r="G955" t="str">
        <f t="shared" si="412"/>
        <v>Serv.Prest. 10/11/2025 a 16/11/2025 - RPS: 1620 - NFSe: 3857</v>
      </c>
      <c r="H955" t="str">
        <f t="shared" si="401"/>
        <v>26/11/2025</v>
      </c>
      <c r="I955" t="str">
        <f t="shared" si="413"/>
        <v>18/11/2025</v>
      </c>
      <c r="J955" t="str">
        <f t="shared" si="414"/>
        <v>26/11/2025</v>
      </c>
      <c r="M955">
        <v>303</v>
      </c>
      <c r="N955" t="str">
        <f t="shared" si="415"/>
        <v>RECEITAS COM ENTREGAS</v>
      </c>
      <c r="P955">
        <v>50.56</v>
      </c>
      <c r="Q955" t="str">
        <f>"FARMÁCIA INDIANA LJ 186 (10081)"</f>
        <v>FARMÁCIA INDIANA LJ 186 (10081)</v>
      </c>
      <c r="R955" t="str">
        <f t="shared" si="416"/>
        <v>RECEITAS COM ENTREGAS (303)</v>
      </c>
      <c r="S955">
        <v>3289</v>
      </c>
      <c r="T955">
        <v>2661</v>
      </c>
      <c r="U955" t="s">
        <v>21</v>
      </c>
    </row>
    <row r="956" spans="1:21">
      <c r="A956" t="str">
        <f t="shared" si="407"/>
        <v>26/11/2025</v>
      </c>
      <c r="B956" t="str">
        <f t="shared" si="408"/>
        <v>ENTRADA</v>
      </c>
      <c r="C956" t="str">
        <f t="shared" si="409"/>
        <v>NFSE</v>
      </c>
      <c r="D956" t="str">
        <f t="shared" si="410"/>
        <v>3857</v>
      </c>
      <c r="E956" t="str">
        <f t="shared" si="406"/>
        <v>COM</v>
      </c>
      <c r="F956" t="str">
        <f t="shared" si="411"/>
        <v>FARMÁCIA INDIANA LJ 1 (10126)</v>
      </c>
      <c r="G956" t="str">
        <f t="shared" si="412"/>
        <v>Serv.Prest. 10/11/2025 a 16/11/2025 - RPS: 1620 - NFSe: 3857</v>
      </c>
      <c r="H956" t="str">
        <f t="shared" si="401"/>
        <v>26/11/2025</v>
      </c>
      <c r="I956" t="str">
        <f t="shared" si="413"/>
        <v>18/11/2025</v>
      </c>
      <c r="J956" t="str">
        <f t="shared" si="414"/>
        <v>26/11/2025</v>
      </c>
      <c r="M956">
        <v>303</v>
      </c>
      <c r="N956" t="str">
        <f t="shared" si="415"/>
        <v>RECEITAS COM ENTREGAS</v>
      </c>
      <c r="P956">
        <v>89.45</v>
      </c>
      <c r="Q956" t="str">
        <f>"FARMÁCIA INDIANA LJ 192 (10082)"</f>
        <v>FARMÁCIA INDIANA LJ 192 (10082)</v>
      </c>
      <c r="R956" t="str">
        <f t="shared" si="416"/>
        <v>RECEITAS COM ENTREGAS (303)</v>
      </c>
      <c r="S956">
        <v>3289</v>
      </c>
      <c r="T956">
        <v>2661</v>
      </c>
      <c r="U956" t="s">
        <v>21</v>
      </c>
    </row>
    <row r="957" spans="1:21">
      <c r="A957" t="str">
        <f t="shared" si="407"/>
        <v>26/11/2025</v>
      </c>
      <c r="B957" t="str">
        <f t="shared" si="408"/>
        <v>ENTRADA</v>
      </c>
      <c r="C957" t="str">
        <f t="shared" si="409"/>
        <v>NFSE</v>
      </c>
      <c r="D957" t="str">
        <f t="shared" si="410"/>
        <v>3857</v>
      </c>
      <c r="E957" t="str">
        <f t="shared" si="406"/>
        <v>COM</v>
      </c>
      <c r="F957" t="str">
        <f t="shared" si="411"/>
        <v>FARMÁCIA INDIANA LJ 1 (10126)</v>
      </c>
      <c r="G957" t="str">
        <f t="shared" si="412"/>
        <v>Serv.Prest. 10/11/2025 a 16/11/2025 - RPS: 1620 - NFSe: 3857</v>
      </c>
      <c r="H957" t="str">
        <f t="shared" si="401"/>
        <v>26/11/2025</v>
      </c>
      <c r="I957" t="str">
        <f t="shared" si="413"/>
        <v>18/11/2025</v>
      </c>
      <c r="J957" t="str">
        <f t="shared" si="414"/>
        <v>26/11/2025</v>
      </c>
      <c r="M957">
        <v>303</v>
      </c>
      <c r="N957" t="str">
        <f t="shared" si="415"/>
        <v>RECEITAS COM ENTREGAS</v>
      </c>
      <c r="P957">
        <v>40.19</v>
      </c>
      <c r="Q957" t="str">
        <f>"FARMÁCIA INDIANA LJ 195 (10083)"</f>
        <v>FARMÁCIA INDIANA LJ 195 (10083)</v>
      </c>
      <c r="R957" t="str">
        <f t="shared" si="416"/>
        <v>RECEITAS COM ENTREGAS (303)</v>
      </c>
      <c r="S957">
        <v>3289</v>
      </c>
      <c r="T957">
        <v>2661</v>
      </c>
      <c r="U957" t="s">
        <v>21</v>
      </c>
    </row>
    <row r="958" spans="1:21">
      <c r="A958" t="str">
        <f t="shared" si="407"/>
        <v>26/11/2025</v>
      </c>
      <c r="B958" t="str">
        <f t="shared" si="408"/>
        <v>ENTRADA</v>
      </c>
      <c r="C958" t="str">
        <f t="shared" si="409"/>
        <v>NFSE</v>
      </c>
      <c r="D958" t="str">
        <f t="shared" si="410"/>
        <v>3857</v>
      </c>
      <c r="E958" t="str">
        <f t="shared" si="406"/>
        <v>COM</v>
      </c>
      <c r="F958" t="str">
        <f t="shared" si="411"/>
        <v>FARMÁCIA INDIANA LJ 1 (10126)</v>
      </c>
      <c r="G958" t="str">
        <f t="shared" si="412"/>
        <v>Serv.Prest. 10/11/2025 a 16/11/2025 - RPS: 1620 - NFSe: 3857</v>
      </c>
      <c r="H958" t="str">
        <f t="shared" si="401"/>
        <v>26/11/2025</v>
      </c>
      <c r="I958" t="str">
        <f t="shared" si="413"/>
        <v>18/11/2025</v>
      </c>
      <c r="J958" t="str">
        <f t="shared" si="414"/>
        <v>26/11/2025</v>
      </c>
      <c r="M958">
        <v>303</v>
      </c>
      <c r="N958" t="str">
        <f t="shared" si="415"/>
        <v>RECEITAS COM ENTREGAS</v>
      </c>
      <c r="P958">
        <v>99.82</v>
      </c>
      <c r="Q958" t="str">
        <f>"FARMÁCIA INDIANA LJ 202 (10085)"</f>
        <v>FARMÁCIA INDIANA LJ 202 (10085)</v>
      </c>
      <c r="R958" t="str">
        <f t="shared" si="416"/>
        <v>RECEITAS COM ENTREGAS (303)</v>
      </c>
      <c r="S958">
        <v>3289</v>
      </c>
      <c r="T958">
        <v>2661</v>
      </c>
      <c r="U958" t="s">
        <v>21</v>
      </c>
    </row>
    <row r="959" spans="1:21">
      <c r="A959" t="str">
        <f t="shared" si="407"/>
        <v>26/11/2025</v>
      </c>
      <c r="B959" t="str">
        <f t="shared" si="408"/>
        <v>ENTRADA</v>
      </c>
      <c r="C959" t="str">
        <f t="shared" si="409"/>
        <v>NFSE</v>
      </c>
      <c r="D959" t="str">
        <f t="shared" si="410"/>
        <v>3857</v>
      </c>
      <c r="E959" t="str">
        <f t="shared" si="406"/>
        <v>COM</v>
      </c>
      <c r="F959" t="str">
        <f t="shared" si="411"/>
        <v>FARMÁCIA INDIANA LJ 1 (10126)</v>
      </c>
      <c r="G959" t="str">
        <f t="shared" si="412"/>
        <v>Serv.Prest. 10/11/2025 a 16/11/2025 - RPS: 1620 - NFSe: 3857</v>
      </c>
      <c r="H959" t="str">
        <f t="shared" si="401"/>
        <v>26/11/2025</v>
      </c>
      <c r="I959" t="str">
        <f t="shared" si="413"/>
        <v>18/11/2025</v>
      </c>
      <c r="J959" t="str">
        <f t="shared" si="414"/>
        <v>26/11/2025</v>
      </c>
      <c r="M959">
        <v>303</v>
      </c>
      <c r="N959" t="str">
        <f t="shared" si="415"/>
        <v>RECEITAS COM ENTREGAS</v>
      </c>
      <c r="P959">
        <v>80.38</v>
      </c>
      <c r="Q959" t="str">
        <f>"FARMÁCIA INDIANA LJ 204 (10087)"</f>
        <v>FARMÁCIA INDIANA LJ 204 (10087)</v>
      </c>
      <c r="R959" t="str">
        <f t="shared" si="416"/>
        <v>RECEITAS COM ENTREGAS (303)</v>
      </c>
      <c r="S959">
        <v>3289</v>
      </c>
      <c r="T959">
        <v>2661</v>
      </c>
      <c r="U959" t="s">
        <v>21</v>
      </c>
    </row>
    <row r="960" spans="1:21">
      <c r="A960" t="str">
        <f t="shared" si="407"/>
        <v>26/11/2025</v>
      </c>
      <c r="B960" t="str">
        <f t="shared" si="408"/>
        <v>ENTRADA</v>
      </c>
      <c r="C960" t="str">
        <f t="shared" si="409"/>
        <v>NFSE</v>
      </c>
      <c r="D960" t="str">
        <f t="shared" si="410"/>
        <v>3857</v>
      </c>
      <c r="E960" t="str">
        <f t="shared" si="406"/>
        <v>COM</v>
      </c>
      <c r="F960" t="str">
        <f t="shared" si="411"/>
        <v>FARMÁCIA INDIANA LJ 1 (10126)</v>
      </c>
      <c r="G960" t="str">
        <f t="shared" si="412"/>
        <v>Serv.Prest. 10/11/2025 a 16/11/2025 - RPS: 1620 - NFSe: 3857</v>
      </c>
      <c r="H960" t="str">
        <f t="shared" si="401"/>
        <v>26/11/2025</v>
      </c>
      <c r="I960" t="str">
        <f t="shared" si="413"/>
        <v>18/11/2025</v>
      </c>
      <c r="J960" t="str">
        <f t="shared" si="414"/>
        <v>26/11/2025</v>
      </c>
      <c r="M960">
        <v>303</v>
      </c>
      <c r="N960" t="str">
        <f t="shared" si="415"/>
        <v>RECEITAS COM ENTREGAS</v>
      </c>
      <c r="P960">
        <v>146.49</v>
      </c>
      <c r="Q960" t="str">
        <f>"FARMÁCIA INDIANA LJ 207 (10088)"</f>
        <v>FARMÁCIA INDIANA LJ 207 (10088)</v>
      </c>
      <c r="R960" t="str">
        <f t="shared" si="416"/>
        <v>RECEITAS COM ENTREGAS (303)</v>
      </c>
      <c r="S960">
        <v>3289</v>
      </c>
      <c r="T960">
        <v>2661</v>
      </c>
      <c r="U960" t="s">
        <v>21</v>
      </c>
    </row>
    <row r="961" spans="1:21">
      <c r="A961" t="str">
        <f t="shared" si="407"/>
        <v>26/11/2025</v>
      </c>
      <c r="B961" t="str">
        <f t="shared" si="408"/>
        <v>ENTRADA</v>
      </c>
      <c r="C961" t="str">
        <f t="shared" si="409"/>
        <v>NFSE</v>
      </c>
      <c r="D961" t="str">
        <f t="shared" si="410"/>
        <v>3857</v>
      </c>
      <c r="E961" t="str">
        <f t="shared" si="406"/>
        <v>COM</v>
      </c>
      <c r="F961" t="str">
        <f t="shared" si="411"/>
        <v>FARMÁCIA INDIANA LJ 1 (10126)</v>
      </c>
      <c r="G961" t="str">
        <f t="shared" si="412"/>
        <v>Serv.Prest. 10/11/2025 a 16/11/2025 - RPS: 1620 - NFSe: 3857</v>
      </c>
      <c r="H961" t="str">
        <f t="shared" si="401"/>
        <v>26/11/2025</v>
      </c>
      <c r="I961" t="str">
        <f t="shared" si="413"/>
        <v>18/11/2025</v>
      </c>
      <c r="J961" t="str">
        <f t="shared" si="414"/>
        <v>26/11/2025</v>
      </c>
      <c r="M961">
        <v>303</v>
      </c>
      <c r="N961" t="str">
        <f t="shared" si="415"/>
        <v>RECEITAS COM ENTREGAS</v>
      </c>
      <c r="P961">
        <v>125.75</v>
      </c>
      <c r="Q961" t="str">
        <f>"FARMÁCIA INDIANA LJ 209 (10089)"</f>
        <v>FARMÁCIA INDIANA LJ 209 (10089)</v>
      </c>
      <c r="R961" t="str">
        <f t="shared" si="416"/>
        <v>RECEITAS COM ENTREGAS (303)</v>
      </c>
      <c r="S961">
        <v>3289</v>
      </c>
      <c r="T961">
        <v>2661</v>
      </c>
      <c r="U961" t="s">
        <v>21</v>
      </c>
    </row>
    <row r="962" spans="1:21">
      <c r="A962" t="str">
        <f t="shared" si="407"/>
        <v>26/11/2025</v>
      </c>
      <c r="B962" t="str">
        <f t="shared" si="408"/>
        <v>ENTRADA</v>
      </c>
      <c r="C962" t="str">
        <f t="shared" si="409"/>
        <v>NFSE</v>
      </c>
      <c r="D962" t="str">
        <f t="shared" si="410"/>
        <v>3857</v>
      </c>
      <c r="E962" t="str">
        <f t="shared" si="406"/>
        <v>COM</v>
      </c>
      <c r="F962" t="str">
        <f t="shared" si="411"/>
        <v>FARMÁCIA INDIANA LJ 1 (10126)</v>
      </c>
      <c r="G962" t="str">
        <f t="shared" si="412"/>
        <v>Serv.Prest. 10/11/2025 a 16/11/2025 - RPS: 1620 - NFSe: 3857</v>
      </c>
      <c r="H962" t="str">
        <f t="shared" si="401"/>
        <v>26/11/2025</v>
      </c>
      <c r="I962" t="str">
        <f t="shared" si="413"/>
        <v>18/11/2025</v>
      </c>
      <c r="J962" t="str">
        <f t="shared" si="414"/>
        <v>26/11/2025</v>
      </c>
      <c r="M962">
        <v>303</v>
      </c>
      <c r="N962" t="str">
        <f t="shared" si="415"/>
        <v>RECEITAS COM ENTREGAS</v>
      </c>
      <c r="P962">
        <v>216.5</v>
      </c>
      <c r="Q962" t="str">
        <f>"FARMÁCIA INDIANA LJ 219 (10091)"</f>
        <v>FARMÁCIA INDIANA LJ 219 (10091)</v>
      </c>
      <c r="R962" t="str">
        <f t="shared" si="416"/>
        <v>RECEITAS COM ENTREGAS (303)</v>
      </c>
      <c r="S962">
        <v>3289</v>
      </c>
      <c r="T962">
        <v>2661</v>
      </c>
      <c r="U962" t="s">
        <v>21</v>
      </c>
    </row>
    <row r="963" spans="1:21">
      <c r="A963" t="str">
        <f t="shared" si="407"/>
        <v>26/11/2025</v>
      </c>
      <c r="B963" t="str">
        <f t="shared" si="408"/>
        <v>ENTRADA</v>
      </c>
      <c r="C963" t="str">
        <f t="shared" si="409"/>
        <v>NFSE</v>
      </c>
      <c r="D963" t="str">
        <f t="shared" si="410"/>
        <v>3857</v>
      </c>
      <c r="E963" t="str">
        <f t="shared" si="406"/>
        <v>COM</v>
      </c>
      <c r="F963" t="str">
        <f t="shared" si="411"/>
        <v>FARMÁCIA INDIANA LJ 1 (10126)</v>
      </c>
      <c r="G963" t="str">
        <f t="shared" si="412"/>
        <v>Serv.Prest. 10/11/2025 a 16/11/2025 - RPS: 1620 - NFSe: 3857</v>
      </c>
      <c r="H963" t="str">
        <f t="shared" si="401"/>
        <v>26/11/2025</v>
      </c>
      <c r="I963" t="str">
        <f t="shared" si="413"/>
        <v>18/11/2025</v>
      </c>
      <c r="J963" t="str">
        <f t="shared" si="414"/>
        <v>26/11/2025</v>
      </c>
      <c r="M963">
        <v>303</v>
      </c>
      <c r="N963" t="str">
        <f t="shared" si="415"/>
        <v>RECEITAS COM ENTREGAS</v>
      </c>
      <c r="P963">
        <v>281.32</v>
      </c>
      <c r="Q963" t="str">
        <f>"FARMÁCIA INDIANA LJ 220 (10092)"</f>
        <v>FARMÁCIA INDIANA LJ 220 (10092)</v>
      </c>
      <c r="R963" t="str">
        <f t="shared" si="416"/>
        <v>RECEITAS COM ENTREGAS (303)</v>
      </c>
      <c r="S963">
        <v>3289</v>
      </c>
      <c r="T963">
        <v>2661</v>
      </c>
      <c r="U963" t="s">
        <v>21</v>
      </c>
    </row>
    <row r="964" spans="1:21">
      <c r="A964" t="str">
        <f t="shared" si="407"/>
        <v>26/11/2025</v>
      </c>
      <c r="B964" t="str">
        <f t="shared" si="408"/>
        <v>ENTRADA</v>
      </c>
      <c r="C964" t="str">
        <f t="shared" si="409"/>
        <v>NFSE</v>
      </c>
      <c r="D964" t="str">
        <f t="shared" si="410"/>
        <v>3857</v>
      </c>
      <c r="E964" t="str">
        <f t="shared" si="406"/>
        <v>COM</v>
      </c>
      <c r="F964" t="str">
        <f t="shared" si="411"/>
        <v>FARMÁCIA INDIANA LJ 1 (10126)</v>
      </c>
      <c r="G964" t="str">
        <f t="shared" si="412"/>
        <v>Serv.Prest. 10/11/2025 a 16/11/2025 - RPS: 1620 - NFSe: 3857</v>
      </c>
      <c r="H964" t="str">
        <f t="shared" si="401"/>
        <v>26/11/2025</v>
      </c>
      <c r="I964" t="str">
        <f t="shared" si="413"/>
        <v>18/11/2025</v>
      </c>
      <c r="J964" t="str">
        <f t="shared" si="414"/>
        <v>26/11/2025</v>
      </c>
      <c r="M964">
        <v>303</v>
      </c>
      <c r="N964" t="str">
        <f t="shared" si="415"/>
        <v>RECEITAS COM ENTREGAS</v>
      </c>
      <c r="P964">
        <v>114.08</v>
      </c>
      <c r="Q964" t="str">
        <f>"FARMÁCIA INDIANA LJ 185 (10141)"</f>
        <v>FARMÁCIA INDIANA LJ 185 (10141)</v>
      </c>
      <c r="R964" t="str">
        <f t="shared" si="416"/>
        <v>RECEITAS COM ENTREGAS (303)</v>
      </c>
      <c r="S964">
        <v>3289</v>
      </c>
      <c r="T964">
        <v>2661</v>
      </c>
      <c r="U964" t="s">
        <v>21</v>
      </c>
    </row>
    <row r="965" spans="1:21">
      <c r="A965" t="str">
        <f t="shared" si="407"/>
        <v>26/11/2025</v>
      </c>
      <c r="B965" t="str">
        <f t="shared" si="408"/>
        <v>ENTRADA</v>
      </c>
      <c r="C965" t="str">
        <f t="shared" si="409"/>
        <v>NFSE</v>
      </c>
      <c r="D965" t="str">
        <f t="shared" si="410"/>
        <v>3857</v>
      </c>
      <c r="E965" t="str">
        <f t="shared" si="406"/>
        <v>COM</v>
      </c>
      <c r="F965" t="str">
        <f t="shared" si="411"/>
        <v>FARMÁCIA INDIANA LJ 1 (10126)</v>
      </c>
      <c r="G965" t="str">
        <f t="shared" si="412"/>
        <v>Serv.Prest. 10/11/2025 a 16/11/2025 - RPS: 1620 - NFSe: 3857</v>
      </c>
      <c r="H965" t="str">
        <f t="shared" si="401"/>
        <v>26/11/2025</v>
      </c>
      <c r="I965" t="str">
        <f t="shared" si="413"/>
        <v>18/11/2025</v>
      </c>
      <c r="J965" t="str">
        <f t="shared" si="414"/>
        <v>26/11/2025</v>
      </c>
      <c r="M965">
        <v>303</v>
      </c>
      <c r="N965" t="str">
        <f t="shared" si="415"/>
        <v>RECEITAS COM ENTREGAS</v>
      </c>
      <c r="P965">
        <v>106.3</v>
      </c>
      <c r="Q965" t="str">
        <f>"FARMÁCIA INDIANA LJ 205 (10150)"</f>
        <v>FARMÁCIA INDIANA LJ 205 (10150)</v>
      </c>
      <c r="R965" t="str">
        <f t="shared" si="416"/>
        <v>RECEITAS COM ENTREGAS (303)</v>
      </c>
      <c r="S965">
        <v>3289</v>
      </c>
      <c r="T965">
        <v>2661</v>
      </c>
      <c r="U965" t="s">
        <v>21</v>
      </c>
    </row>
    <row r="966" spans="1:21">
      <c r="A966" t="str">
        <f t="shared" si="407"/>
        <v>26/11/2025</v>
      </c>
      <c r="B966" t="str">
        <f t="shared" si="408"/>
        <v>ENTRADA</v>
      </c>
      <c r="C966" t="str">
        <f t="shared" si="409"/>
        <v>NFSE</v>
      </c>
      <c r="D966" t="str">
        <f t="shared" si="410"/>
        <v>3857</v>
      </c>
      <c r="E966" t="str">
        <f t="shared" ref="E966:E997" si="417">"COM"</f>
        <v>COM</v>
      </c>
      <c r="F966" t="str">
        <f t="shared" si="411"/>
        <v>FARMÁCIA INDIANA LJ 1 (10126)</v>
      </c>
      <c r="G966" t="str">
        <f t="shared" si="412"/>
        <v>Serv.Prest. 10/11/2025 a 16/11/2025 - RPS: 1620 - NFSe: 3857</v>
      </c>
      <c r="H966" t="str">
        <f t="shared" si="401"/>
        <v>26/11/2025</v>
      </c>
      <c r="I966" t="str">
        <f t="shared" si="413"/>
        <v>18/11/2025</v>
      </c>
      <c r="J966" t="str">
        <f t="shared" si="414"/>
        <v>26/11/2025</v>
      </c>
      <c r="M966">
        <v>303</v>
      </c>
      <c r="N966" t="str">
        <f t="shared" si="415"/>
        <v>RECEITAS COM ENTREGAS</v>
      </c>
      <c r="P966">
        <v>631.34</v>
      </c>
      <c r="Q966" t="str">
        <f>"FARMÁCIA INDIANA LJ 172 (10161)"</f>
        <v>FARMÁCIA INDIANA LJ 172 (10161)</v>
      </c>
      <c r="R966" t="str">
        <f t="shared" si="416"/>
        <v>RECEITAS COM ENTREGAS (303)</v>
      </c>
      <c r="S966">
        <v>3289</v>
      </c>
      <c r="T966">
        <v>2661</v>
      </c>
      <c r="U966" t="s">
        <v>21</v>
      </c>
    </row>
    <row r="967" spans="1:21">
      <c r="A967" t="str">
        <f t="shared" si="407"/>
        <v>26/11/2025</v>
      </c>
      <c r="B967" t="str">
        <f t="shared" si="408"/>
        <v>ENTRADA</v>
      </c>
      <c r="C967" t="str">
        <f t="shared" si="409"/>
        <v>NFSE</v>
      </c>
      <c r="D967" t="str">
        <f t="shared" si="410"/>
        <v>3857</v>
      </c>
      <c r="E967" t="str">
        <f t="shared" si="417"/>
        <v>COM</v>
      </c>
      <c r="F967" t="str">
        <f t="shared" si="411"/>
        <v>FARMÁCIA INDIANA LJ 1 (10126)</v>
      </c>
      <c r="G967" t="str">
        <f t="shared" si="412"/>
        <v>Serv.Prest. 10/11/2025 a 16/11/2025 - RPS: 1620 - NFSe: 3857</v>
      </c>
      <c r="H967" t="str">
        <f t="shared" si="401"/>
        <v>26/11/2025</v>
      </c>
      <c r="I967" t="str">
        <f t="shared" si="413"/>
        <v>18/11/2025</v>
      </c>
      <c r="J967" t="str">
        <f t="shared" si="414"/>
        <v>26/11/2025</v>
      </c>
      <c r="M967">
        <v>303</v>
      </c>
      <c r="N967" t="str">
        <f t="shared" si="415"/>
        <v>RECEITAS COM ENTREGAS</v>
      </c>
      <c r="P967">
        <v>80.38</v>
      </c>
      <c r="Q967" t="str">
        <f>"FARMÁCIA INDIANA LJ 266 (10186)"</f>
        <v>FARMÁCIA INDIANA LJ 266 (10186)</v>
      </c>
      <c r="R967" t="str">
        <f t="shared" si="416"/>
        <v>RECEITAS COM ENTREGAS (303)</v>
      </c>
      <c r="S967">
        <v>3289</v>
      </c>
      <c r="T967">
        <v>2661</v>
      </c>
      <c r="U967" t="s">
        <v>21</v>
      </c>
    </row>
    <row r="968" spans="1:21">
      <c r="A968" t="str">
        <f t="shared" si="407"/>
        <v>26/11/2025</v>
      </c>
      <c r="B968" t="str">
        <f t="shared" si="408"/>
        <v>ENTRADA</v>
      </c>
      <c r="C968" t="str">
        <f t="shared" si="409"/>
        <v>NFSE</v>
      </c>
      <c r="D968" t="str">
        <f t="shared" si="410"/>
        <v>3857</v>
      </c>
      <c r="E968" t="str">
        <f t="shared" si="417"/>
        <v>COM</v>
      </c>
      <c r="F968" t="str">
        <f t="shared" si="411"/>
        <v>FARMÁCIA INDIANA LJ 1 (10126)</v>
      </c>
      <c r="G968" t="str">
        <f t="shared" si="412"/>
        <v>Serv.Prest. 10/11/2025 a 16/11/2025 - RPS: 1620 - NFSe: 3857</v>
      </c>
      <c r="H968" t="str">
        <f t="shared" si="401"/>
        <v>26/11/2025</v>
      </c>
      <c r="I968" t="str">
        <f t="shared" si="413"/>
        <v>18/11/2025</v>
      </c>
      <c r="J968" t="str">
        <f t="shared" si="414"/>
        <v>26/11/2025</v>
      </c>
      <c r="M968">
        <v>303</v>
      </c>
      <c r="N968" t="str">
        <f t="shared" si="415"/>
        <v>RECEITAS COM ENTREGAS</v>
      </c>
      <c r="P968">
        <v>12.96</v>
      </c>
      <c r="Q968" t="str">
        <f>"FARMÁCIA INDIANA LJ 257 (10267)"</f>
        <v>FARMÁCIA INDIANA LJ 257 (10267)</v>
      </c>
      <c r="R968" t="str">
        <f t="shared" si="416"/>
        <v>RECEITAS COM ENTREGAS (303)</v>
      </c>
      <c r="S968">
        <v>3289</v>
      </c>
      <c r="T968">
        <v>2661</v>
      </c>
      <c r="U968" t="s">
        <v>21</v>
      </c>
    </row>
    <row r="969" spans="1:21">
      <c r="A969" t="str">
        <f t="shared" si="407"/>
        <v>26/11/2025</v>
      </c>
      <c r="B969" t="str">
        <f t="shared" si="408"/>
        <v>ENTRADA</v>
      </c>
      <c r="C969" t="str">
        <f t="shared" si="409"/>
        <v>NFSE</v>
      </c>
      <c r="D969" t="str">
        <f t="shared" ref="D969:D982" si="418">"3858"</f>
        <v>3858</v>
      </c>
      <c r="E969" t="str">
        <f t="shared" si="417"/>
        <v>COM</v>
      </c>
      <c r="F969" t="str">
        <f t="shared" ref="F969:F982" si="419">"FARMÁCIA INDIANA LJ 30 (10127)"</f>
        <v>FARMÁCIA INDIANA LJ 30 (10127)</v>
      </c>
      <c r="G969" t="str">
        <f t="shared" ref="G969:G982" si="420">"Serv.Prest. 10/11/2025 a 16/11/2025 - RPS: 1621 - NFSe: 3858"</f>
        <v>Serv.Prest. 10/11/2025 a 16/11/2025 - RPS: 1621 - NFSe: 3858</v>
      </c>
      <c r="H969" t="str">
        <f t="shared" si="401"/>
        <v>26/11/2025</v>
      </c>
      <c r="I969" t="str">
        <f t="shared" si="413"/>
        <v>18/11/2025</v>
      </c>
      <c r="J969" t="str">
        <f t="shared" si="414"/>
        <v>26/11/2025</v>
      </c>
      <c r="K969">
        <v>2925.29</v>
      </c>
      <c r="L969">
        <v>2925.29</v>
      </c>
      <c r="M969">
        <v>303</v>
      </c>
      <c r="N969" t="str">
        <f t="shared" si="415"/>
        <v>RECEITAS COM ENTREGAS</v>
      </c>
      <c r="O969">
        <v>2925.29</v>
      </c>
      <c r="R969" t="str">
        <f t="shared" si="416"/>
        <v>RECEITAS COM ENTREGAS (303)</v>
      </c>
      <c r="S969">
        <v>3290</v>
      </c>
      <c r="T969">
        <v>2706</v>
      </c>
      <c r="U969" t="s">
        <v>21</v>
      </c>
    </row>
    <row r="970" spans="1:21">
      <c r="A970" t="str">
        <f t="shared" si="407"/>
        <v>26/11/2025</v>
      </c>
      <c r="B970" t="str">
        <f t="shared" si="408"/>
        <v>ENTRADA</v>
      </c>
      <c r="C970" t="str">
        <f t="shared" si="409"/>
        <v>NFSE</v>
      </c>
      <c r="D970" t="str">
        <f t="shared" si="418"/>
        <v>3858</v>
      </c>
      <c r="E970" t="str">
        <f t="shared" si="417"/>
        <v>COM</v>
      </c>
      <c r="F970" t="str">
        <f t="shared" si="419"/>
        <v>FARMÁCIA INDIANA LJ 30 (10127)</v>
      </c>
      <c r="G970" t="str">
        <f t="shared" si="420"/>
        <v>Serv.Prest. 10/11/2025 a 16/11/2025 - RPS: 1621 - NFSe: 3858</v>
      </c>
      <c r="H970" t="str">
        <f t="shared" si="401"/>
        <v>26/11/2025</v>
      </c>
      <c r="I970" t="str">
        <f t="shared" si="413"/>
        <v>18/11/2025</v>
      </c>
      <c r="J970" t="str">
        <f t="shared" si="414"/>
        <v>26/11/2025</v>
      </c>
      <c r="M970">
        <v>303</v>
      </c>
      <c r="N970" t="str">
        <f t="shared" si="415"/>
        <v>RECEITAS COM ENTREGAS</v>
      </c>
      <c r="P970">
        <v>294.29000000000002</v>
      </c>
      <c r="Q970" t="str">
        <f>"FARMÁCIA INDIANA LJ 34 (10014)"</f>
        <v>FARMÁCIA INDIANA LJ 34 (10014)</v>
      </c>
      <c r="R970" t="str">
        <f t="shared" si="416"/>
        <v>RECEITAS COM ENTREGAS (303)</v>
      </c>
      <c r="S970">
        <v>3290</v>
      </c>
      <c r="T970">
        <v>2706</v>
      </c>
      <c r="U970" t="s">
        <v>21</v>
      </c>
    </row>
    <row r="971" spans="1:21">
      <c r="A971" t="str">
        <f t="shared" si="407"/>
        <v>26/11/2025</v>
      </c>
      <c r="B971" t="str">
        <f t="shared" si="408"/>
        <v>ENTRADA</v>
      </c>
      <c r="C971" t="str">
        <f t="shared" si="409"/>
        <v>NFSE</v>
      </c>
      <c r="D971" t="str">
        <f t="shared" si="418"/>
        <v>3858</v>
      </c>
      <c r="E971" t="str">
        <f t="shared" si="417"/>
        <v>COM</v>
      </c>
      <c r="F971" t="str">
        <f t="shared" si="419"/>
        <v>FARMÁCIA INDIANA LJ 30 (10127)</v>
      </c>
      <c r="G971" t="str">
        <f t="shared" si="420"/>
        <v>Serv.Prest. 10/11/2025 a 16/11/2025 - RPS: 1621 - NFSe: 3858</v>
      </c>
      <c r="H971" t="str">
        <f t="shared" si="401"/>
        <v>26/11/2025</v>
      </c>
      <c r="I971" t="str">
        <f t="shared" si="413"/>
        <v>18/11/2025</v>
      </c>
      <c r="J971" t="str">
        <f t="shared" si="414"/>
        <v>26/11/2025</v>
      </c>
      <c r="M971">
        <v>303</v>
      </c>
      <c r="N971" t="str">
        <f t="shared" si="415"/>
        <v>RECEITAS COM ENTREGAS</v>
      </c>
      <c r="P971">
        <v>167.91</v>
      </c>
      <c r="Q971" t="str">
        <f>"FARMÁCIA INDIANA LJ 35 (10015)"</f>
        <v>FARMÁCIA INDIANA LJ 35 (10015)</v>
      </c>
      <c r="R971" t="str">
        <f t="shared" si="416"/>
        <v>RECEITAS COM ENTREGAS (303)</v>
      </c>
      <c r="S971">
        <v>3290</v>
      </c>
      <c r="T971">
        <v>2706</v>
      </c>
      <c r="U971" t="s">
        <v>21</v>
      </c>
    </row>
    <row r="972" spans="1:21">
      <c r="A972" t="str">
        <f t="shared" si="407"/>
        <v>26/11/2025</v>
      </c>
      <c r="B972" t="str">
        <f t="shared" si="408"/>
        <v>ENTRADA</v>
      </c>
      <c r="C972" t="str">
        <f t="shared" si="409"/>
        <v>NFSE</v>
      </c>
      <c r="D972" t="str">
        <f t="shared" si="418"/>
        <v>3858</v>
      </c>
      <c r="E972" t="str">
        <f t="shared" si="417"/>
        <v>COM</v>
      </c>
      <c r="F972" t="str">
        <f t="shared" si="419"/>
        <v>FARMÁCIA INDIANA LJ 30 (10127)</v>
      </c>
      <c r="G972" t="str">
        <f t="shared" si="420"/>
        <v>Serv.Prest. 10/11/2025 a 16/11/2025 - RPS: 1621 - NFSe: 3858</v>
      </c>
      <c r="H972" t="str">
        <f t="shared" si="401"/>
        <v>26/11/2025</v>
      </c>
      <c r="I972" t="str">
        <f t="shared" si="413"/>
        <v>18/11/2025</v>
      </c>
      <c r="J972" t="str">
        <f t="shared" si="414"/>
        <v>26/11/2025</v>
      </c>
      <c r="M972">
        <v>303</v>
      </c>
      <c r="N972" t="str">
        <f t="shared" si="415"/>
        <v>RECEITAS COM ENTREGAS</v>
      </c>
      <c r="P972">
        <v>299.83999999999997</v>
      </c>
      <c r="Q972" t="str">
        <f>"FARMÁCIA INDIANA LJ 48 (10018)"</f>
        <v>FARMÁCIA INDIANA LJ 48 (10018)</v>
      </c>
      <c r="R972" t="str">
        <f t="shared" si="416"/>
        <v>RECEITAS COM ENTREGAS (303)</v>
      </c>
      <c r="S972">
        <v>3290</v>
      </c>
      <c r="T972">
        <v>2706</v>
      </c>
      <c r="U972" t="s">
        <v>21</v>
      </c>
    </row>
    <row r="973" spans="1:21">
      <c r="A973" t="str">
        <f t="shared" si="407"/>
        <v>26/11/2025</v>
      </c>
      <c r="B973" t="str">
        <f t="shared" si="408"/>
        <v>ENTRADA</v>
      </c>
      <c r="C973" t="str">
        <f t="shared" si="409"/>
        <v>NFSE</v>
      </c>
      <c r="D973" t="str">
        <f t="shared" si="418"/>
        <v>3858</v>
      </c>
      <c r="E973" t="str">
        <f t="shared" si="417"/>
        <v>COM</v>
      </c>
      <c r="F973" t="str">
        <f t="shared" si="419"/>
        <v>FARMÁCIA INDIANA LJ 30 (10127)</v>
      </c>
      <c r="G973" t="str">
        <f t="shared" si="420"/>
        <v>Serv.Prest. 10/11/2025 a 16/11/2025 - RPS: 1621 - NFSe: 3858</v>
      </c>
      <c r="H973" t="str">
        <f t="shared" si="401"/>
        <v>26/11/2025</v>
      </c>
      <c r="I973" t="str">
        <f t="shared" si="413"/>
        <v>18/11/2025</v>
      </c>
      <c r="J973" t="str">
        <f t="shared" si="414"/>
        <v>26/11/2025</v>
      </c>
      <c r="M973">
        <v>303</v>
      </c>
      <c r="N973" t="str">
        <f t="shared" si="415"/>
        <v>RECEITAS COM ENTREGAS</v>
      </c>
      <c r="P973">
        <v>348.69</v>
      </c>
      <c r="Q973" t="str">
        <f>"FARMÁCIA INDIANA LJ 65 (10030)"</f>
        <v>FARMÁCIA INDIANA LJ 65 (10030)</v>
      </c>
      <c r="R973" t="str">
        <f t="shared" si="416"/>
        <v>RECEITAS COM ENTREGAS (303)</v>
      </c>
      <c r="S973">
        <v>3290</v>
      </c>
      <c r="T973">
        <v>2706</v>
      </c>
      <c r="U973" t="s">
        <v>21</v>
      </c>
    </row>
    <row r="974" spans="1:21">
      <c r="A974" t="str">
        <f t="shared" si="407"/>
        <v>26/11/2025</v>
      </c>
      <c r="B974" t="str">
        <f t="shared" si="408"/>
        <v>ENTRADA</v>
      </c>
      <c r="C974" t="str">
        <f t="shared" si="409"/>
        <v>NFSE</v>
      </c>
      <c r="D974" t="str">
        <f t="shared" si="418"/>
        <v>3858</v>
      </c>
      <c r="E974" t="str">
        <f t="shared" si="417"/>
        <v>COM</v>
      </c>
      <c r="F974" t="str">
        <f t="shared" si="419"/>
        <v>FARMÁCIA INDIANA LJ 30 (10127)</v>
      </c>
      <c r="G974" t="str">
        <f t="shared" si="420"/>
        <v>Serv.Prest. 10/11/2025 a 16/11/2025 - RPS: 1621 - NFSe: 3858</v>
      </c>
      <c r="H974" t="str">
        <f t="shared" si="401"/>
        <v>26/11/2025</v>
      </c>
      <c r="I974" t="str">
        <f t="shared" si="413"/>
        <v>18/11/2025</v>
      </c>
      <c r="J974" t="str">
        <f t="shared" si="414"/>
        <v>26/11/2025</v>
      </c>
      <c r="M974">
        <v>303</v>
      </c>
      <c r="N974" t="str">
        <f t="shared" si="415"/>
        <v>RECEITAS COM ENTREGAS</v>
      </c>
      <c r="P974">
        <v>85.71</v>
      </c>
      <c r="Q974" t="str">
        <f>"FARMÁCIA INDIANA LJ 77 (10034)"</f>
        <v>FARMÁCIA INDIANA LJ 77 (10034)</v>
      </c>
      <c r="R974" t="str">
        <f t="shared" si="416"/>
        <v>RECEITAS COM ENTREGAS (303)</v>
      </c>
      <c r="S974">
        <v>3290</v>
      </c>
      <c r="T974">
        <v>2706</v>
      </c>
      <c r="U974" t="s">
        <v>21</v>
      </c>
    </row>
    <row r="975" spans="1:21">
      <c r="A975" t="str">
        <f t="shared" si="407"/>
        <v>26/11/2025</v>
      </c>
      <c r="B975" t="str">
        <f t="shared" si="408"/>
        <v>ENTRADA</v>
      </c>
      <c r="C975" t="str">
        <f t="shared" si="409"/>
        <v>NFSE</v>
      </c>
      <c r="D975" t="str">
        <f t="shared" si="418"/>
        <v>3858</v>
      </c>
      <c r="E975" t="str">
        <f t="shared" si="417"/>
        <v>COM</v>
      </c>
      <c r="F975" t="str">
        <f t="shared" si="419"/>
        <v>FARMÁCIA INDIANA LJ 30 (10127)</v>
      </c>
      <c r="G975" t="str">
        <f t="shared" si="420"/>
        <v>Serv.Prest. 10/11/2025 a 16/11/2025 - RPS: 1621 - NFSe: 3858</v>
      </c>
      <c r="H975" t="str">
        <f t="shared" si="401"/>
        <v>26/11/2025</v>
      </c>
      <c r="I975" t="str">
        <f t="shared" si="413"/>
        <v>18/11/2025</v>
      </c>
      <c r="J975" t="str">
        <f t="shared" si="414"/>
        <v>26/11/2025</v>
      </c>
      <c r="M975">
        <v>303</v>
      </c>
      <c r="N975" t="str">
        <f t="shared" si="415"/>
        <v>RECEITAS COM ENTREGAS</v>
      </c>
      <c r="P975">
        <v>604.66</v>
      </c>
      <c r="Q975" t="str">
        <f>"FARMÁCIA INDIANA LJ 91 (10037)"</f>
        <v>FARMÁCIA INDIANA LJ 91 (10037)</v>
      </c>
      <c r="R975" t="str">
        <f t="shared" si="416"/>
        <v>RECEITAS COM ENTREGAS (303)</v>
      </c>
      <c r="S975">
        <v>3290</v>
      </c>
      <c r="T975">
        <v>2706</v>
      </c>
      <c r="U975" t="s">
        <v>21</v>
      </c>
    </row>
    <row r="976" spans="1:21">
      <c r="A976" t="str">
        <f t="shared" si="407"/>
        <v>26/11/2025</v>
      </c>
      <c r="B976" t="str">
        <f t="shared" si="408"/>
        <v>ENTRADA</v>
      </c>
      <c r="C976" t="str">
        <f t="shared" si="409"/>
        <v>NFSE</v>
      </c>
      <c r="D976" t="str">
        <f t="shared" si="418"/>
        <v>3858</v>
      </c>
      <c r="E976" t="str">
        <f t="shared" si="417"/>
        <v>COM</v>
      </c>
      <c r="F976" t="str">
        <f t="shared" si="419"/>
        <v>FARMÁCIA INDIANA LJ 30 (10127)</v>
      </c>
      <c r="G976" t="str">
        <f t="shared" si="420"/>
        <v>Serv.Prest. 10/11/2025 a 16/11/2025 - RPS: 1621 - NFSe: 3858</v>
      </c>
      <c r="H976" t="str">
        <f t="shared" si="401"/>
        <v>26/11/2025</v>
      </c>
      <c r="I976" t="str">
        <f t="shared" si="413"/>
        <v>18/11/2025</v>
      </c>
      <c r="J976" t="str">
        <f t="shared" si="414"/>
        <v>26/11/2025</v>
      </c>
      <c r="M976">
        <v>303</v>
      </c>
      <c r="N976" t="str">
        <f t="shared" si="415"/>
        <v>RECEITAS COM ENTREGAS</v>
      </c>
      <c r="P976">
        <v>191.9</v>
      </c>
      <c r="Q976" t="str">
        <f>"FARMÁCIA INDIANA LJ 95 (10039)"</f>
        <v>FARMÁCIA INDIANA LJ 95 (10039)</v>
      </c>
      <c r="R976" t="str">
        <f t="shared" si="416"/>
        <v>RECEITAS COM ENTREGAS (303)</v>
      </c>
      <c r="S976">
        <v>3290</v>
      </c>
      <c r="T976">
        <v>2706</v>
      </c>
      <c r="U976" t="s">
        <v>21</v>
      </c>
    </row>
    <row r="977" spans="1:21">
      <c r="A977" t="str">
        <f t="shared" si="407"/>
        <v>26/11/2025</v>
      </c>
      <c r="B977" t="str">
        <f t="shared" si="408"/>
        <v>ENTRADA</v>
      </c>
      <c r="C977" t="str">
        <f t="shared" si="409"/>
        <v>NFSE</v>
      </c>
      <c r="D977" t="str">
        <f t="shared" si="418"/>
        <v>3858</v>
      </c>
      <c r="E977" t="str">
        <f t="shared" si="417"/>
        <v>COM</v>
      </c>
      <c r="F977" t="str">
        <f t="shared" si="419"/>
        <v>FARMÁCIA INDIANA LJ 30 (10127)</v>
      </c>
      <c r="G977" t="str">
        <f t="shared" si="420"/>
        <v>Serv.Prest. 10/11/2025 a 16/11/2025 - RPS: 1621 - NFSe: 3858</v>
      </c>
      <c r="H977" t="str">
        <f t="shared" si="401"/>
        <v>26/11/2025</v>
      </c>
      <c r="I977" t="str">
        <f t="shared" si="413"/>
        <v>18/11/2025</v>
      </c>
      <c r="J977" t="str">
        <f t="shared" si="414"/>
        <v>26/11/2025</v>
      </c>
      <c r="M977">
        <v>303</v>
      </c>
      <c r="N977" t="str">
        <f t="shared" si="415"/>
        <v>RECEITAS COM ENTREGAS</v>
      </c>
      <c r="P977">
        <v>280.83</v>
      </c>
      <c r="Q977" t="str">
        <f>"FARMÁCIA INDIANA LJ 145 (10068)"</f>
        <v>FARMÁCIA INDIANA LJ 145 (10068)</v>
      </c>
      <c r="R977" t="str">
        <f t="shared" si="416"/>
        <v>RECEITAS COM ENTREGAS (303)</v>
      </c>
      <c r="S977">
        <v>3290</v>
      </c>
      <c r="T977">
        <v>2706</v>
      </c>
      <c r="U977" t="s">
        <v>21</v>
      </c>
    </row>
    <row r="978" spans="1:21">
      <c r="A978" t="str">
        <f t="shared" si="407"/>
        <v>26/11/2025</v>
      </c>
      <c r="B978" t="str">
        <f t="shared" si="408"/>
        <v>ENTRADA</v>
      </c>
      <c r="C978" t="str">
        <f t="shared" si="409"/>
        <v>NFSE</v>
      </c>
      <c r="D978" t="str">
        <f t="shared" si="418"/>
        <v>3858</v>
      </c>
      <c r="E978" t="str">
        <f t="shared" si="417"/>
        <v>COM</v>
      </c>
      <c r="F978" t="str">
        <f t="shared" si="419"/>
        <v>FARMÁCIA INDIANA LJ 30 (10127)</v>
      </c>
      <c r="G978" t="str">
        <f t="shared" si="420"/>
        <v>Serv.Prest. 10/11/2025 a 16/11/2025 - RPS: 1621 - NFSe: 3858</v>
      </c>
      <c r="H978" t="str">
        <f t="shared" si="401"/>
        <v>26/11/2025</v>
      </c>
      <c r="I978" t="str">
        <f t="shared" si="413"/>
        <v>18/11/2025</v>
      </c>
      <c r="J978" t="str">
        <f t="shared" si="414"/>
        <v>26/11/2025</v>
      </c>
      <c r="M978">
        <v>303</v>
      </c>
      <c r="N978" t="str">
        <f t="shared" si="415"/>
        <v>RECEITAS COM ENTREGAS</v>
      </c>
      <c r="P978">
        <v>136.9</v>
      </c>
      <c r="Q978" t="str">
        <f>"FARMÁCIA INDIANA LJ 169 (10073)"</f>
        <v>FARMÁCIA INDIANA LJ 169 (10073)</v>
      </c>
      <c r="R978" t="str">
        <f t="shared" si="416"/>
        <v>RECEITAS COM ENTREGAS (303)</v>
      </c>
      <c r="S978">
        <v>3290</v>
      </c>
      <c r="T978">
        <v>2706</v>
      </c>
      <c r="U978" t="s">
        <v>21</v>
      </c>
    </row>
    <row r="979" spans="1:21">
      <c r="A979" t="str">
        <f t="shared" si="407"/>
        <v>26/11/2025</v>
      </c>
      <c r="B979" t="str">
        <f t="shared" si="408"/>
        <v>ENTRADA</v>
      </c>
      <c r="C979" t="str">
        <f t="shared" si="409"/>
        <v>NFSE</v>
      </c>
      <c r="D979" t="str">
        <f t="shared" si="418"/>
        <v>3858</v>
      </c>
      <c r="E979" t="str">
        <f t="shared" si="417"/>
        <v>COM</v>
      </c>
      <c r="F979" t="str">
        <f t="shared" si="419"/>
        <v>FARMÁCIA INDIANA LJ 30 (10127)</v>
      </c>
      <c r="G979" t="str">
        <f t="shared" si="420"/>
        <v>Serv.Prest. 10/11/2025 a 16/11/2025 - RPS: 1621 - NFSe: 3858</v>
      </c>
      <c r="H979" t="str">
        <f t="shared" si="401"/>
        <v>26/11/2025</v>
      </c>
      <c r="I979" t="str">
        <f t="shared" si="413"/>
        <v>18/11/2025</v>
      </c>
      <c r="J979" t="str">
        <f t="shared" si="414"/>
        <v>26/11/2025</v>
      </c>
      <c r="M979">
        <v>303</v>
      </c>
      <c r="N979" t="str">
        <f t="shared" si="415"/>
        <v>RECEITAS COM ENTREGAS</v>
      </c>
      <c r="P979">
        <v>174.35</v>
      </c>
      <c r="Q979" t="str">
        <f>"FARMÁCIA INDIANA LJ 173 (10075)"</f>
        <v>FARMÁCIA INDIANA LJ 173 (10075)</v>
      </c>
      <c r="R979" t="str">
        <f t="shared" si="416"/>
        <v>RECEITAS COM ENTREGAS (303)</v>
      </c>
      <c r="S979">
        <v>3290</v>
      </c>
      <c r="T979">
        <v>2706</v>
      </c>
      <c r="U979" t="s">
        <v>21</v>
      </c>
    </row>
    <row r="980" spans="1:21">
      <c r="A980" t="str">
        <f t="shared" si="407"/>
        <v>26/11/2025</v>
      </c>
      <c r="B980" t="str">
        <f t="shared" si="408"/>
        <v>ENTRADA</v>
      </c>
      <c r="C980" t="str">
        <f t="shared" si="409"/>
        <v>NFSE</v>
      </c>
      <c r="D980" t="str">
        <f t="shared" si="418"/>
        <v>3858</v>
      </c>
      <c r="E980" t="str">
        <f t="shared" si="417"/>
        <v>COM</v>
      </c>
      <c r="F980" t="str">
        <f t="shared" si="419"/>
        <v>FARMÁCIA INDIANA LJ 30 (10127)</v>
      </c>
      <c r="G980" t="str">
        <f t="shared" si="420"/>
        <v>Serv.Prest. 10/11/2025 a 16/11/2025 - RPS: 1621 - NFSe: 3858</v>
      </c>
      <c r="H980" t="str">
        <f t="shared" si="401"/>
        <v>26/11/2025</v>
      </c>
      <c r="I980" t="str">
        <f t="shared" si="413"/>
        <v>18/11/2025</v>
      </c>
      <c r="J980" t="str">
        <f t="shared" si="414"/>
        <v>26/11/2025</v>
      </c>
      <c r="M980">
        <v>303</v>
      </c>
      <c r="N980" t="str">
        <f t="shared" si="415"/>
        <v>RECEITAS COM ENTREGAS</v>
      </c>
      <c r="P980">
        <v>135.72999999999999</v>
      </c>
      <c r="Q980" t="str">
        <f>"FARMÁCIA INDIANA LJ 200 (10155)"</f>
        <v>FARMÁCIA INDIANA LJ 200 (10155)</v>
      </c>
      <c r="R980" t="str">
        <f t="shared" si="416"/>
        <v>RECEITAS COM ENTREGAS (303)</v>
      </c>
      <c r="S980">
        <v>3290</v>
      </c>
      <c r="T980">
        <v>2706</v>
      </c>
      <c r="U980" t="s">
        <v>21</v>
      </c>
    </row>
    <row r="981" spans="1:21">
      <c r="A981" t="str">
        <f t="shared" si="407"/>
        <v>26/11/2025</v>
      </c>
      <c r="B981" t="str">
        <f t="shared" si="408"/>
        <v>ENTRADA</v>
      </c>
      <c r="C981" t="str">
        <f t="shared" si="409"/>
        <v>NFSE</v>
      </c>
      <c r="D981" t="str">
        <f t="shared" si="418"/>
        <v>3858</v>
      </c>
      <c r="E981" t="str">
        <f t="shared" si="417"/>
        <v>COM</v>
      </c>
      <c r="F981" t="str">
        <f t="shared" si="419"/>
        <v>FARMÁCIA INDIANA LJ 30 (10127)</v>
      </c>
      <c r="G981" t="str">
        <f t="shared" si="420"/>
        <v>Serv.Prest. 10/11/2025 a 16/11/2025 - RPS: 1621 - NFSe: 3858</v>
      </c>
      <c r="H981" t="str">
        <f t="shared" si="401"/>
        <v>26/11/2025</v>
      </c>
      <c r="I981" t="str">
        <f t="shared" si="413"/>
        <v>18/11/2025</v>
      </c>
      <c r="J981" t="str">
        <f t="shared" si="414"/>
        <v>26/11/2025</v>
      </c>
      <c r="M981">
        <v>303</v>
      </c>
      <c r="N981" t="str">
        <f t="shared" si="415"/>
        <v>RECEITAS COM ENTREGAS</v>
      </c>
      <c r="P981">
        <v>123.74</v>
      </c>
      <c r="Q981" t="str">
        <f>"FARMÁCIA INDIANA LJ 33 (10187)"</f>
        <v>FARMÁCIA INDIANA LJ 33 (10187)</v>
      </c>
      <c r="R981" t="str">
        <f t="shared" si="416"/>
        <v>RECEITAS COM ENTREGAS (303)</v>
      </c>
      <c r="S981">
        <v>3290</v>
      </c>
      <c r="T981">
        <v>2706</v>
      </c>
      <c r="U981" t="s">
        <v>21</v>
      </c>
    </row>
    <row r="982" spans="1:21">
      <c r="A982" t="str">
        <f t="shared" si="407"/>
        <v>26/11/2025</v>
      </c>
      <c r="B982" t="str">
        <f t="shared" si="408"/>
        <v>ENTRADA</v>
      </c>
      <c r="C982" t="str">
        <f t="shared" si="409"/>
        <v>NFSE</v>
      </c>
      <c r="D982" t="str">
        <f t="shared" si="418"/>
        <v>3858</v>
      </c>
      <c r="E982" t="str">
        <f t="shared" si="417"/>
        <v>COM</v>
      </c>
      <c r="F982" t="str">
        <f t="shared" si="419"/>
        <v>FARMÁCIA INDIANA LJ 30 (10127)</v>
      </c>
      <c r="G982" t="str">
        <f t="shared" si="420"/>
        <v>Serv.Prest. 10/11/2025 a 16/11/2025 - RPS: 1621 - NFSe: 3858</v>
      </c>
      <c r="H982" t="str">
        <f t="shared" si="401"/>
        <v>26/11/2025</v>
      </c>
      <c r="I982" t="str">
        <f t="shared" si="413"/>
        <v>18/11/2025</v>
      </c>
      <c r="J982" t="str">
        <f t="shared" si="414"/>
        <v>26/11/2025</v>
      </c>
      <c r="M982">
        <v>303</v>
      </c>
      <c r="N982" t="str">
        <f t="shared" si="415"/>
        <v>RECEITAS COM ENTREGAS</v>
      </c>
      <c r="P982">
        <v>80.739999999999995</v>
      </c>
      <c r="Q982" t="str">
        <f>"FARMÁCIA INDIANA LJ 283 (10268)"</f>
        <v>FARMÁCIA INDIANA LJ 283 (10268)</v>
      </c>
      <c r="R982" t="str">
        <f t="shared" si="416"/>
        <v>RECEITAS COM ENTREGAS (303)</v>
      </c>
      <c r="S982">
        <v>3290</v>
      </c>
      <c r="T982">
        <v>2706</v>
      </c>
      <c r="U982" t="s">
        <v>21</v>
      </c>
    </row>
    <row r="983" spans="1:21">
      <c r="A983" t="str">
        <f t="shared" si="407"/>
        <v>26/11/2025</v>
      </c>
      <c r="B983" t="str">
        <f t="shared" si="408"/>
        <v>ENTRADA</v>
      </c>
      <c r="C983" t="str">
        <f t="shared" si="409"/>
        <v>NFSE</v>
      </c>
      <c r="D983" t="str">
        <f t="shared" ref="D983:D993" si="421">"3859"</f>
        <v>3859</v>
      </c>
      <c r="E983" t="str">
        <f t="shared" si="417"/>
        <v>COM</v>
      </c>
      <c r="F983" t="str">
        <f t="shared" ref="F983:F993" si="422">"FARMÁCIA INDIANA LJ 85 (10128)"</f>
        <v>FARMÁCIA INDIANA LJ 85 (10128)</v>
      </c>
      <c r="G983" t="str">
        <f t="shared" ref="G983:G993" si="423">"Serv.Prest. 10/11/2025 a 16/11/2025 - RPS: 1622 - NFSe: 3859"</f>
        <v>Serv.Prest. 10/11/2025 a 16/11/2025 - RPS: 1622 - NFSe: 3859</v>
      </c>
      <c r="H983" t="str">
        <f t="shared" si="401"/>
        <v>26/11/2025</v>
      </c>
      <c r="I983" t="str">
        <f t="shared" si="413"/>
        <v>18/11/2025</v>
      </c>
      <c r="J983" t="str">
        <f t="shared" si="414"/>
        <v>26/11/2025</v>
      </c>
      <c r="K983">
        <v>1008.64</v>
      </c>
      <c r="L983">
        <v>1008.64</v>
      </c>
      <c r="M983">
        <v>303</v>
      </c>
      <c r="N983" t="str">
        <f t="shared" si="415"/>
        <v>RECEITAS COM ENTREGAS</v>
      </c>
      <c r="O983">
        <v>1008.64</v>
      </c>
      <c r="R983" t="str">
        <f t="shared" si="416"/>
        <v>RECEITAS COM ENTREGAS (303)</v>
      </c>
      <c r="S983">
        <v>3291</v>
      </c>
      <c r="T983">
        <v>2731</v>
      </c>
      <c r="U983" t="s">
        <v>21</v>
      </c>
    </row>
    <row r="984" spans="1:21">
      <c r="A984" t="str">
        <f t="shared" ref="A984:A1015" si="424">("26/11/2025")</f>
        <v>26/11/2025</v>
      </c>
      <c r="B984" t="str">
        <f t="shared" ref="B984:B1015" si="425">"ENTRADA"</f>
        <v>ENTRADA</v>
      </c>
      <c r="C984" t="str">
        <f t="shared" ref="C984:C1015" si="426">"NFSE"</f>
        <v>NFSE</v>
      </c>
      <c r="D984" t="str">
        <f t="shared" si="421"/>
        <v>3859</v>
      </c>
      <c r="E984" t="str">
        <f t="shared" si="417"/>
        <v>COM</v>
      </c>
      <c r="F984" t="str">
        <f t="shared" si="422"/>
        <v>FARMÁCIA INDIANA LJ 85 (10128)</v>
      </c>
      <c r="G984" t="str">
        <f t="shared" si="423"/>
        <v>Serv.Prest. 10/11/2025 a 16/11/2025 - RPS: 1622 - NFSe: 3859</v>
      </c>
      <c r="H984" t="str">
        <f t="shared" ref="H984:H1047" si="427">("26/11/2025")</f>
        <v>26/11/2025</v>
      </c>
      <c r="I984" t="str">
        <f t="shared" ref="I984:I993" si="428">("18/11/2025")</f>
        <v>18/11/2025</v>
      </c>
      <c r="J984" t="str">
        <f t="shared" ref="J984:J1015" si="429">("26/11/2025")</f>
        <v>26/11/2025</v>
      </c>
      <c r="M984">
        <v>303</v>
      </c>
      <c r="N984" t="str">
        <f t="shared" ref="N984:N1015" si="430">"RECEITAS COM ENTREGAS"</f>
        <v>RECEITAS COM ENTREGAS</v>
      </c>
      <c r="P984">
        <v>108.03</v>
      </c>
      <c r="Q984" t="str">
        <f>"FARMÁCIA INDIANA LJ 119 (10053)"</f>
        <v>FARMÁCIA INDIANA LJ 119 (10053)</v>
      </c>
      <c r="R984" t="str">
        <f t="shared" ref="R984:R1015" si="431">"RECEITAS COM ENTREGAS (303)"</f>
        <v>RECEITAS COM ENTREGAS (303)</v>
      </c>
      <c r="S984">
        <v>3291</v>
      </c>
      <c r="T984">
        <v>2731</v>
      </c>
      <c r="U984" t="s">
        <v>21</v>
      </c>
    </row>
    <row r="985" spans="1:21">
      <c r="A985" t="str">
        <f t="shared" si="424"/>
        <v>26/11/2025</v>
      </c>
      <c r="B985" t="str">
        <f t="shared" si="425"/>
        <v>ENTRADA</v>
      </c>
      <c r="C985" t="str">
        <f t="shared" si="426"/>
        <v>NFSE</v>
      </c>
      <c r="D985" t="str">
        <f t="shared" si="421"/>
        <v>3859</v>
      </c>
      <c r="E985" t="str">
        <f t="shared" si="417"/>
        <v>COM</v>
      </c>
      <c r="F985" t="str">
        <f t="shared" si="422"/>
        <v>FARMÁCIA INDIANA LJ 85 (10128)</v>
      </c>
      <c r="G985" t="str">
        <f t="shared" si="423"/>
        <v>Serv.Prest. 10/11/2025 a 16/11/2025 - RPS: 1622 - NFSe: 3859</v>
      </c>
      <c r="H985" t="str">
        <f t="shared" si="427"/>
        <v>26/11/2025</v>
      </c>
      <c r="I985" t="str">
        <f t="shared" si="428"/>
        <v>18/11/2025</v>
      </c>
      <c r="J985" t="str">
        <f t="shared" si="429"/>
        <v>26/11/2025</v>
      </c>
      <c r="M985">
        <v>303</v>
      </c>
      <c r="N985" t="str">
        <f t="shared" si="430"/>
        <v>RECEITAS COM ENTREGAS</v>
      </c>
      <c r="P985">
        <v>94.41</v>
      </c>
      <c r="Q985" t="str">
        <f>"FARMÁCIA INDIANA LJ 163 (10072)"</f>
        <v>FARMÁCIA INDIANA LJ 163 (10072)</v>
      </c>
      <c r="R985" t="str">
        <f t="shared" si="431"/>
        <v>RECEITAS COM ENTREGAS (303)</v>
      </c>
      <c r="S985">
        <v>3291</v>
      </c>
      <c r="T985">
        <v>2731</v>
      </c>
      <c r="U985" t="s">
        <v>21</v>
      </c>
    </row>
    <row r="986" spans="1:21">
      <c r="A986" t="str">
        <f t="shared" si="424"/>
        <v>26/11/2025</v>
      </c>
      <c r="B986" t="str">
        <f t="shared" si="425"/>
        <v>ENTRADA</v>
      </c>
      <c r="C986" t="str">
        <f t="shared" si="426"/>
        <v>NFSE</v>
      </c>
      <c r="D986" t="str">
        <f t="shared" si="421"/>
        <v>3859</v>
      </c>
      <c r="E986" t="str">
        <f t="shared" si="417"/>
        <v>COM</v>
      </c>
      <c r="F986" t="str">
        <f t="shared" si="422"/>
        <v>FARMÁCIA INDIANA LJ 85 (10128)</v>
      </c>
      <c r="G986" t="str">
        <f t="shared" si="423"/>
        <v>Serv.Prest. 10/11/2025 a 16/11/2025 - RPS: 1622 - NFSe: 3859</v>
      </c>
      <c r="H986" t="str">
        <f t="shared" si="427"/>
        <v>26/11/2025</v>
      </c>
      <c r="I986" t="str">
        <f t="shared" si="428"/>
        <v>18/11/2025</v>
      </c>
      <c r="J986" t="str">
        <f t="shared" si="429"/>
        <v>26/11/2025</v>
      </c>
      <c r="M986">
        <v>303</v>
      </c>
      <c r="N986" t="str">
        <f t="shared" si="430"/>
        <v>RECEITAS COM ENTREGAS</v>
      </c>
      <c r="P986">
        <v>195.58</v>
      </c>
      <c r="Q986" t="str">
        <f>"FARMÁCIA INDIANA LJ 181 (10078)"</f>
        <v>FARMÁCIA INDIANA LJ 181 (10078)</v>
      </c>
      <c r="R986" t="str">
        <f t="shared" si="431"/>
        <v>RECEITAS COM ENTREGAS (303)</v>
      </c>
      <c r="S986">
        <v>3291</v>
      </c>
      <c r="T986">
        <v>2731</v>
      </c>
      <c r="U986" t="s">
        <v>21</v>
      </c>
    </row>
    <row r="987" spans="1:21">
      <c r="A987" t="str">
        <f t="shared" si="424"/>
        <v>26/11/2025</v>
      </c>
      <c r="B987" t="str">
        <f t="shared" si="425"/>
        <v>ENTRADA</v>
      </c>
      <c r="C987" t="str">
        <f t="shared" si="426"/>
        <v>NFSE</v>
      </c>
      <c r="D987" t="str">
        <f t="shared" si="421"/>
        <v>3859</v>
      </c>
      <c r="E987" t="str">
        <f t="shared" si="417"/>
        <v>COM</v>
      </c>
      <c r="F987" t="str">
        <f t="shared" si="422"/>
        <v>FARMÁCIA INDIANA LJ 85 (10128)</v>
      </c>
      <c r="G987" t="str">
        <f t="shared" si="423"/>
        <v>Serv.Prest. 10/11/2025 a 16/11/2025 - RPS: 1622 - NFSe: 3859</v>
      </c>
      <c r="H987" t="str">
        <f t="shared" si="427"/>
        <v>26/11/2025</v>
      </c>
      <c r="I987" t="str">
        <f t="shared" si="428"/>
        <v>18/11/2025</v>
      </c>
      <c r="J987" t="str">
        <f t="shared" si="429"/>
        <v>26/11/2025</v>
      </c>
      <c r="M987">
        <v>303</v>
      </c>
      <c r="N987" t="str">
        <f t="shared" si="430"/>
        <v>RECEITAS COM ENTREGAS</v>
      </c>
      <c r="P987">
        <v>107.82</v>
      </c>
      <c r="Q987" t="str">
        <f>"FARMÁCIA INDIANA LJ 221 (10093)"</f>
        <v>FARMÁCIA INDIANA LJ 221 (10093)</v>
      </c>
      <c r="R987" t="str">
        <f t="shared" si="431"/>
        <v>RECEITAS COM ENTREGAS (303)</v>
      </c>
      <c r="S987">
        <v>3291</v>
      </c>
      <c r="T987">
        <v>2731</v>
      </c>
      <c r="U987" t="s">
        <v>21</v>
      </c>
    </row>
    <row r="988" spans="1:21">
      <c r="A988" t="str">
        <f t="shared" si="424"/>
        <v>26/11/2025</v>
      </c>
      <c r="B988" t="str">
        <f t="shared" si="425"/>
        <v>ENTRADA</v>
      </c>
      <c r="C988" t="str">
        <f t="shared" si="426"/>
        <v>NFSE</v>
      </c>
      <c r="D988" t="str">
        <f t="shared" si="421"/>
        <v>3859</v>
      </c>
      <c r="E988" t="str">
        <f t="shared" si="417"/>
        <v>COM</v>
      </c>
      <c r="F988" t="str">
        <f t="shared" si="422"/>
        <v>FARMÁCIA INDIANA LJ 85 (10128)</v>
      </c>
      <c r="G988" t="str">
        <f t="shared" si="423"/>
        <v>Serv.Prest. 10/11/2025 a 16/11/2025 - RPS: 1622 - NFSe: 3859</v>
      </c>
      <c r="H988" t="str">
        <f t="shared" si="427"/>
        <v>26/11/2025</v>
      </c>
      <c r="I988" t="str">
        <f t="shared" si="428"/>
        <v>18/11/2025</v>
      </c>
      <c r="J988" t="str">
        <f t="shared" si="429"/>
        <v>26/11/2025</v>
      </c>
      <c r="M988">
        <v>303</v>
      </c>
      <c r="N988" t="str">
        <f t="shared" si="430"/>
        <v>RECEITAS COM ENTREGAS</v>
      </c>
      <c r="P988">
        <v>120.13</v>
      </c>
      <c r="Q988" t="str">
        <f>"FARMÁCIA INDIANA LJ 243 (10142)"</f>
        <v>FARMÁCIA INDIANA LJ 243 (10142)</v>
      </c>
      <c r="R988" t="str">
        <f t="shared" si="431"/>
        <v>RECEITAS COM ENTREGAS (303)</v>
      </c>
      <c r="S988">
        <v>3291</v>
      </c>
      <c r="T988">
        <v>2731</v>
      </c>
      <c r="U988" t="s">
        <v>21</v>
      </c>
    </row>
    <row r="989" spans="1:21">
      <c r="A989" t="str">
        <f t="shared" si="424"/>
        <v>26/11/2025</v>
      </c>
      <c r="B989" t="str">
        <f t="shared" si="425"/>
        <v>ENTRADA</v>
      </c>
      <c r="C989" t="str">
        <f t="shared" si="426"/>
        <v>NFSE</v>
      </c>
      <c r="D989" t="str">
        <f t="shared" si="421"/>
        <v>3859</v>
      </c>
      <c r="E989" t="str">
        <f t="shared" si="417"/>
        <v>COM</v>
      </c>
      <c r="F989" t="str">
        <f t="shared" si="422"/>
        <v>FARMÁCIA INDIANA LJ 85 (10128)</v>
      </c>
      <c r="G989" t="str">
        <f t="shared" si="423"/>
        <v>Serv.Prest. 10/11/2025 a 16/11/2025 - RPS: 1622 - NFSe: 3859</v>
      </c>
      <c r="H989" t="str">
        <f t="shared" si="427"/>
        <v>26/11/2025</v>
      </c>
      <c r="I989" t="str">
        <f t="shared" si="428"/>
        <v>18/11/2025</v>
      </c>
      <c r="J989" t="str">
        <f t="shared" si="429"/>
        <v>26/11/2025</v>
      </c>
      <c r="M989">
        <v>303</v>
      </c>
      <c r="N989" t="str">
        <f t="shared" si="430"/>
        <v>RECEITAS COM ENTREGAS</v>
      </c>
      <c r="P989">
        <v>57.39</v>
      </c>
      <c r="Q989" t="str">
        <f>"FARMÁCIA INDIANA LJ 211 (10168)"</f>
        <v>FARMÁCIA INDIANA LJ 211 (10168)</v>
      </c>
      <c r="R989" t="str">
        <f t="shared" si="431"/>
        <v>RECEITAS COM ENTREGAS (303)</v>
      </c>
      <c r="S989">
        <v>3291</v>
      </c>
      <c r="T989">
        <v>2731</v>
      </c>
      <c r="U989" t="s">
        <v>21</v>
      </c>
    </row>
    <row r="990" spans="1:21">
      <c r="A990" t="str">
        <f t="shared" si="424"/>
        <v>26/11/2025</v>
      </c>
      <c r="B990" t="str">
        <f t="shared" si="425"/>
        <v>ENTRADA</v>
      </c>
      <c r="C990" t="str">
        <f t="shared" si="426"/>
        <v>NFSE</v>
      </c>
      <c r="D990" t="str">
        <f t="shared" si="421"/>
        <v>3859</v>
      </c>
      <c r="E990" t="str">
        <f t="shared" si="417"/>
        <v>COM</v>
      </c>
      <c r="F990" t="str">
        <f t="shared" si="422"/>
        <v>FARMÁCIA INDIANA LJ 85 (10128)</v>
      </c>
      <c r="G990" t="str">
        <f t="shared" si="423"/>
        <v>Serv.Prest. 10/11/2025 a 16/11/2025 - RPS: 1622 - NFSe: 3859</v>
      </c>
      <c r="H990" t="str">
        <f t="shared" si="427"/>
        <v>26/11/2025</v>
      </c>
      <c r="I990" t="str">
        <f t="shared" si="428"/>
        <v>18/11/2025</v>
      </c>
      <c r="J990" t="str">
        <f t="shared" si="429"/>
        <v>26/11/2025</v>
      </c>
      <c r="M990">
        <v>303</v>
      </c>
      <c r="N990" t="str">
        <f t="shared" si="430"/>
        <v>RECEITAS COM ENTREGAS</v>
      </c>
      <c r="P990">
        <v>57.39</v>
      </c>
      <c r="Q990" t="str">
        <f>"FARMÁCIA INDIANA LJ 236 (10169)"</f>
        <v>FARMÁCIA INDIANA LJ 236 (10169)</v>
      </c>
      <c r="R990" t="str">
        <f t="shared" si="431"/>
        <v>RECEITAS COM ENTREGAS (303)</v>
      </c>
      <c r="S990">
        <v>3291</v>
      </c>
      <c r="T990">
        <v>2731</v>
      </c>
      <c r="U990" t="s">
        <v>21</v>
      </c>
    </row>
    <row r="991" spans="1:21">
      <c r="A991" t="str">
        <f t="shared" si="424"/>
        <v>26/11/2025</v>
      </c>
      <c r="B991" t="str">
        <f t="shared" si="425"/>
        <v>ENTRADA</v>
      </c>
      <c r="C991" t="str">
        <f t="shared" si="426"/>
        <v>NFSE</v>
      </c>
      <c r="D991" t="str">
        <f t="shared" si="421"/>
        <v>3859</v>
      </c>
      <c r="E991" t="str">
        <f t="shared" si="417"/>
        <v>COM</v>
      </c>
      <c r="F991" t="str">
        <f t="shared" si="422"/>
        <v>FARMÁCIA INDIANA LJ 85 (10128)</v>
      </c>
      <c r="G991" t="str">
        <f t="shared" si="423"/>
        <v>Serv.Prest. 10/11/2025 a 16/11/2025 - RPS: 1622 - NFSe: 3859</v>
      </c>
      <c r="H991" t="str">
        <f t="shared" si="427"/>
        <v>26/11/2025</v>
      </c>
      <c r="I991" t="str">
        <f t="shared" si="428"/>
        <v>18/11/2025</v>
      </c>
      <c r="J991" t="str">
        <f t="shared" si="429"/>
        <v>26/11/2025</v>
      </c>
      <c r="M991">
        <v>303</v>
      </c>
      <c r="N991" t="str">
        <f t="shared" si="430"/>
        <v>RECEITAS COM ENTREGAS</v>
      </c>
      <c r="P991">
        <v>114.88</v>
      </c>
      <c r="Q991" t="str">
        <f>"FARMÁCIA INDIANA LJ 188 (10176)"</f>
        <v>FARMÁCIA INDIANA LJ 188 (10176)</v>
      </c>
      <c r="R991" t="str">
        <f t="shared" si="431"/>
        <v>RECEITAS COM ENTREGAS (303)</v>
      </c>
      <c r="S991">
        <v>3291</v>
      </c>
      <c r="T991">
        <v>2731</v>
      </c>
      <c r="U991" t="s">
        <v>21</v>
      </c>
    </row>
    <row r="992" spans="1:21">
      <c r="A992" t="str">
        <f t="shared" si="424"/>
        <v>26/11/2025</v>
      </c>
      <c r="B992" t="str">
        <f t="shared" si="425"/>
        <v>ENTRADA</v>
      </c>
      <c r="C992" t="str">
        <f t="shared" si="426"/>
        <v>NFSE</v>
      </c>
      <c r="D992" t="str">
        <f t="shared" si="421"/>
        <v>3859</v>
      </c>
      <c r="E992" t="str">
        <f t="shared" si="417"/>
        <v>COM</v>
      </c>
      <c r="F992" t="str">
        <f t="shared" si="422"/>
        <v>FARMÁCIA INDIANA LJ 85 (10128)</v>
      </c>
      <c r="G992" t="str">
        <f t="shared" si="423"/>
        <v>Serv.Prest. 10/11/2025 a 16/11/2025 - RPS: 1622 - NFSe: 3859</v>
      </c>
      <c r="H992" t="str">
        <f t="shared" si="427"/>
        <v>26/11/2025</v>
      </c>
      <c r="I992" t="str">
        <f t="shared" si="428"/>
        <v>18/11/2025</v>
      </c>
      <c r="J992" t="str">
        <f t="shared" si="429"/>
        <v>26/11/2025</v>
      </c>
      <c r="M992">
        <v>303</v>
      </c>
      <c r="N992" t="str">
        <f t="shared" si="430"/>
        <v>RECEITAS COM ENTREGAS</v>
      </c>
      <c r="P992">
        <v>134.96</v>
      </c>
      <c r="Q992" t="str">
        <f>"FARMÁCIA INDIANA LJ 273 (10188)"</f>
        <v>FARMÁCIA INDIANA LJ 273 (10188)</v>
      </c>
      <c r="R992" t="str">
        <f t="shared" si="431"/>
        <v>RECEITAS COM ENTREGAS (303)</v>
      </c>
      <c r="S992">
        <v>3291</v>
      </c>
      <c r="T992">
        <v>2731</v>
      </c>
      <c r="U992" t="s">
        <v>21</v>
      </c>
    </row>
    <row r="993" spans="1:21">
      <c r="A993" t="str">
        <f t="shared" si="424"/>
        <v>26/11/2025</v>
      </c>
      <c r="B993" t="str">
        <f t="shared" si="425"/>
        <v>ENTRADA</v>
      </c>
      <c r="C993" t="str">
        <f t="shared" si="426"/>
        <v>NFSE</v>
      </c>
      <c r="D993" t="str">
        <f t="shared" si="421"/>
        <v>3859</v>
      </c>
      <c r="E993" t="str">
        <f t="shared" si="417"/>
        <v>COM</v>
      </c>
      <c r="F993" t="str">
        <f t="shared" si="422"/>
        <v>FARMÁCIA INDIANA LJ 85 (10128)</v>
      </c>
      <c r="G993" t="str">
        <f t="shared" si="423"/>
        <v>Serv.Prest. 10/11/2025 a 16/11/2025 - RPS: 1622 - NFSe: 3859</v>
      </c>
      <c r="H993" t="str">
        <f t="shared" si="427"/>
        <v>26/11/2025</v>
      </c>
      <c r="I993" t="str">
        <f t="shared" si="428"/>
        <v>18/11/2025</v>
      </c>
      <c r="J993" t="str">
        <f t="shared" si="429"/>
        <v>26/11/2025</v>
      </c>
      <c r="M993">
        <v>303</v>
      </c>
      <c r="N993" t="str">
        <f t="shared" si="430"/>
        <v>RECEITAS COM ENTREGAS</v>
      </c>
      <c r="P993">
        <v>18.05</v>
      </c>
      <c r="Q993" t="str">
        <f>"FARMÁCIA INDIANA LJ 235 (10190)"</f>
        <v>FARMÁCIA INDIANA LJ 235 (10190)</v>
      </c>
      <c r="R993" t="str">
        <f t="shared" si="431"/>
        <v>RECEITAS COM ENTREGAS (303)</v>
      </c>
      <c r="S993">
        <v>3291</v>
      </c>
      <c r="T993">
        <v>2731</v>
      </c>
      <c r="U993" t="s">
        <v>21</v>
      </c>
    </row>
    <row r="994" spans="1:21">
      <c r="A994" t="str">
        <f t="shared" si="424"/>
        <v>26/11/2025</v>
      </c>
      <c r="B994" t="str">
        <f t="shared" si="425"/>
        <v>ENTRADA</v>
      </c>
      <c r="C994" t="str">
        <f t="shared" si="426"/>
        <v>NFSE</v>
      </c>
      <c r="D994" t="str">
        <f>"3875"</f>
        <v>3875</v>
      </c>
      <c r="E994" t="str">
        <f t="shared" si="417"/>
        <v>COM</v>
      </c>
      <c r="F994" t="str">
        <f>"ULTRA POPULAR  UBA 2 (10214)"</f>
        <v>ULTRA POPULAR  UBA 2 (10214)</v>
      </c>
      <c r="G994" t="str">
        <f>"Serv.Prest. 17/11/2025 a 23/11/2025 - RPS: 1638 - NFSe: 3875"</f>
        <v>Serv.Prest. 17/11/2025 a 23/11/2025 - RPS: 1638 - NFSe: 3875</v>
      </c>
      <c r="H994" t="str">
        <f t="shared" si="427"/>
        <v>26/11/2025</v>
      </c>
      <c r="I994" t="str">
        <f t="shared" ref="I994:I1019" si="432">("24/11/2025")</f>
        <v>24/11/2025</v>
      </c>
      <c r="J994" t="str">
        <f t="shared" si="429"/>
        <v>26/11/2025</v>
      </c>
      <c r="K994">
        <v>121.55</v>
      </c>
      <c r="L994">
        <v>121.55</v>
      </c>
      <c r="M994">
        <v>303</v>
      </c>
      <c r="N994" t="str">
        <f t="shared" si="430"/>
        <v>RECEITAS COM ENTREGAS</v>
      </c>
      <c r="O994">
        <v>121.55</v>
      </c>
      <c r="R994" t="str">
        <f t="shared" si="431"/>
        <v>RECEITAS COM ENTREGAS (303)</v>
      </c>
      <c r="S994">
        <v>3292</v>
      </c>
      <c r="T994">
        <v>2786</v>
      </c>
      <c r="U994" t="s">
        <v>21</v>
      </c>
    </row>
    <row r="995" spans="1:21">
      <c r="A995" t="str">
        <f t="shared" si="424"/>
        <v>26/11/2025</v>
      </c>
      <c r="B995" t="str">
        <f t="shared" si="425"/>
        <v>ENTRADA</v>
      </c>
      <c r="C995" t="str">
        <f t="shared" si="426"/>
        <v>NFSE</v>
      </c>
      <c r="D995" t="str">
        <f>"3875"</f>
        <v>3875</v>
      </c>
      <c r="E995" t="str">
        <f t="shared" si="417"/>
        <v>COM</v>
      </c>
      <c r="F995" t="str">
        <f>"ULTRA POPULAR  UBA 2 (10214)"</f>
        <v>ULTRA POPULAR  UBA 2 (10214)</v>
      </c>
      <c r="G995" t="str">
        <f>"Serv.Prest. 17/11/2025 a 23/11/2025 - RPS: 1638 - NFSe: 3875"</f>
        <v>Serv.Prest. 17/11/2025 a 23/11/2025 - RPS: 1638 - NFSe: 3875</v>
      </c>
      <c r="H995" t="str">
        <f t="shared" si="427"/>
        <v>26/11/2025</v>
      </c>
      <c r="I995" t="str">
        <f t="shared" si="432"/>
        <v>24/11/2025</v>
      </c>
      <c r="J995" t="str">
        <f t="shared" si="429"/>
        <v>26/11/2025</v>
      </c>
      <c r="M995">
        <v>303</v>
      </c>
      <c r="N995" t="str">
        <f t="shared" si="430"/>
        <v>RECEITAS COM ENTREGAS</v>
      </c>
      <c r="P995">
        <v>78.05</v>
      </c>
      <c r="Q995" t="str">
        <f>"ULTRA POPULAR  UBA 2 (10214)"</f>
        <v>ULTRA POPULAR  UBA 2 (10214)</v>
      </c>
      <c r="R995" t="str">
        <f t="shared" si="431"/>
        <v>RECEITAS COM ENTREGAS (303)</v>
      </c>
      <c r="S995">
        <v>3292</v>
      </c>
      <c r="T995">
        <v>2786</v>
      </c>
      <c r="U995" t="s">
        <v>21</v>
      </c>
    </row>
    <row r="996" spans="1:21">
      <c r="A996" t="str">
        <f t="shared" si="424"/>
        <v>26/11/2025</v>
      </c>
      <c r="B996" t="str">
        <f t="shared" si="425"/>
        <v>ENTRADA</v>
      </c>
      <c r="C996" t="str">
        <f t="shared" si="426"/>
        <v>NFSE</v>
      </c>
      <c r="D996" t="str">
        <f>"3875"</f>
        <v>3875</v>
      </c>
      <c r="E996" t="str">
        <f t="shared" si="417"/>
        <v>COM</v>
      </c>
      <c r="F996" t="str">
        <f>"ULTRA POPULAR  UBA 2 (10214)"</f>
        <v>ULTRA POPULAR  UBA 2 (10214)</v>
      </c>
      <c r="G996" t="str">
        <f>"Serv.Prest. 17/11/2025 a 23/11/2025 - RPS: 1638 - NFSe: 3875"</f>
        <v>Serv.Prest. 17/11/2025 a 23/11/2025 - RPS: 1638 - NFSe: 3875</v>
      </c>
      <c r="H996" t="str">
        <f t="shared" si="427"/>
        <v>26/11/2025</v>
      </c>
      <c r="I996" t="str">
        <f t="shared" si="432"/>
        <v>24/11/2025</v>
      </c>
      <c r="J996" t="str">
        <f t="shared" si="429"/>
        <v>26/11/2025</v>
      </c>
      <c r="M996">
        <v>303</v>
      </c>
      <c r="N996" t="str">
        <f t="shared" si="430"/>
        <v>RECEITAS COM ENTREGAS</v>
      </c>
      <c r="P996">
        <v>43.5</v>
      </c>
      <c r="Q996" t="str">
        <f>"UBA 1 (10263)"</f>
        <v>UBA 1 (10263)</v>
      </c>
      <c r="R996" t="str">
        <f t="shared" si="431"/>
        <v>RECEITAS COM ENTREGAS (303)</v>
      </c>
      <c r="S996">
        <v>3292</v>
      </c>
      <c r="T996">
        <v>2786</v>
      </c>
      <c r="U996" t="s">
        <v>21</v>
      </c>
    </row>
    <row r="997" spans="1:21">
      <c r="A997" t="str">
        <f t="shared" si="424"/>
        <v>26/11/2025</v>
      </c>
      <c r="B997" t="str">
        <f t="shared" si="425"/>
        <v>ENTRADA</v>
      </c>
      <c r="C997" t="str">
        <f t="shared" si="426"/>
        <v>NFSE</v>
      </c>
      <c r="D997" t="str">
        <f>"3877"</f>
        <v>3877</v>
      </c>
      <c r="E997" t="str">
        <f t="shared" si="417"/>
        <v>COM</v>
      </c>
      <c r="F997" t="str">
        <f>"DROGARIA AGAPEAMA (10167)"</f>
        <v>DROGARIA AGAPEAMA (10167)</v>
      </c>
      <c r="G997" t="str">
        <f>"Serv.Prest. 17/11/2025 a 23/11/2025 - RPS: 1640 - NFSe: 3877"</f>
        <v>Serv.Prest. 17/11/2025 a 23/11/2025 - RPS: 1640 - NFSe: 3877</v>
      </c>
      <c r="H997" t="str">
        <f t="shared" si="427"/>
        <v>26/11/2025</v>
      </c>
      <c r="I997" t="str">
        <f t="shared" si="432"/>
        <v>24/11/2025</v>
      </c>
      <c r="J997" t="str">
        <f t="shared" si="429"/>
        <v>26/11/2025</v>
      </c>
      <c r="K997">
        <v>417.6</v>
      </c>
      <c r="L997">
        <v>417.6</v>
      </c>
      <c r="M997">
        <v>303</v>
      </c>
      <c r="N997" t="str">
        <f t="shared" si="430"/>
        <v>RECEITAS COM ENTREGAS</v>
      </c>
      <c r="O997">
        <v>417.6</v>
      </c>
      <c r="R997" t="str">
        <f t="shared" si="431"/>
        <v>RECEITAS COM ENTREGAS (303)</v>
      </c>
      <c r="S997">
        <v>3293</v>
      </c>
      <c r="T997">
        <v>2788</v>
      </c>
      <c r="U997" t="s">
        <v>21</v>
      </c>
    </row>
    <row r="998" spans="1:21">
      <c r="A998" t="str">
        <f t="shared" si="424"/>
        <v>26/11/2025</v>
      </c>
      <c r="B998" t="str">
        <f t="shared" si="425"/>
        <v>ENTRADA</v>
      </c>
      <c r="C998" t="str">
        <f t="shared" si="426"/>
        <v>NFSE</v>
      </c>
      <c r="D998" t="str">
        <f>"3877"</f>
        <v>3877</v>
      </c>
      <c r="E998" t="str">
        <f t="shared" ref="E998:E1029" si="433">"COM"</f>
        <v>COM</v>
      </c>
      <c r="F998" t="str">
        <f>"DROGARIA AGAPEAMA (10167)"</f>
        <v>DROGARIA AGAPEAMA (10167)</v>
      </c>
      <c r="G998" t="str">
        <f>"Serv.Prest. 17/11/2025 a 23/11/2025 - RPS: 1640 - NFSe: 3877"</f>
        <v>Serv.Prest. 17/11/2025 a 23/11/2025 - RPS: 1640 - NFSe: 3877</v>
      </c>
      <c r="H998" t="str">
        <f t="shared" si="427"/>
        <v>26/11/2025</v>
      </c>
      <c r="I998" t="str">
        <f t="shared" si="432"/>
        <v>24/11/2025</v>
      </c>
      <c r="J998" t="str">
        <f t="shared" si="429"/>
        <v>26/11/2025</v>
      </c>
      <c r="M998">
        <v>303</v>
      </c>
      <c r="N998" t="str">
        <f t="shared" si="430"/>
        <v>RECEITAS COM ENTREGAS</v>
      </c>
      <c r="P998">
        <v>417.6</v>
      </c>
      <c r="Q998" t="str">
        <f>"DROGARIA AGAPEAMA (10167)"</f>
        <v>DROGARIA AGAPEAMA (10167)</v>
      </c>
      <c r="R998" t="str">
        <f t="shared" si="431"/>
        <v>RECEITAS COM ENTREGAS (303)</v>
      </c>
      <c r="S998">
        <v>3293</v>
      </c>
      <c r="T998">
        <v>2788</v>
      </c>
      <c r="U998" t="s">
        <v>21</v>
      </c>
    </row>
    <row r="999" spans="1:21">
      <c r="A999" t="str">
        <f t="shared" si="424"/>
        <v>26/11/2025</v>
      </c>
      <c r="B999" t="str">
        <f t="shared" si="425"/>
        <v>ENTRADA</v>
      </c>
      <c r="C999" t="str">
        <f t="shared" si="426"/>
        <v>NFSE</v>
      </c>
      <c r="D999" t="str">
        <f>"3878"</f>
        <v>3878</v>
      </c>
      <c r="E999" t="str">
        <f t="shared" si="433"/>
        <v>COM</v>
      </c>
      <c r="F999" t="str">
        <f>"DROGARIA ANA VISCONDE DO RIO BRANCO (10182)"</f>
        <v>DROGARIA ANA VISCONDE DO RIO BRANCO (10182)</v>
      </c>
      <c r="G999" t="str">
        <f>"Serv.Prest. 17/11/2025 a 23/11/2025 - RPS: 1641 - NFSe: 3878"</f>
        <v>Serv.Prest. 17/11/2025 a 23/11/2025 - RPS: 1641 - NFSe: 3878</v>
      </c>
      <c r="H999" t="str">
        <f t="shared" si="427"/>
        <v>26/11/2025</v>
      </c>
      <c r="I999" t="str">
        <f t="shared" si="432"/>
        <v>24/11/2025</v>
      </c>
      <c r="J999" t="str">
        <f t="shared" si="429"/>
        <v>26/11/2025</v>
      </c>
      <c r="K999">
        <v>899.77</v>
      </c>
      <c r="L999">
        <v>899.77</v>
      </c>
      <c r="M999">
        <v>303</v>
      </c>
      <c r="N999" t="str">
        <f t="shared" si="430"/>
        <v>RECEITAS COM ENTREGAS</v>
      </c>
      <c r="O999">
        <v>899.77</v>
      </c>
      <c r="R999" t="str">
        <f t="shared" si="431"/>
        <v>RECEITAS COM ENTREGAS (303)</v>
      </c>
      <c r="S999">
        <v>3294</v>
      </c>
      <c r="T999">
        <v>2789</v>
      </c>
      <c r="U999" t="s">
        <v>21</v>
      </c>
    </row>
    <row r="1000" spans="1:21">
      <c r="A1000" t="str">
        <f t="shared" si="424"/>
        <v>26/11/2025</v>
      </c>
      <c r="B1000" t="str">
        <f t="shared" si="425"/>
        <v>ENTRADA</v>
      </c>
      <c r="C1000" t="str">
        <f t="shared" si="426"/>
        <v>NFSE</v>
      </c>
      <c r="D1000" t="str">
        <f>"3878"</f>
        <v>3878</v>
      </c>
      <c r="E1000" t="str">
        <f t="shared" si="433"/>
        <v>COM</v>
      </c>
      <c r="F1000" t="str">
        <f>"DROGARIA ANA VISCONDE DO RIO BRANCO (10182)"</f>
        <v>DROGARIA ANA VISCONDE DO RIO BRANCO (10182)</v>
      </c>
      <c r="G1000" t="str">
        <f>"Serv.Prest. 17/11/2025 a 23/11/2025 - RPS: 1641 - NFSe: 3878"</f>
        <v>Serv.Prest. 17/11/2025 a 23/11/2025 - RPS: 1641 - NFSe: 3878</v>
      </c>
      <c r="H1000" t="str">
        <f t="shared" si="427"/>
        <v>26/11/2025</v>
      </c>
      <c r="I1000" t="str">
        <f t="shared" si="432"/>
        <v>24/11/2025</v>
      </c>
      <c r="J1000" t="str">
        <f t="shared" si="429"/>
        <v>26/11/2025</v>
      </c>
      <c r="M1000">
        <v>303</v>
      </c>
      <c r="N1000" t="str">
        <f t="shared" si="430"/>
        <v>RECEITAS COM ENTREGAS</v>
      </c>
      <c r="P1000">
        <v>899.77</v>
      </c>
      <c r="Q1000" t="str">
        <f>"DROGARIA ANA VISCONDE DO RIO BRANCO (10182)"</f>
        <v>DROGARIA ANA VISCONDE DO RIO BRANCO (10182)</v>
      </c>
      <c r="R1000" t="str">
        <f t="shared" si="431"/>
        <v>RECEITAS COM ENTREGAS (303)</v>
      </c>
      <c r="S1000">
        <v>3294</v>
      </c>
      <c r="T1000">
        <v>2789</v>
      </c>
      <c r="U1000" t="s">
        <v>21</v>
      </c>
    </row>
    <row r="1001" spans="1:21">
      <c r="A1001" t="str">
        <f t="shared" si="424"/>
        <v>26/11/2025</v>
      </c>
      <c r="B1001" t="str">
        <f t="shared" si="425"/>
        <v>ENTRADA</v>
      </c>
      <c r="C1001" t="str">
        <f t="shared" si="426"/>
        <v>NFSE</v>
      </c>
      <c r="D1001" t="str">
        <f>"3881"</f>
        <v>3881</v>
      </c>
      <c r="E1001" t="str">
        <f t="shared" si="433"/>
        <v>COM</v>
      </c>
      <c r="F1001" t="str">
        <f>"ENTREFARMA (10164)"</f>
        <v>ENTREFARMA (10164)</v>
      </c>
      <c r="G1001" t="str">
        <f>"Serv.Prest. 17/11/2025 a 23/11/2025 - RPS: 1644 - NFSe: 3881"</f>
        <v>Serv.Prest. 17/11/2025 a 23/11/2025 - RPS: 1644 - NFSe: 3881</v>
      </c>
      <c r="H1001" t="str">
        <f t="shared" si="427"/>
        <v>26/11/2025</v>
      </c>
      <c r="I1001" t="str">
        <f t="shared" si="432"/>
        <v>24/11/2025</v>
      </c>
      <c r="J1001" t="str">
        <f t="shared" si="429"/>
        <v>26/11/2025</v>
      </c>
      <c r="K1001">
        <v>986.85</v>
      </c>
      <c r="L1001">
        <v>986.85</v>
      </c>
      <c r="M1001">
        <v>303</v>
      </c>
      <c r="N1001" t="str">
        <f t="shared" si="430"/>
        <v>RECEITAS COM ENTREGAS</v>
      </c>
      <c r="O1001">
        <v>986.85</v>
      </c>
      <c r="R1001" t="str">
        <f t="shared" si="431"/>
        <v>RECEITAS COM ENTREGAS (303)</v>
      </c>
      <c r="S1001">
        <v>3295</v>
      </c>
      <c r="T1001">
        <v>2792</v>
      </c>
      <c r="U1001" t="s">
        <v>21</v>
      </c>
    </row>
    <row r="1002" spans="1:21">
      <c r="A1002" t="str">
        <f t="shared" si="424"/>
        <v>26/11/2025</v>
      </c>
      <c r="B1002" t="str">
        <f t="shared" si="425"/>
        <v>ENTRADA</v>
      </c>
      <c r="C1002" t="str">
        <f t="shared" si="426"/>
        <v>NFSE</v>
      </c>
      <c r="D1002" t="str">
        <f>"3881"</f>
        <v>3881</v>
      </c>
      <c r="E1002" t="str">
        <f t="shared" si="433"/>
        <v>COM</v>
      </c>
      <c r="F1002" t="str">
        <f>"ENTREFARMA (10164)"</f>
        <v>ENTREFARMA (10164)</v>
      </c>
      <c r="G1002" t="str">
        <f>"Serv.Prest. 17/11/2025 a 23/11/2025 - RPS: 1644 - NFSe: 3881"</f>
        <v>Serv.Prest. 17/11/2025 a 23/11/2025 - RPS: 1644 - NFSe: 3881</v>
      </c>
      <c r="H1002" t="str">
        <f t="shared" si="427"/>
        <v>26/11/2025</v>
      </c>
      <c r="I1002" t="str">
        <f t="shared" si="432"/>
        <v>24/11/2025</v>
      </c>
      <c r="J1002" t="str">
        <f t="shared" si="429"/>
        <v>26/11/2025</v>
      </c>
      <c r="M1002">
        <v>303</v>
      </c>
      <c r="N1002" t="str">
        <f t="shared" si="430"/>
        <v>RECEITAS COM ENTREGAS</v>
      </c>
      <c r="P1002">
        <v>986.85</v>
      </c>
      <c r="Q1002" t="str">
        <f>"ENTREFARMA (10164)"</f>
        <v>ENTREFARMA (10164)</v>
      </c>
      <c r="R1002" t="str">
        <f t="shared" si="431"/>
        <v>RECEITAS COM ENTREGAS (303)</v>
      </c>
      <c r="S1002">
        <v>3295</v>
      </c>
      <c r="T1002">
        <v>2792</v>
      </c>
      <c r="U1002" t="s">
        <v>21</v>
      </c>
    </row>
    <row r="1003" spans="1:21">
      <c r="A1003" t="str">
        <f t="shared" si="424"/>
        <v>26/11/2025</v>
      </c>
      <c r="B1003" t="str">
        <f t="shared" si="425"/>
        <v>ENTRADA</v>
      </c>
      <c r="C1003" t="str">
        <f t="shared" si="426"/>
        <v>NFSE</v>
      </c>
      <c r="D1003" t="str">
        <f>"3882"</f>
        <v>3882</v>
      </c>
      <c r="E1003" t="str">
        <f t="shared" si="433"/>
        <v>COM</v>
      </c>
      <c r="F1003" t="str">
        <f>"FRAN FARMA (10124)"</f>
        <v>FRAN FARMA (10124)</v>
      </c>
      <c r="G1003" t="str">
        <f>"Serv.Prest. 17/11/2025 a 23/11/2025 - RPS: 1645 - NFSe: 3882"</f>
        <v>Serv.Prest. 17/11/2025 a 23/11/2025 - RPS: 1645 - NFSe: 3882</v>
      </c>
      <c r="H1003" t="str">
        <f t="shared" si="427"/>
        <v>26/11/2025</v>
      </c>
      <c r="I1003" t="str">
        <f t="shared" si="432"/>
        <v>24/11/2025</v>
      </c>
      <c r="J1003" t="str">
        <f t="shared" si="429"/>
        <v>26/11/2025</v>
      </c>
      <c r="K1003">
        <v>160</v>
      </c>
      <c r="L1003">
        <v>160</v>
      </c>
      <c r="M1003">
        <v>303</v>
      </c>
      <c r="N1003" t="str">
        <f t="shared" si="430"/>
        <v>RECEITAS COM ENTREGAS</v>
      </c>
      <c r="O1003">
        <v>160</v>
      </c>
      <c r="R1003" t="str">
        <f t="shared" si="431"/>
        <v>RECEITAS COM ENTREGAS (303)</v>
      </c>
      <c r="S1003">
        <v>3296</v>
      </c>
      <c r="T1003">
        <v>2793</v>
      </c>
      <c r="U1003" t="s">
        <v>21</v>
      </c>
    </row>
    <row r="1004" spans="1:21">
      <c r="A1004" t="str">
        <f t="shared" si="424"/>
        <v>26/11/2025</v>
      </c>
      <c r="B1004" t="str">
        <f t="shared" si="425"/>
        <v>ENTRADA</v>
      </c>
      <c r="C1004" t="str">
        <f t="shared" si="426"/>
        <v>NFSE</v>
      </c>
      <c r="D1004" t="str">
        <f>"3882"</f>
        <v>3882</v>
      </c>
      <c r="E1004" t="str">
        <f t="shared" si="433"/>
        <v>COM</v>
      </c>
      <c r="F1004" t="str">
        <f>"FRAN FARMA (10124)"</f>
        <v>FRAN FARMA (10124)</v>
      </c>
      <c r="G1004" t="str">
        <f>"Serv.Prest. 17/11/2025 a 23/11/2025 - RPS: 1645 - NFSe: 3882"</f>
        <v>Serv.Prest. 17/11/2025 a 23/11/2025 - RPS: 1645 - NFSe: 3882</v>
      </c>
      <c r="H1004" t="str">
        <f t="shared" si="427"/>
        <v>26/11/2025</v>
      </c>
      <c r="I1004" t="str">
        <f t="shared" si="432"/>
        <v>24/11/2025</v>
      </c>
      <c r="J1004" t="str">
        <f t="shared" si="429"/>
        <v>26/11/2025</v>
      </c>
      <c r="M1004">
        <v>303</v>
      </c>
      <c r="N1004" t="str">
        <f t="shared" si="430"/>
        <v>RECEITAS COM ENTREGAS</v>
      </c>
      <c r="P1004">
        <v>96</v>
      </c>
      <c r="Q1004" t="str">
        <f>"FRAN FARMA LJ 2 (10131)"</f>
        <v>FRAN FARMA LJ 2 (10131)</v>
      </c>
      <c r="R1004" t="str">
        <f t="shared" si="431"/>
        <v>RECEITAS COM ENTREGAS (303)</v>
      </c>
      <c r="S1004">
        <v>3296</v>
      </c>
      <c r="T1004">
        <v>2793</v>
      </c>
      <c r="U1004" t="s">
        <v>21</v>
      </c>
    </row>
    <row r="1005" spans="1:21">
      <c r="A1005" t="str">
        <f t="shared" si="424"/>
        <v>26/11/2025</v>
      </c>
      <c r="B1005" t="str">
        <f t="shared" si="425"/>
        <v>ENTRADA</v>
      </c>
      <c r="C1005" t="str">
        <f t="shared" si="426"/>
        <v>NFSE</v>
      </c>
      <c r="D1005" t="str">
        <f>"3882"</f>
        <v>3882</v>
      </c>
      <c r="E1005" t="str">
        <f t="shared" si="433"/>
        <v>COM</v>
      </c>
      <c r="F1005" t="str">
        <f>"FRAN FARMA (10124)"</f>
        <v>FRAN FARMA (10124)</v>
      </c>
      <c r="G1005" t="str">
        <f>"Serv.Prest. 17/11/2025 a 23/11/2025 - RPS: 1645 - NFSe: 3882"</f>
        <v>Serv.Prest. 17/11/2025 a 23/11/2025 - RPS: 1645 - NFSe: 3882</v>
      </c>
      <c r="H1005" t="str">
        <f t="shared" si="427"/>
        <v>26/11/2025</v>
      </c>
      <c r="I1005" t="str">
        <f t="shared" si="432"/>
        <v>24/11/2025</v>
      </c>
      <c r="J1005" t="str">
        <f t="shared" si="429"/>
        <v>26/11/2025</v>
      </c>
      <c r="M1005">
        <v>303</v>
      </c>
      <c r="N1005" t="str">
        <f t="shared" si="430"/>
        <v>RECEITAS COM ENTREGAS</v>
      </c>
      <c r="P1005">
        <v>64</v>
      </c>
      <c r="Q1005" t="str">
        <f>"FRAN FARMA LJ 3 (10132)"</f>
        <v>FRAN FARMA LJ 3 (10132)</v>
      </c>
      <c r="R1005" t="str">
        <f t="shared" si="431"/>
        <v>RECEITAS COM ENTREGAS (303)</v>
      </c>
      <c r="S1005">
        <v>3296</v>
      </c>
      <c r="T1005">
        <v>2793</v>
      </c>
      <c r="U1005" t="s">
        <v>21</v>
      </c>
    </row>
    <row r="1006" spans="1:21">
      <c r="A1006" t="str">
        <f t="shared" si="424"/>
        <v>26/11/2025</v>
      </c>
      <c r="B1006" t="str">
        <f t="shared" si="425"/>
        <v>ENTRADA</v>
      </c>
      <c r="C1006" t="str">
        <f t="shared" si="426"/>
        <v>NFSE</v>
      </c>
      <c r="D1006" t="str">
        <f t="shared" ref="D1006:D1011" si="434">"3896"</f>
        <v>3896</v>
      </c>
      <c r="E1006" t="str">
        <f t="shared" si="433"/>
        <v>COM</v>
      </c>
      <c r="F1006" t="str">
        <f t="shared" ref="F1006:F1011" si="435">"DROGALIDER 25 (10246)"</f>
        <v>DROGALIDER 25 (10246)</v>
      </c>
      <c r="G1006" t="str">
        <f t="shared" ref="G1006:G1011" si="436">"Serv.Prest. 17/11/2025 a 23/11/2025 - RPS: 1659 - NFSe: 3896"</f>
        <v>Serv.Prest. 17/11/2025 a 23/11/2025 - RPS: 1659 - NFSe: 3896</v>
      </c>
      <c r="H1006" t="str">
        <f t="shared" si="427"/>
        <v>26/11/2025</v>
      </c>
      <c r="I1006" t="str">
        <f t="shared" si="432"/>
        <v>24/11/2025</v>
      </c>
      <c r="J1006" t="str">
        <f t="shared" si="429"/>
        <v>26/11/2025</v>
      </c>
      <c r="K1006">
        <v>475</v>
      </c>
      <c r="L1006">
        <v>475</v>
      </c>
      <c r="M1006">
        <v>303</v>
      </c>
      <c r="N1006" t="str">
        <f t="shared" si="430"/>
        <v>RECEITAS COM ENTREGAS</v>
      </c>
      <c r="O1006">
        <v>475</v>
      </c>
      <c r="R1006" t="str">
        <f t="shared" si="431"/>
        <v>RECEITAS COM ENTREGAS (303)</v>
      </c>
      <c r="S1006">
        <v>3297</v>
      </c>
      <c r="T1006">
        <v>2807</v>
      </c>
      <c r="U1006" t="s">
        <v>21</v>
      </c>
    </row>
    <row r="1007" spans="1:21">
      <c r="A1007" t="str">
        <f t="shared" si="424"/>
        <v>26/11/2025</v>
      </c>
      <c r="B1007" t="str">
        <f t="shared" si="425"/>
        <v>ENTRADA</v>
      </c>
      <c r="C1007" t="str">
        <f t="shared" si="426"/>
        <v>NFSE</v>
      </c>
      <c r="D1007" t="str">
        <f t="shared" si="434"/>
        <v>3896</v>
      </c>
      <c r="E1007" t="str">
        <f t="shared" si="433"/>
        <v>COM</v>
      </c>
      <c r="F1007" t="str">
        <f t="shared" si="435"/>
        <v>DROGALIDER 25 (10246)</v>
      </c>
      <c r="G1007" t="str">
        <f t="shared" si="436"/>
        <v>Serv.Prest. 17/11/2025 a 23/11/2025 - RPS: 1659 - NFSe: 3896</v>
      </c>
      <c r="H1007" t="str">
        <f t="shared" si="427"/>
        <v>26/11/2025</v>
      </c>
      <c r="I1007" t="str">
        <f t="shared" si="432"/>
        <v>24/11/2025</v>
      </c>
      <c r="J1007" t="str">
        <f t="shared" si="429"/>
        <v>26/11/2025</v>
      </c>
      <c r="M1007">
        <v>303</v>
      </c>
      <c r="N1007" t="str">
        <f t="shared" si="430"/>
        <v>RECEITAS COM ENTREGAS</v>
      </c>
      <c r="P1007">
        <v>95</v>
      </c>
      <c r="Q1007" t="str">
        <f>"DROGALIDER 58 (10213)"</f>
        <v>DROGALIDER 58 (10213)</v>
      </c>
      <c r="R1007" t="str">
        <f t="shared" si="431"/>
        <v>RECEITAS COM ENTREGAS (303)</v>
      </c>
      <c r="S1007">
        <v>3297</v>
      </c>
      <c r="T1007">
        <v>2807</v>
      </c>
      <c r="U1007" t="s">
        <v>21</v>
      </c>
    </row>
    <row r="1008" spans="1:21">
      <c r="A1008" t="str">
        <f t="shared" si="424"/>
        <v>26/11/2025</v>
      </c>
      <c r="B1008" t="str">
        <f t="shared" si="425"/>
        <v>ENTRADA</v>
      </c>
      <c r="C1008" t="str">
        <f t="shared" si="426"/>
        <v>NFSE</v>
      </c>
      <c r="D1008" t="str">
        <f t="shared" si="434"/>
        <v>3896</v>
      </c>
      <c r="E1008" t="str">
        <f t="shared" si="433"/>
        <v>COM</v>
      </c>
      <c r="F1008" t="str">
        <f t="shared" si="435"/>
        <v>DROGALIDER 25 (10246)</v>
      </c>
      <c r="G1008" t="str">
        <f t="shared" si="436"/>
        <v>Serv.Prest. 17/11/2025 a 23/11/2025 - RPS: 1659 - NFSe: 3896</v>
      </c>
      <c r="H1008" t="str">
        <f t="shared" si="427"/>
        <v>26/11/2025</v>
      </c>
      <c r="I1008" t="str">
        <f t="shared" si="432"/>
        <v>24/11/2025</v>
      </c>
      <c r="J1008" t="str">
        <f t="shared" si="429"/>
        <v>26/11/2025</v>
      </c>
      <c r="M1008">
        <v>303</v>
      </c>
      <c r="N1008" t="str">
        <f t="shared" si="430"/>
        <v>RECEITAS COM ENTREGAS</v>
      </c>
      <c r="P1008">
        <v>159.97999999999999</v>
      </c>
      <c r="Q1008" t="str">
        <f>"DROGALIDER 25 (10246)"</f>
        <v>DROGALIDER 25 (10246)</v>
      </c>
      <c r="R1008" t="str">
        <f t="shared" si="431"/>
        <v>RECEITAS COM ENTREGAS (303)</v>
      </c>
      <c r="S1008">
        <v>3297</v>
      </c>
      <c r="T1008">
        <v>2807</v>
      </c>
      <c r="U1008" t="s">
        <v>21</v>
      </c>
    </row>
    <row r="1009" spans="1:21">
      <c r="A1009" t="str">
        <f t="shared" si="424"/>
        <v>26/11/2025</v>
      </c>
      <c r="B1009" t="str">
        <f t="shared" si="425"/>
        <v>ENTRADA</v>
      </c>
      <c r="C1009" t="str">
        <f t="shared" si="426"/>
        <v>NFSE</v>
      </c>
      <c r="D1009" t="str">
        <f t="shared" si="434"/>
        <v>3896</v>
      </c>
      <c r="E1009" t="str">
        <f t="shared" si="433"/>
        <v>COM</v>
      </c>
      <c r="F1009" t="str">
        <f t="shared" si="435"/>
        <v>DROGALIDER 25 (10246)</v>
      </c>
      <c r="G1009" t="str">
        <f t="shared" si="436"/>
        <v>Serv.Prest. 17/11/2025 a 23/11/2025 - RPS: 1659 - NFSe: 3896</v>
      </c>
      <c r="H1009" t="str">
        <f t="shared" si="427"/>
        <v>26/11/2025</v>
      </c>
      <c r="I1009" t="str">
        <f t="shared" si="432"/>
        <v>24/11/2025</v>
      </c>
      <c r="J1009" t="str">
        <f t="shared" si="429"/>
        <v>26/11/2025</v>
      </c>
      <c r="M1009">
        <v>303</v>
      </c>
      <c r="N1009" t="str">
        <f t="shared" si="430"/>
        <v>RECEITAS COM ENTREGAS</v>
      </c>
      <c r="P1009">
        <v>95</v>
      </c>
      <c r="Q1009" t="str">
        <f>"DROGALIDER 46 (10248)"</f>
        <v>DROGALIDER 46 (10248)</v>
      </c>
      <c r="R1009" t="str">
        <f t="shared" si="431"/>
        <v>RECEITAS COM ENTREGAS (303)</v>
      </c>
      <c r="S1009">
        <v>3297</v>
      </c>
      <c r="T1009">
        <v>2807</v>
      </c>
      <c r="U1009" t="s">
        <v>21</v>
      </c>
    </row>
    <row r="1010" spans="1:21">
      <c r="A1010" t="str">
        <f t="shared" si="424"/>
        <v>26/11/2025</v>
      </c>
      <c r="B1010" t="str">
        <f t="shared" si="425"/>
        <v>ENTRADA</v>
      </c>
      <c r="C1010" t="str">
        <f t="shared" si="426"/>
        <v>NFSE</v>
      </c>
      <c r="D1010" t="str">
        <f t="shared" si="434"/>
        <v>3896</v>
      </c>
      <c r="E1010" t="str">
        <f t="shared" si="433"/>
        <v>COM</v>
      </c>
      <c r="F1010" t="str">
        <f t="shared" si="435"/>
        <v>DROGALIDER 25 (10246)</v>
      </c>
      <c r="G1010" t="str">
        <f t="shared" si="436"/>
        <v>Serv.Prest. 17/11/2025 a 23/11/2025 - RPS: 1659 - NFSe: 3896</v>
      </c>
      <c r="H1010" t="str">
        <f t="shared" si="427"/>
        <v>26/11/2025</v>
      </c>
      <c r="I1010" t="str">
        <f t="shared" si="432"/>
        <v>24/11/2025</v>
      </c>
      <c r="J1010" t="str">
        <f t="shared" si="429"/>
        <v>26/11/2025</v>
      </c>
      <c r="M1010">
        <v>303</v>
      </c>
      <c r="N1010" t="str">
        <f t="shared" si="430"/>
        <v>RECEITAS COM ENTREGAS</v>
      </c>
      <c r="P1010">
        <v>31.02</v>
      </c>
      <c r="Q1010" t="str">
        <f>"DROGALIDER 64 (10250)"</f>
        <v>DROGALIDER 64 (10250)</v>
      </c>
      <c r="R1010" t="str">
        <f t="shared" si="431"/>
        <v>RECEITAS COM ENTREGAS (303)</v>
      </c>
      <c r="S1010">
        <v>3297</v>
      </c>
      <c r="T1010">
        <v>2807</v>
      </c>
      <c r="U1010" t="s">
        <v>21</v>
      </c>
    </row>
    <row r="1011" spans="1:21">
      <c r="A1011" t="str">
        <f t="shared" si="424"/>
        <v>26/11/2025</v>
      </c>
      <c r="B1011" t="str">
        <f t="shared" si="425"/>
        <v>ENTRADA</v>
      </c>
      <c r="C1011" t="str">
        <f t="shared" si="426"/>
        <v>NFSE</v>
      </c>
      <c r="D1011" t="str">
        <f t="shared" si="434"/>
        <v>3896</v>
      </c>
      <c r="E1011" t="str">
        <f t="shared" si="433"/>
        <v>COM</v>
      </c>
      <c r="F1011" t="str">
        <f t="shared" si="435"/>
        <v>DROGALIDER 25 (10246)</v>
      </c>
      <c r="G1011" t="str">
        <f t="shared" si="436"/>
        <v>Serv.Prest. 17/11/2025 a 23/11/2025 - RPS: 1659 - NFSe: 3896</v>
      </c>
      <c r="H1011" t="str">
        <f t="shared" si="427"/>
        <v>26/11/2025</v>
      </c>
      <c r="I1011" t="str">
        <f t="shared" si="432"/>
        <v>24/11/2025</v>
      </c>
      <c r="J1011" t="str">
        <f t="shared" si="429"/>
        <v>26/11/2025</v>
      </c>
      <c r="M1011">
        <v>303</v>
      </c>
      <c r="N1011" t="str">
        <f t="shared" si="430"/>
        <v>RECEITAS COM ENTREGAS</v>
      </c>
      <c r="P1011">
        <v>94</v>
      </c>
      <c r="Q1011" t="str">
        <f>"DROGALIDER 66 (10251)"</f>
        <v>DROGALIDER 66 (10251)</v>
      </c>
      <c r="R1011" t="str">
        <f t="shared" si="431"/>
        <v>RECEITAS COM ENTREGAS (303)</v>
      </c>
      <c r="S1011">
        <v>3297</v>
      </c>
      <c r="T1011">
        <v>2807</v>
      </c>
      <c r="U1011" t="s">
        <v>21</v>
      </c>
    </row>
    <row r="1012" spans="1:21">
      <c r="A1012" t="str">
        <f t="shared" si="424"/>
        <v>26/11/2025</v>
      </c>
      <c r="B1012" t="str">
        <f t="shared" si="425"/>
        <v>ENTRADA</v>
      </c>
      <c r="C1012" t="str">
        <f t="shared" si="426"/>
        <v>NFSE</v>
      </c>
      <c r="D1012" t="str">
        <f t="shared" ref="D1012:D1017" si="437">"3900"</f>
        <v>3900</v>
      </c>
      <c r="E1012" t="str">
        <f t="shared" si="433"/>
        <v>COM</v>
      </c>
      <c r="F1012" t="str">
        <f t="shared" ref="F1012:F1017" si="438">"DROGALIDER 31 (10256)"</f>
        <v>DROGALIDER 31 (10256)</v>
      </c>
      <c r="G1012" t="str">
        <f t="shared" ref="G1012:G1017" si="439">"Serv.Prest. 17/11/2025 a 23/11/2025 - RPS: 1663 - NFSe: 3900"</f>
        <v>Serv.Prest. 17/11/2025 a 23/11/2025 - RPS: 1663 - NFSe: 3900</v>
      </c>
      <c r="H1012" t="str">
        <f t="shared" si="427"/>
        <v>26/11/2025</v>
      </c>
      <c r="I1012" t="str">
        <f t="shared" si="432"/>
        <v>24/11/2025</v>
      </c>
      <c r="J1012" t="str">
        <f t="shared" si="429"/>
        <v>26/11/2025</v>
      </c>
      <c r="K1012">
        <v>450</v>
      </c>
      <c r="L1012">
        <v>450</v>
      </c>
      <c r="M1012">
        <v>303</v>
      </c>
      <c r="N1012" t="str">
        <f t="shared" si="430"/>
        <v>RECEITAS COM ENTREGAS</v>
      </c>
      <c r="O1012">
        <v>450</v>
      </c>
      <c r="R1012" t="str">
        <f t="shared" si="431"/>
        <v>RECEITAS COM ENTREGAS (303)</v>
      </c>
      <c r="S1012">
        <v>3298</v>
      </c>
      <c r="T1012">
        <v>2811</v>
      </c>
      <c r="U1012" t="s">
        <v>21</v>
      </c>
    </row>
    <row r="1013" spans="1:21">
      <c r="A1013" t="str">
        <f t="shared" si="424"/>
        <v>26/11/2025</v>
      </c>
      <c r="B1013" t="str">
        <f t="shared" si="425"/>
        <v>ENTRADA</v>
      </c>
      <c r="C1013" t="str">
        <f t="shared" si="426"/>
        <v>NFSE</v>
      </c>
      <c r="D1013" t="str">
        <f t="shared" si="437"/>
        <v>3900</v>
      </c>
      <c r="E1013" t="str">
        <f t="shared" si="433"/>
        <v>COM</v>
      </c>
      <c r="F1013" t="str">
        <f t="shared" si="438"/>
        <v>DROGALIDER 31 (10256)</v>
      </c>
      <c r="G1013" t="str">
        <f t="shared" si="439"/>
        <v>Serv.Prest. 17/11/2025 a 23/11/2025 - RPS: 1663 - NFSe: 3900</v>
      </c>
      <c r="H1013" t="str">
        <f t="shared" si="427"/>
        <v>26/11/2025</v>
      </c>
      <c r="I1013" t="str">
        <f t="shared" si="432"/>
        <v>24/11/2025</v>
      </c>
      <c r="J1013" t="str">
        <f t="shared" si="429"/>
        <v>26/11/2025</v>
      </c>
      <c r="M1013">
        <v>303</v>
      </c>
      <c r="N1013" t="str">
        <f t="shared" si="430"/>
        <v>RECEITAS COM ENTREGAS</v>
      </c>
      <c r="P1013">
        <v>89.99</v>
      </c>
      <c r="Q1013" t="str">
        <f>"DROGALIDER 42 (10247)"</f>
        <v>DROGALIDER 42 (10247)</v>
      </c>
      <c r="R1013" t="str">
        <f t="shared" si="431"/>
        <v>RECEITAS COM ENTREGAS (303)</v>
      </c>
      <c r="S1013">
        <v>3298</v>
      </c>
      <c r="T1013">
        <v>2811</v>
      </c>
      <c r="U1013" t="s">
        <v>21</v>
      </c>
    </row>
    <row r="1014" spans="1:21">
      <c r="A1014" t="str">
        <f t="shared" si="424"/>
        <v>26/11/2025</v>
      </c>
      <c r="B1014" t="str">
        <f t="shared" si="425"/>
        <v>ENTRADA</v>
      </c>
      <c r="C1014" t="str">
        <f t="shared" si="426"/>
        <v>NFSE</v>
      </c>
      <c r="D1014" t="str">
        <f t="shared" si="437"/>
        <v>3900</v>
      </c>
      <c r="E1014" t="str">
        <f t="shared" si="433"/>
        <v>COM</v>
      </c>
      <c r="F1014" t="str">
        <f t="shared" si="438"/>
        <v>DROGALIDER 31 (10256)</v>
      </c>
      <c r="G1014" t="str">
        <f t="shared" si="439"/>
        <v>Serv.Prest. 17/11/2025 a 23/11/2025 - RPS: 1663 - NFSe: 3900</v>
      </c>
      <c r="H1014" t="str">
        <f t="shared" si="427"/>
        <v>26/11/2025</v>
      </c>
      <c r="I1014" t="str">
        <f t="shared" si="432"/>
        <v>24/11/2025</v>
      </c>
      <c r="J1014" t="str">
        <f t="shared" si="429"/>
        <v>26/11/2025</v>
      </c>
      <c r="M1014">
        <v>303</v>
      </c>
      <c r="N1014" t="str">
        <f t="shared" si="430"/>
        <v>RECEITAS COM ENTREGAS</v>
      </c>
      <c r="P1014">
        <v>90</v>
      </c>
      <c r="Q1014" t="str">
        <f>"DROGALIDER 55 (10249)"</f>
        <v>DROGALIDER 55 (10249)</v>
      </c>
      <c r="R1014" t="str">
        <f t="shared" si="431"/>
        <v>RECEITAS COM ENTREGAS (303)</v>
      </c>
      <c r="S1014">
        <v>3298</v>
      </c>
      <c r="T1014">
        <v>2811</v>
      </c>
      <c r="U1014" t="s">
        <v>21</v>
      </c>
    </row>
    <row r="1015" spans="1:21">
      <c r="A1015" t="str">
        <f t="shared" si="424"/>
        <v>26/11/2025</v>
      </c>
      <c r="B1015" t="str">
        <f t="shared" si="425"/>
        <v>ENTRADA</v>
      </c>
      <c r="C1015" t="str">
        <f t="shared" si="426"/>
        <v>NFSE</v>
      </c>
      <c r="D1015" t="str">
        <f t="shared" si="437"/>
        <v>3900</v>
      </c>
      <c r="E1015" t="str">
        <f t="shared" si="433"/>
        <v>COM</v>
      </c>
      <c r="F1015" t="str">
        <f t="shared" si="438"/>
        <v>DROGALIDER 31 (10256)</v>
      </c>
      <c r="G1015" t="str">
        <f t="shared" si="439"/>
        <v>Serv.Prest. 17/11/2025 a 23/11/2025 - RPS: 1663 - NFSe: 3900</v>
      </c>
      <c r="H1015" t="str">
        <f t="shared" si="427"/>
        <v>26/11/2025</v>
      </c>
      <c r="I1015" t="str">
        <f t="shared" si="432"/>
        <v>24/11/2025</v>
      </c>
      <c r="J1015" t="str">
        <f t="shared" si="429"/>
        <v>26/11/2025</v>
      </c>
      <c r="M1015">
        <v>303</v>
      </c>
      <c r="N1015" t="str">
        <f t="shared" si="430"/>
        <v>RECEITAS COM ENTREGAS</v>
      </c>
      <c r="P1015">
        <v>75.02</v>
      </c>
      <c r="Q1015" t="str">
        <f>"DROGALIDER 67 (10252)"</f>
        <v>DROGALIDER 67 (10252)</v>
      </c>
      <c r="R1015" t="str">
        <f t="shared" si="431"/>
        <v>RECEITAS COM ENTREGAS (303)</v>
      </c>
      <c r="S1015">
        <v>3298</v>
      </c>
      <c r="T1015">
        <v>2811</v>
      </c>
      <c r="U1015" t="s">
        <v>21</v>
      </c>
    </row>
    <row r="1016" spans="1:21">
      <c r="A1016" t="str">
        <f t="shared" ref="A1016:A1051" si="440">("26/11/2025")</f>
        <v>26/11/2025</v>
      </c>
      <c r="B1016" t="str">
        <f t="shared" ref="B1016:B1025" si="441">"ENTRADA"</f>
        <v>ENTRADA</v>
      </c>
      <c r="C1016" t="str">
        <f t="shared" ref="C1016:C1025" si="442">"NFSE"</f>
        <v>NFSE</v>
      </c>
      <c r="D1016" t="str">
        <f t="shared" si="437"/>
        <v>3900</v>
      </c>
      <c r="E1016" t="str">
        <f t="shared" si="433"/>
        <v>COM</v>
      </c>
      <c r="F1016" t="str">
        <f t="shared" si="438"/>
        <v>DROGALIDER 31 (10256)</v>
      </c>
      <c r="G1016" t="str">
        <f t="shared" si="439"/>
        <v>Serv.Prest. 17/11/2025 a 23/11/2025 - RPS: 1663 - NFSe: 3900</v>
      </c>
      <c r="H1016" t="str">
        <f t="shared" si="427"/>
        <v>26/11/2025</v>
      </c>
      <c r="I1016" t="str">
        <f t="shared" si="432"/>
        <v>24/11/2025</v>
      </c>
      <c r="J1016" t="str">
        <f t="shared" ref="J1016:J1051" si="443">("26/11/2025")</f>
        <v>26/11/2025</v>
      </c>
      <c r="M1016">
        <v>303</v>
      </c>
      <c r="N1016" t="str">
        <f t="shared" ref="N1016:N1025" si="444">"RECEITAS COM ENTREGAS"</f>
        <v>RECEITAS COM ENTREGAS</v>
      </c>
      <c r="P1016">
        <v>84.02</v>
      </c>
      <c r="Q1016" t="str">
        <f>"DROGALIDER 68 (10253)"</f>
        <v>DROGALIDER 68 (10253)</v>
      </c>
      <c r="R1016" t="str">
        <f t="shared" ref="R1016:R1025" si="445">"RECEITAS COM ENTREGAS (303)"</f>
        <v>RECEITAS COM ENTREGAS (303)</v>
      </c>
      <c r="S1016">
        <v>3298</v>
      </c>
      <c r="T1016">
        <v>2811</v>
      </c>
      <c r="U1016" t="s">
        <v>21</v>
      </c>
    </row>
    <row r="1017" spans="1:21">
      <c r="A1017" t="str">
        <f t="shared" si="440"/>
        <v>26/11/2025</v>
      </c>
      <c r="B1017" t="str">
        <f t="shared" si="441"/>
        <v>ENTRADA</v>
      </c>
      <c r="C1017" t="str">
        <f t="shared" si="442"/>
        <v>NFSE</v>
      </c>
      <c r="D1017" t="str">
        <f t="shared" si="437"/>
        <v>3900</v>
      </c>
      <c r="E1017" t="str">
        <f t="shared" si="433"/>
        <v>COM</v>
      </c>
      <c r="F1017" t="str">
        <f t="shared" si="438"/>
        <v>DROGALIDER 31 (10256)</v>
      </c>
      <c r="G1017" t="str">
        <f t="shared" si="439"/>
        <v>Serv.Prest. 17/11/2025 a 23/11/2025 - RPS: 1663 - NFSe: 3900</v>
      </c>
      <c r="H1017" t="str">
        <f t="shared" si="427"/>
        <v>26/11/2025</v>
      </c>
      <c r="I1017" t="str">
        <f t="shared" si="432"/>
        <v>24/11/2025</v>
      </c>
      <c r="J1017" t="str">
        <f t="shared" si="443"/>
        <v>26/11/2025</v>
      </c>
      <c r="M1017">
        <v>303</v>
      </c>
      <c r="N1017" t="str">
        <f t="shared" si="444"/>
        <v>RECEITAS COM ENTREGAS</v>
      </c>
      <c r="P1017">
        <v>110.97</v>
      </c>
      <c r="Q1017" t="str">
        <f>"DROGALIDER 31 (10256)"</f>
        <v>DROGALIDER 31 (10256)</v>
      </c>
      <c r="R1017" t="str">
        <f t="shared" si="445"/>
        <v>RECEITAS COM ENTREGAS (303)</v>
      </c>
      <c r="S1017">
        <v>3298</v>
      </c>
      <c r="T1017">
        <v>2811</v>
      </c>
      <c r="U1017" t="s">
        <v>21</v>
      </c>
    </row>
    <row r="1018" spans="1:21">
      <c r="A1018" t="str">
        <f t="shared" si="440"/>
        <v>26/11/2025</v>
      </c>
      <c r="B1018" t="str">
        <f t="shared" si="441"/>
        <v>ENTRADA</v>
      </c>
      <c r="C1018" t="str">
        <f t="shared" si="442"/>
        <v>NFSE</v>
      </c>
      <c r="D1018" t="str">
        <f>"3903"</f>
        <v>3903</v>
      </c>
      <c r="E1018" t="str">
        <f t="shared" si="433"/>
        <v>COM</v>
      </c>
      <c r="F1018" t="str">
        <f>"DROGARIA MORENO LTDA (10171)"</f>
        <v>DROGARIA MORENO LTDA (10171)</v>
      </c>
      <c r="G1018" t="str">
        <f>"Serv.Prest. 17/11/2025 a 23/11/2025 - RPS: 1666 - NFSe: 3903"</f>
        <v>Serv.Prest. 17/11/2025 a 23/11/2025 - RPS: 1666 - NFSe: 3903</v>
      </c>
      <c r="H1018" t="str">
        <f t="shared" si="427"/>
        <v>26/11/2025</v>
      </c>
      <c r="I1018" t="str">
        <f t="shared" si="432"/>
        <v>24/11/2025</v>
      </c>
      <c r="J1018" t="str">
        <f t="shared" si="443"/>
        <v>26/11/2025</v>
      </c>
      <c r="K1018">
        <v>420.3</v>
      </c>
      <c r="L1018">
        <v>420.3</v>
      </c>
      <c r="M1018">
        <v>303</v>
      </c>
      <c r="N1018" t="str">
        <f t="shared" si="444"/>
        <v>RECEITAS COM ENTREGAS</v>
      </c>
      <c r="O1018">
        <v>420.3</v>
      </c>
      <c r="R1018" t="str">
        <f t="shared" si="445"/>
        <v>RECEITAS COM ENTREGAS (303)</v>
      </c>
      <c r="S1018">
        <v>3299</v>
      </c>
      <c r="T1018">
        <v>2814</v>
      </c>
      <c r="U1018" t="s">
        <v>21</v>
      </c>
    </row>
    <row r="1019" spans="1:21">
      <c r="A1019" t="str">
        <f t="shared" si="440"/>
        <v>26/11/2025</v>
      </c>
      <c r="B1019" t="str">
        <f t="shared" si="441"/>
        <v>ENTRADA</v>
      </c>
      <c r="C1019" t="str">
        <f t="shared" si="442"/>
        <v>NFSE</v>
      </c>
      <c r="D1019" t="str">
        <f>"3903"</f>
        <v>3903</v>
      </c>
      <c r="E1019" t="str">
        <f t="shared" si="433"/>
        <v>COM</v>
      </c>
      <c r="F1019" t="str">
        <f>"DROGARIA MORENO LTDA (10171)"</f>
        <v>DROGARIA MORENO LTDA (10171)</v>
      </c>
      <c r="G1019" t="str">
        <f>"Serv.Prest. 17/11/2025 a 23/11/2025 - RPS: 1666 - NFSe: 3903"</f>
        <v>Serv.Prest. 17/11/2025 a 23/11/2025 - RPS: 1666 - NFSe: 3903</v>
      </c>
      <c r="H1019" t="str">
        <f t="shared" si="427"/>
        <v>26/11/2025</v>
      </c>
      <c r="I1019" t="str">
        <f t="shared" si="432"/>
        <v>24/11/2025</v>
      </c>
      <c r="J1019" t="str">
        <f t="shared" si="443"/>
        <v>26/11/2025</v>
      </c>
      <c r="M1019">
        <v>303</v>
      </c>
      <c r="N1019" t="str">
        <f t="shared" si="444"/>
        <v>RECEITAS COM ENTREGAS</v>
      </c>
      <c r="P1019">
        <v>420.3</v>
      </c>
      <c r="Q1019" t="str">
        <f>"DROGARIA MORENO LTDA (10171)"</f>
        <v>DROGARIA MORENO LTDA (10171)</v>
      </c>
      <c r="R1019" t="str">
        <f t="shared" si="445"/>
        <v>RECEITAS COM ENTREGAS (303)</v>
      </c>
      <c r="S1019">
        <v>3299</v>
      </c>
      <c r="T1019">
        <v>2814</v>
      </c>
      <c r="U1019" t="s">
        <v>21</v>
      </c>
    </row>
    <row r="1020" spans="1:21">
      <c r="A1020" t="str">
        <f t="shared" si="440"/>
        <v>26/11/2025</v>
      </c>
      <c r="B1020" t="str">
        <f t="shared" si="441"/>
        <v>ENTRADA</v>
      </c>
      <c r="C1020" t="str">
        <f t="shared" si="442"/>
        <v>NFSE</v>
      </c>
      <c r="D1020" t="str">
        <f>"3906"</f>
        <v>3906</v>
      </c>
      <c r="E1020" t="str">
        <f t="shared" si="433"/>
        <v>COM</v>
      </c>
      <c r="F1020" t="str">
        <f>"JAL FARMACIA E DROGARIA LJ 2 (10138)"</f>
        <v>JAL FARMACIA E DROGARIA LJ 2 (10138)</v>
      </c>
      <c r="G1020" t="str">
        <f>"Serv.Prest. 17/11/2025 a 23/11/2025 - RPS: 1669 - NFSe: 3906"</f>
        <v>Serv.Prest. 17/11/2025 a 23/11/2025 - RPS: 1669 - NFSe: 3906</v>
      </c>
      <c r="H1020" t="str">
        <f t="shared" si="427"/>
        <v>26/11/2025</v>
      </c>
      <c r="I1020" t="str">
        <f t="shared" ref="I1020:I1025" si="446">("25/11/2025")</f>
        <v>25/11/2025</v>
      </c>
      <c r="J1020" t="str">
        <f t="shared" si="443"/>
        <v>26/11/2025</v>
      </c>
      <c r="K1020">
        <v>289.5</v>
      </c>
      <c r="L1020">
        <v>289.5</v>
      </c>
      <c r="M1020">
        <v>303</v>
      </c>
      <c r="N1020" t="str">
        <f t="shared" si="444"/>
        <v>RECEITAS COM ENTREGAS</v>
      </c>
      <c r="O1020">
        <v>289.5</v>
      </c>
      <c r="R1020" t="str">
        <f t="shared" si="445"/>
        <v>RECEITAS COM ENTREGAS (303)</v>
      </c>
      <c r="S1020">
        <v>3300</v>
      </c>
      <c r="T1020">
        <v>2817</v>
      </c>
      <c r="U1020" t="s">
        <v>21</v>
      </c>
    </row>
    <row r="1021" spans="1:21">
      <c r="A1021" t="str">
        <f t="shared" si="440"/>
        <v>26/11/2025</v>
      </c>
      <c r="B1021" t="str">
        <f t="shared" si="441"/>
        <v>ENTRADA</v>
      </c>
      <c r="C1021" t="str">
        <f t="shared" si="442"/>
        <v>NFSE</v>
      </c>
      <c r="D1021" t="str">
        <f>"3906"</f>
        <v>3906</v>
      </c>
      <c r="E1021" t="str">
        <f t="shared" si="433"/>
        <v>COM</v>
      </c>
      <c r="F1021" t="str">
        <f>"JAL FARMACIA E DROGARIA LJ 2 (10138)"</f>
        <v>JAL FARMACIA E DROGARIA LJ 2 (10138)</v>
      </c>
      <c r="G1021" t="str">
        <f>"Serv.Prest. 17/11/2025 a 23/11/2025 - RPS: 1669 - NFSe: 3906"</f>
        <v>Serv.Prest. 17/11/2025 a 23/11/2025 - RPS: 1669 - NFSe: 3906</v>
      </c>
      <c r="H1021" t="str">
        <f t="shared" si="427"/>
        <v>26/11/2025</v>
      </c>
      <c r="I1021" t="str">
        <f t="shared" si="446"/>
        <v>25/11/2025</v>
      </c>
      <c r="J1021" t="str">
        <f t="shared" si="443"/>
        <v>26/11/2025</v>
      </c>
      <c r="M1021">
        <v>303</v>
      </c>
      <c r="N1021" t="str">
        <f t="shared" si="444"/>
        <v>RECEITAS COM ENTREGAS</v>
      </c>
      <c r="P1021">
        <v>289.5</v>
      </c>
      <c r="Q1021" t="str">
        <f>"JAL FARMACIA E DROGARIA LJ 2 (10138)"</f>
        <v>JAL FARMACIA E DROGARIA LJ 2 (10138)</v>
      </c>
      <c r="R1021" t="str">
        <f t="shared" si="445"/>
        <v>RECEITAS COM ENTREGAS (303)</v>
      </c>
      <c r="S1021">
        <v>3300</v>
      </c>
      <c r="T1021">
        <v>2817</v>
      </c>
      <c r="U1021" t="s">
        <v>21</v>
      </c>
    </row>
    <row r="1022" spans="1:21">
      <c r="A1022" t="str">
        <f t="shared" si="440"/>
        <v>26/11/2025</v>
      </c>
      <c r="B1022" t="str">
        <f t="shared" si="441"/>
        <v>ENTRADA</v>
      </c>
      <c r="C1022" t="str">
        <f t="shared" si="442"/>
        <v>NFSE</v>
      </c>
      <c r="D1022" t="str">
        <f>"3913"</f>
        <v>3913</v>
      </c>
      <c r="E1022" t="str">
        <f t="shared" si="433"/>
        <v>COM</v>
      </c>
      <c r="F1022" t="str">
        <f>"DELTA LOJA 2 (10123)"</f>
        <v>DELTA LOJA 2 (10123)</v>
      </c>
      <c r="G1022" t="str">
        <f>"Serv.Prest. 17/11/2025 a 23/11/2025 - RPS: 1676 - NFSe: 3913"</f>
        <v>Serv.Prest. 17/11/2025 a 23/11/2025 - RPS: 1676 - NFSe: 3913</v>
      </c>
      <c r="H1022" t="str">
        <f t="shared" si="427"/>
        <v>26/11/2025</v>
      </c>
      <c r="I1022" t="str">
        <f t="shared" si="446"/>
        <v>25/11/2025</v>
      </c>
      <c r="J1022" t="str">
        <f t="shared" si="443"/>
        <v>26/11/2025</v>
      </c>
      <c r="K1022">
        <v>864.15</v>
      </c>
      <c r="L1022">
        <v>864.15</v>
      </c>
      <c r="M1022">
        <v>303</v>
      </c>
      <c r="N1022" t="str">
        <f t="shared" si="444"/>
        <v>RECEITAS COM ENTREGAS</v>
      </c>
      <c r="O1022">
        <v>864.15</v>
      </c>
      <c r="R1022" t="str">
        <f t="shared" si="445"/>
        <v>RECEITAS COM ENTREGAS (303)</v>
      </c>
      <c r="S1022">
        <v>3301</v>
      </c>
      <c r="T1022">
        <v>2825</v>
      </c>
      <c r="U1022" t="s">
        <v>21</v>
      </c>
    </row>
    <row r="1023" spans="1:21">
      <c r="A1023" t="str">
        <f t="shared" si="440"/>
        <v>26/11/2025</v>
      </c>
      <c r="B1023" t="str">
        <f t="shared" si="441"/>
        <v>ENTRADA</v>
      </c>
      <c r="C1023" t="str">
        <f t="shared" si="442"/>
        <v>NFSE</v>
      </c>
      <c r="D1023" t="str">
        <f>"3913"</f>
        <v>3913</v>
      </c>
      <c r="E1023" t="str">
        <f t="shared" si="433"/>
        <v>COM</v>
      </c>
      <c r="F1023" t="str">
        <f>"DELTA LOJA 2 (10123)"</f>
        <v>DELTA LOJA 2 (10123)</v>
      </c>
      <c r="G1023" t="str">
        <f>"Serv.Prest. 17/11/2025 a 23/11/2025 - RPS: 1676 - NFSe: 3913"</f>
        <v>Serv.Prest. 17/11/2025 a 23/11/2025 - RPS: 1676 - NFSe: 3913</v>
      </c>
      <c r="H1023" t="str">
        <f t="shared" si="427"/>
        <v>26/11/2025</v>
      </c>
      <c r="I1023" t="str">
        <f t="shared" si="446"/>
        <v>25/11/2025</v>
      </c>
      <c r="J1023" t="str">
        <f t="shared" si="443"/>
        <v>26/11/2025</v>
      </c>
      <c r="M1023">
        <v>303</v>
      </c>
      <c r="N1023" t="str">
        <f t="shared" si="444"/>
        <v>RECEITAS COM ENTREGAS</v>
      </c>
      <c r="P1023">
        <v>864.15</v>
      </c>
      <c r="Q1023" t="str">
        <f>"DELTA LOJA 2 (10123)"</f>
        <v>DELTA LOJA 2 (10123)</v>
      </c>
      <c r="R1023" t="str">
        <f t="shared" si="445"/>
        <v>RECEITAS COM ENTREGAS (303)</v>
      </c>
      <c r="S1023">
        <v>3301</v>
      </c>
      <c r="T1023">
        <v>2825</v>
      </c>
      <c r="U1023" t="s">
        <v>21</v>
      </c>
    </row>
    <row r="1024" spans="1:21">
      <c r="A1024" t="str">
        <f t="shared" si="440"/>
        <v>26/11/2025</v>
      </c>
      <c r="B1024" t="str">
        <f t="shared" si="441"/>
        <v>ENTRADA</v>
      </c>
      <c r="C1024" t="str">
        <f t="shared" si="442"/>
        <v>NFSE</v>
      </c>
      <c r="D1024" t="str">
        <f>"3914"</f>
        <v>3914</v>
      </c>
      <c r="E1024" t="str">
        <f t="shared" si="433"/>
        <v>COM</v>
      </c>
      <c r="F1024" t="str">
        <f>"DROGA HONDA (10149)"</f>
        <v>DROGA HONDA (10149)</v>
      </c>
      <c r="G1024" t="str">
        <f>"Serv.Prest. 17/11/2025 a 23/11/2025 - RPS: 1677 - NFSe: 3914"</f>
        <v>Serv.Prest. 17/11/2025 a 23/11/2025 - RPS: 1677 - NFSe: 3914</v>
      </c>
      <c r="H1024" t="str">
        <f t="shared" si="427"/>
        <v>26/11/2025</v>
      </c>
      <c r="I1024" t="str">
        <f t="shared" si="446"/>
        <v>25/11/2025</v>
      </c>
      <c r="J1024" t="str">
        <f t="shared" si="443"/>
        <v>26/11/2025</v>
      </c>
      <c r="K1024">
        <v>99.51</v>
      </c>
      <c r="L1024">
        <v>99.51</v>
      </c>
      <c r="M1024">
        <v>303</v>
      </c>
      <c r="N1024" t="str">
        <f t="shared" si="444"/>
        <v>RECEITAS COM ENTREGAS</v>
      </c>
      <c r="O1024">
        <v>99.51</v>
      </c>
      <c r="R1024" t="str">
        <f t="shared" si="445"/>
        <v>RECEITAS COM ENTREGAS (303)</v>
      </c>
      <c r="S1024">
        <v>3302</v>
      </c>
      <c r="T1024">
        <v>2826</v>
      </c>
      <c r="U1024" t="s">
        <v>21</v>
      </c>
    </row>
    <row r="1025" spans="1:21">
      <c r="A1025" t="str">
        <f t="shared" si="440"/>
        <v>26/11/2025</v>
      </c>
      <c r="B1025" t="str">
        <f t="shared" si="441"/>
        <v>ENTRADA</v>
      </c>
      <c r="C1025" t="str">
        <f t="shared" si="442"/>
        <v>NFSE</v>
      </c>
      <c r="D1025" t="str">
        <f>"3914"</f>
        <v>3914</v>
      </c>
      <c r="E1025" t="str">
        <f t="shared" si="433"/>
        <v>COM</v>
      </c>
      <c r="F1025" t="str">
        <f>"DROGA HONDA (10149)"</f>
        <v>DROGA HONDA (10149)</v>
      </c>
      <c r="G1025" t="str">
        <f>"Serv.Prest. 17/11/2025 a 23/11/2025 - RPS: 1677 - NFSe: 3914"</f>
        <v>Serv.Prest. 17/11/2025 a 23/11/2025 - RPS: 1677 - NFSe: 3914</v>
      </c>
      <c r="H1025" t="str">
        <f t="shared" si="427"/>
        <v>26/11/2025</v>
      </c>
      <c r="I1025" t="str">
        <f t="shared" si="446"/>
        <v>25/11/2025</v>
      </c>
      <c r="J1025" t="str">
        <f t="shared" si="443"/>
        <v>26/11/2025</v>
      </c>
      <c r="M1025">
        <v>303</v>
      </c>
      <c r="N1025" t="str">
        <f t="shared" si="444"/>
        <v>RECEITAS COM ENTREGAS</v>
      </c>
      <c r="P1025">
        <v>99.51</v>
      </c>
      <c r="Q1025" t="str">
        <f>"DROGA HONDA (10149)"</f>
        <v>DROGA HONDA (10149)</v>
      </c>
      <c r="R1025" t="str">
        <f t="shared" si="445"/>
        <v>RECEITAS COM ENTREGAS (303)</v>
      </c>
      <c r="S1025">
        <v>3302</v>
      </c>
      <c r="T1025">
        <v>2826</v>
      </c>
      <c r="U1025" t="s">
        <v>21</v>
      </c>
    </row>
    <row r="1026" spans="1:21">
      <c r="A1026" t="str">
        <f t="shared" si="440"/>
        <v>26/11/2025</v>
      </c>
      <c r="B1026" t="str">
        <f t="shared" ref="B1026:B1048" si="447">"SAÍDA"</f>
        <v>SAÍDA</v>
      </c>
      <c r="C1026" t="str">
        <f t="shared" ref="C1026:C1047" si="448">"BOLETO"</f>
        <v>BOLETO</v>
      </c>
      <c r="D1026" t="str">
        <f t="shared" ref="D1026:D1047" si="449">"011125"</f>
        <v>011125</v>
      </c>
      <c r="E1026" t="str">
        <f t="shared" si="433"/>
        <v>COM</v>
      </c>
      <c r="F1026" t="str">
        <f t="shared" ref="F1026:F1047" si="450">"CORA SOCIEDADE DE CREDITO, FINANCIAMENTO E INVESTIMENTO (20035)"</f>
        <v>CORA SOCIEDADE DE CREDITO, FINANCIAMENTO E INVESTIMENTO (20035)</v>
      </c>
      <c r="G1026" t="str">
        <f t="shared" ref="G1026:G1047" si="451">"TAXA BOLETO CORA"</f>
        <v>TAXA BOLETO CORA</v>
      </c>
      <c r="H1026" t="str">
        <f t="shared" si="427"/>
        <v>26/11/2025</v>
      </c>
      <c r="I1026" t="str">
        <f t="shared" ref="I1026:I1047" si="452">("01/11/2025")</f>
        <v>01/11/2025</v>
      </c>
      <c r="J1026" t="str">
        <f t="shared" si="443"/>
        <v>26/11/2025</v>
      </c>
      <c r="K1026">
        <v>1.7</v>
      </c>
      <c r="L1026">
        <v>1.7</v>
      </c>
      <c r="M1026">
        <v>401</v>
      </c>
      <c r="N1026" t="str">
        <f t="shared" ref="N1026:N1047" si="453">"IOF/JUROS/DESP.FINANCEIRA"</f>
        <v>IOF/JUROS/DESP.FINANCEIRA</v>
      </c>
      <c r="O1026">
        <v>1.7</v>
      </c>
      <c r="R1026" t="str">
        <f t="shared" ref="R1026:R1048" si="454">"BANCO CORA (102)"</f>
        <v>BANCO CORA (102)</v>
      </c>
      <c r="S1026">
        <v>3337</v>
      </c>
      <c r="T1026">
        <v>2932</v>
      </c>
      <c r="U1026" t="s">
        <v>21</v>
      </c>
    </row>
    <row r="1027" spans="1:21">
      <c r="A1027" t="str">
        <f t="shared" si="440"/>
        <v>26/11/2025</v>
      </c>
      <c r="B1027" t="str">
        <f t="shared" si="447"/>
        <v>SAÍDA</v>
      </c>
      <c r="C1027" t="str">
        <f t="shared" si="448"/>
        <v>BOLETO</v>
      </c>
      <c r="D1027" t="str">
        <f t="shared" si="449"/>
        <v>011125</v>
      </c>
      <c r="E1027" t="str">
        <f t="shared" si="433"/>
        <v>COM</v>
      </c>
      <c r="F1027" t="str">
        <f t="shared" si="450"/>
        <v>CORA SOCIEDADE DE CREDITO, FINANCIAMENTO E INVESTIMENTO (20035)</v>
      </c>
      <c r="G1027" t="str">
        <f t="shared" si="451"/>
        <v>TAXA BOLETO CORA</v>
      </c>
      <c r="H1027" t="str">
        <f t="shared" si="427"/>
        <v>26/11/2025</v>
      </c>
      <c r="I1027" t="str">
        <f t="shared" si="452"/>
        <v>01/11/2025</v>
      </c>
      <c r="J1027" t="str">
        <f t="shared" si="443"/>
        <v>26/11/2025</v>
      </c>
      <c r="M1027">
        <v>401</v>
      </c>
      <c r="N1027" t="str">
        <f t="shared" si="453"/>
        <v>IOF/JUROS/DESP.FINANCEIRA</v>
      </c>
      <c r="P1027">
        <v>1.7</v>
      </c>
      <c r="Q1027" t="str">
        <f>"CORA SOCIEDADE DE CREDITO, FINANCIAMENTO E INVESTIMENTO (20035)"</f>
        <v>CORA SOCIEDADE DE CREDITO, FINANCIAMENTO E INVESTIMENTO (20035)</v>
      </c>
      <c r="R1027" t="str">
        <f t="shared" si="454"/>
        <v>BANCO CORA (102)</v>
      </c>
      <c r="S1027">
        <v>3337</v>
      </c>
      <c r="T1027">
        <v>2932</v>
      </c>
      <c r="U1027" t="s">
        <v>21</v>
      </c>
    </row>
    <row r="1028" spans="1:21">
      <c r="A1028" t="str">
        <f t="shared" si="440"/>
        <v>26/11/2025</v>
      </c>
      <c r="B1028" t="str">
        <f t="shared" si="447"/>
        <v>SAÍDA</v>
      </c>
      <c r="C1028" t="str">
        <f t="shared" si="448"/>
        <v>BOLETO</v>
      </c>
      <c r="D1028" t="str">
        <f t="shared" si="449"/>
        <v>011125</v>
      </c>
      <c r="E1028" t="str">
        <f t="shared" si="433"/>
        <v>COM</v>
      </c>
      <c r="F1028" t="str">
        <f t="shared" si="450"/>
        <v>CORA SOCIEDADE DE CREDITO, FINANCIAMENTO E INVESTIMENTO (20035)</v>
      </c>
      <c r="G1028" t="str">
        <f t="shared" si="451"/>
        <v>TAXA BOLETO CORA</v>
      </c>
      <c r="H1028" t="str">
        <f t="shared" si="427"/>
        <v>26/11/2025</v>
      </c>
      <c r="I1028" t="str">
        <f t="shared" si="452"/>
        <v>01/11/2025</v>
      </c>
      <c r="J1028" t="str">
        <f t="shared" si="443"/>
        <v>26/11/2025</v>
      </c>
      <c r="K1028">
        <v>1.7</v>
      </c>
      <c r="L1028">
        <v>1.7</v>
      </c>
      <c r="M1028">
        <v>401</v>
      </c>
      <c r="N1028" t="str">
        <f t="shared" si="453"/>
        <v>IOF/JUROS/DESP.FINANCEIRA</v>
      </c>
      <c r="O1028">
        <v>1.7</v>
      </c>
      <c r="R1028" t="str">
        <f t="shared" si="454"/>
        <v>BANCO CORA (102)</v>
      </c>
      <c r="S1028">
        <v>3338</v>
      </c>
      <c r="T1028">
        <v>2933</v>
      </c>
      <c r="U1028" t="s">
        <v>21</v>
      </c>
    </row>
    <row r="1029" spans="1:21">
      <c r="A1029" t="str">
        <f t="shared" si="440"/>
        <v>26/11/2025</v>
      </c>
      <c r="B1029" t="str">
        <f t="shared" si="447"/>
        <v>SAÍDA</v>
      </c>
      <c r="C1029" t="str">
        <f t="shared" si="448"/>
        <v>BOLETO</v>
      </c>
      <c r="D1029" t="str">
        <f t="shared" si="449"/>
        <v>011125</v>
      </c>
      <c r="E1029" t="str">
        <f t="shared" si="433"/>
        <v>COM</v>
      </c>
      <c r="F1029" t="str">
        <f t="shared" si="450"/>
        <v>CORA SOCIEDADE DE CREDITO, FINANCIAMENTO E INVESTIMENTO (20035)</v>
      </c>
      <c r="G1029" t="str">
        <f t="shared" si="451"/>
        <v>TAXA BOLETO CORA</v>
      </c>
      <c r="H1029" t="str">
        <f t="shared" si="427"/>
        <v>26/11/2025</v>
      </c>
      <c r="I1029" t="str">
        <f t="shared" si="452"/>
        <v>01/11/2025</v>
      </c>
      <c r="J1029" t="str">
        <f t="shared" si="443"/>
        <v>26/11/2025</v>
      </c>
      <c r="M1029">
        <v>401</v>
      </c>
      <c r="N1029" t="str">
        <f t="shared" si="453"/>
        <v>IOF/JUROS/DESP.FINANCEIRA</v>
      </c>
      <c r="P1029">
        <v>1.7</v>
      </c>
      <c r="Q1029" t="str">
        <f>"CORA SOCIEDADE DE CREDITO, FINANCIAMENTO E INVESTIMENTO (20035)"</f>
        <v>CORA SOCIEDADE DE CREDITO, FINANCIAMENTO E INVESTIMENTO (20035)</v>
      </c>
      <c r="R1029" t="str">
        <f t="shared" si="454"/>
        <v>BANCO CORA (102)</v>
      </c>
      <c r="S1029">
        <v>3338</v>
      </c>
      <c r="T1029">
        <v>2933</v>
      </c>
      <c r="U1029" t="s">
        <v>21</v>
      </c>
    </row>
    <row r="1030" spans="1:21">
      <c r="A1030" t="str">
        <f t="shared" si="440"/>
        <v>26/11/2025</v>
      </c>
      <c r="B1030" t="str">
        <f t="shared" si="447"/>
        <v>SAÍDA</v>
      </c>
      <c r="C1030" t="str">
        <f t="shared" si="448"/>
        <v>BOLETO</v>
      </c>
      <c r="D1030" t="str">
        <f t="shared" si="449"/>
        <v>011125</v>
      </c>
      <c r="E1030" t="str">
        <f t="shared" ref="E1030:E1047" si="455">"COM"</f>
        <v>COM</v>
      </c>
      <c r="F1030" t="str">
        <f t="shared" si="450"/>
        <v>CORA SOCIEDADE DE CREDITO, FINANCIAMENTO E INVESTIMENTO (20035)</v>
      </c>
      <c r="G1030" t="str">
        <f t="shared" si="451"/>
        <v>TAXA BOLETO CORA</v>
      </c>
      <c r="H1030" t="str">
        <f t="shared" si="427"/>
        <v>26/11/2025</v>
      </c>
      <c r="I1030" t="str">
        <f t="shared" si="452"/>
        <v>01/11/2025</v>
      </c>
      <c r="J1030" t="str">
        <f t="shared" si="443"/>
        <v>26/11/2025</v>
      </c>
      <c r="K1030">
        <v>1.7</v>
      </c>
      <c r="L1030">
        <v>1.7</v>
      </c>
      <c r="M1030">
        <v>401</v>
      </c>
      <c r="N1030" t="str">
        <f t="shared" si="453"/>
        <v>IOF/JUROS/DESP.FINANCEIRA</v>
      </c>
      <c r="O1030">
        <v>1.7</v>
      </c>
      <c r="R1030" t="str">
        <f t="shared" si="454"/>
        <v>BANCO CORA (102)</v>
      </c>
      <c r="S1030">
        <v>3339</v>
      </c>
      <c r="T1030">
        <v>2934</v>
      </c>
      <c r="U1030" t="s">
        <v>21</v>
      </c>
    </row>
    <row r="1031" spans="1:21">
      <c r="A1031" t="str">
        <f t="shared" si="440"/>
        <v>26/11/2025</v>
      </c>
      <c r="B1031" t="str">
        <f t="shared" si="447"/>
        <v>SAÍDA</v>
      </c>
      <c r="C1031" t="str">
        <f t="shared" si="448"/>
        <v>BOLETO</v>
      </c>
      <c r="D1031" t="str">
        <f t="shared" si="449"/>
        <v>011125</v>
      </c>
      <c r="E1031" t="str">
        <f t="shared" si="455"/>
        <v>COM</v>
      </c>
      <c r="F1031" t="str">
        <f t="shared" si="450"/>
        <v>CORA SOCIEDADE DE CREDITO, FINANCIAMENTO E INVESTIMENTO (20035)</v>
      </c>
      <c r="G1031" t="str">
        <f t="shared" si="451"/>
        <v>TAXA BOLETO CORA</v>
      </c>
      <c r="H1031" t="str">
        <f t="shared" si="427"/>
        <v>26/11/2025</v>
      </c>
      <c r="I1031" t="str">
        <f t="shared" si="452"/>
        <v>01/11/2025</v>
      </c>
      <c r="J1031" t="str">
        <f t="shared" si="443"/>
        <v>26/11/2025</v>
      </c>
      <c r="M1031">
        <v>401</v>
      </c>
      <c r="N1031" t="str">
        <f t="shared" si="453"/>
        <v>IOF/JUROS/DESP.FINANCEIRA</v>
      </c>
      <c r="P1031">
        <v>1.7</v>
      </c>
      <c r="Q1031" t="str">
        <f>"CORA SOCIEDADE DE CREDITO, FINANCIAMENTO E INVESTIMENTO (20035)"</f>
        <v>CORA SOCIEDADE DE CREDITO, FINANCIAMENTO E INVESTIMENTO (20035)</v>
      </c>
      <c r="R1031" t="str">
        <f t="shared" si="454"/>
        <v>BANCO CORA (102)</v>
      </c>
      <c r="S1031">
        <v>3339</v>
      </c>
      <c r="T1031">
        <v>2934</v>
      </c>
      <c r="U1031" t="s">
        <v>21</v>
      </c>
    </row>
    <row r="1032" spans="1:21">
      <c r="A1032" t="str">
        <f t="shared" si="440"/>
        <v>26/11/2025</v>
      </c>
      <c r="B1032" t="str">
        <f t="shared" si="447"/>
        <v>SAÍDA</v>
      </c>
      <c r="C1032" t="str">
        <f t="shared" si="448"/>
        <v>BOLETO</v>
      </c>
      <c r="D1032" t="str">
        <f t="shared" si="449"/>
        <v>011125</v>
      </c>
      <c r="E1032" t="str">
        <f t="shared" si="455"/>
        <v>COM</v>
      </c>
      <c r="F1032" t="str">
        <f t="shared" si="450"/>
        <v>CORA SOCIEDADE DE CREDITO, FINANCIAMENTO E INVESTIMENTO (20035)</v>
      </c>
      <c r="G1032" t="str">
        <f t="shared" si="451"/>
        <v>TAXA BOLETO CORA</v>
      </c>
      <c r="H1032" t="str">
        <f t="shared" si="427"/>
        <v>26/11/2025</v>
      </c>
      <c r="I1032" t="str">
        <f t="shared" si="452"/>
        <v>01/11/2025</v>
      </c>
      <c r="J1032" t="str">
        <f t="shared" si="443"/>
        <v>26/11/2025</v>
      </c>
      <c r="K1032">
        <v>1.7</v>
      </c>
      <c r="L1032">
        <v>1.7</v>
      </c>
      <c r="M1032">
        <v>401</v>
      </c>
      <c r="N1032" t="str">
        <f t="shared" si="453"/>
        <v>IOF/JUROS/DESP.FINANCEIRA</v>
      </c>
      <c r="O1032">
        <v>1.7</v>
      </c>
      <c r="R1032" t="str">
        <f t="shared" si="454"/>
        <v>BANCO CORA (102)</v>
      </c>
      <c r="S1032">
        <v>3340</v>
      </c>
      <c r="T1032">
        <v>2935</v>
      </c>
      <c r="U1032" t="s">
        <v>21</v>
      </c>
    </row>
    <row r="1033" spans="1:21">
      <c r="A1033" t="str">
        <f t="shared" si="440"/>
        <v>26/11/2025</v>
      </c>
      <c r="B1033" t="str">
        <f t="shared" si="447"/>
        <v>SAÍDA</v>
      </c>
      <c r="C1033" t="str">
        <f t="shared" si="448"/>
        <v>BOLETO</v>
      </c>
      <c r="D1033" t="str">
        <f t="shared" si="449"/>
        <v>011125</v>
      </c>
      <c r="E1033" t="str">
        <f t="shared" si="455"/>
        <v>COM</v>
      </c>
      <c r="F1033" t="str">
        <f t="shared" si="450"/>
        <v>CORA SOCIEDADE DE CREDITO, FINANCIAMENTO E INVESTIMENTO (20035)</v>
      </c>
      <c r="G1033" t="str">
        <f t="shared" si="451"/>
        <v>TAXA BOLETO CORA</v>
      </c>
      <c r="H1033" t="str">
        <f t="shared" si="427"/>
        <v>26/11/2025</v>
      </c>
      <c r="I1033" t="str">
        <f t="shared" si="452"/>
        <v>01/11/2025</v>
      </c>
      <c r="J1033" t="str">
        <f t="shared" si="443"/>
        <v>26/11/2025</v>
      </c>
      <c r="M1033">
        <v>401</v>
      </c>
      <c r="N1033" t="str">
        <f t="shared" si="453"/>
        <v>IOF/JUROS/DESP.FINANCEIRA</v>
      </c>
      <c r="P1033">
        <v>1.7</v>
      </c>
      <c r="Q1033" t="str">
        <f>"CORA SOCIEDADE DE CREDITO, FINANCIAMENTO E INVESTIMENTO (20035)"</f>
        <v>CORA SOCIEDADE DE CREDITO, FINANCIAMENTO E INVESTIMENTO (20035)</v>
      </c>
      <c r="R1033" t="str">
        <f t="shared" si="454"/>
        <v>BANCO CORA (102)</v>
      </c>
      <c r="S1033">
        <v>3340</v>
      </c>
      <c r="T1033">
        <v>2935</v>
      </c>
      <c r="U1033" t="s">
        <v>21</v>
      </c>
    </row>
    <row r="1034" spans="1:21">
      <c r="A1034" t="str">
        <f t="shared" si="440"/>
        <v>26/11/2025</v>
      </c>
      <c r="B1034" t="str">
        <f t="shared" si="447"/>
        <v>SAÍDA</v>
      </c>
      <c r="C1034" t="str">
        <f t="shared" si="448"/>
        <v>BOLETO</v>
      </c>
      <c r="D1034" t="str">
        <f t="shared" si="449"/>
        <v>011125</v>
      </c>
      <c r="E1034" t="str">
        <f t="shared" si="455"/>
        <v>COM</v>
      </c>
      <c r="F1034" t="str">
        <f t="shared" si="450"/>
        <v>CORA SOCIEDADE DE CREDITO, FINANCIAMENTO E INVESTIMENTO (20035)</v>
      </c>
      <c r="G1034" t="str">
        <f t="shared" si="451"/>
        <v>TAXA BOLETO CORA</v>
      </c>
      <c r="H1034" t="str">
        <f t="shared" si="427"/>
        <v>26/11/2025</v>
      </c>
      <c r="I1034" t="str">
        <f t="shared" si="452"/>
        <v>01/11/2025</v>
      </c>
      <c r="J1034" t="str">
        <f t="shared" si="443"/>
        <v>26/11/2025</v>
      </c>
      <c r="K1034">
        <v>1.7</v>
      </c>
      <c r="L1034">
        <v>1.7</v>
      </c>
      <c r="M1034">
        <v>401</v>
      </c>
      <c r="N1034" t="str">
        <f t="shared" si="453"/>
        <v>IOF/JUROS/DESP.FINANCEIRA</v>
      </c>
      <c r="O1034">
        <v>1.7</v>
      </c>
      <c r="R1034" t="str">
        <f t="shared" si="454"/>
        <v>BANCO CORA (102)</v>
      </c>
      <c r="S1034">
        <v>3341</v>
      </c>
      <c r="T1034">
        <v>2936</v>
      </c>
      <c r="U1034" t="s">
        <v>21</v>
      </c>
    </row>
    <row r="1035" spans="1:21">
      <c r="A1035" t="str">
        <f t="shared" si="440"/>
        <v>26/11/2025</v>
      </c>
      <c r="B1035" t="str">
        <f t="shared" si="447"/>
        <v>SAÍDA</v>
      </c>
      <c r="C1035" t="str">
        <f t="shared" si="448"/>
        <v>BOLETO</v>
      </c>
      <c r="D1035" t="str">
        <f t="shared" si="449"/>
        <v>011125</v>
      </c>
      <c r="E1035" t="str">
        <f t="shared" si="455"/>
        <v>COM</v>
      </c>
      <c r="F1035" t="str">
        <f t="shared" si="450"/>
        <v>CORA SOCIEDADE DE CREDITO, FINANCIAMENTO E INVESTIMENTO (20035)</v>
      </c>
      <c r="G1035" t="str">
        <f t="shared" si="451"/>
        <v>TAXA BOLETO CORA</v>
      </c>
      <c r="H1035" t="str">
        <f t="shared" si="427"/>
        <v>26/11/2025</v>
      </c>
      <c r="I1035" t="str">
        <f t="shared" si="452"/>
        <v>01/11/2025</v>
      </c>
      <c r="J1035" t="str">
        <f t="shared" si="443"/>
        <v>26/11/2025</v>
      </c>
      <c r="M1035">
        <v>401</v>
      </c>
      <c r="N1035" t="str">
        <f t="shared" si="453"/>
        <v>IOF/JUROS/DESP.FINANCEIRA</v>
      </c>
      <c r="P1035">
        <v>1.7</v>
      </c>
      <c r="Q1035" t="str">
        <f>"CORA SOCIEDADE DE CREDITO, FINANCIAMENTO E INVESTIMENTO (20035)"</f>
        <v>CORA SOCIEDADE DE CREDITO, FINANCIAMENTO E INVESTIMENTO (20035)</v>
      </c>
      <c r="R1035" t="str">
        <f t="shared" si="454"/>
        <v>BANCO CORA (102)</v>
      </c>
      <c r="S1035">
        <v>3341</v>
      </c>
      <c r="T1035">
        <v>2936</v>
      </c>
      <c r="U1035" t="s">
        <v>21</v>
      </c>
    </row>
    <row r="1036" spans="1:21">
      <c r="A1036" t="str">
        <f t="shared" si="440"/>
        <v>26/11/2025</v>
      </c>
      <c r="B1036" t="str">
        <f t="shared" si="447"/>
        <v>SAÍDA</v>
      </c>
      <c r="C1036" t="str">
        <f t="shared" si="448"/>
        <v>BOLETO</v>
      </c>
      <c r="D1036" t="str">
        <f t="shared" si="449"/>
        <v>011125</v>
      </c>
      <c r="E1036" t="str">
        <f t="shared" si="455"/>
        <v>COM</v>
      </c>
      <c r="F1036" t="str">
        <f t="shared" si="450"/>
        <v>CORA SOCIEDADE DE CREDITO, FINANCIAMENTO E INVESTIMENTO (20035)</v>
      </c>
      <c r="G1036" t="str">
        <f t="shared" si="451"/>
        <v>TAXA BOLETO CORA</v>
      </c>
      <c r="H1036" t="str">
        <f t="shared" si="427"/>
        <v>26/11/2025</v>
      </c>
      <c r="I1036" t="str">
        <f t="shared" si="452"/>
        <v>01/11/2025</v>
      </c>
      <c r="J1036" t="str">
        <f t="shared" si="443"/>
        <v>26/11/2025</v>
      </c>
      <c r="K1036">
        <v>1.7</v>
      </c>
      <c r="L1036">
        <v>1.7</v>
      </c>
      <c r="M1036">
        <v>401</v>
      </c>
      <c r="N1036" t="str">
        <f t="shared" si="453"/>
        <v>IOF/JUROS/DESP.FINANCEIRA</v>
      </c>
      <c r="O1036">
        <v>1.7</v>
      </c>
      <c r="R1036" t="str">
        <f t="shared" si="454"/>
        <v>BANCO CORA (102)</v>
      </c>
      <c r="S1036">
        <v>3342</v>
      </c>
      <c r="T1036">
        <v>2937</v>
      </c>
      <c r="U1036" t="s">
        <v>21</v>
      </c>
    </row>
    <row r="1037" spans="1:21">
      <c r="A1037" t="str">
        <f t="shared" si="440"/>
        <v>26/11/2025</v>
      </c>
      <c r="B1037" t="str">
        <f t="shared" si="447"/>
        <v>SAÍDA</v>
      </c>
      <c r="C1037" t="str">
        <f t="shared" si="448"/>
        <v>BOLETO</v>
      </c>
      <c r="D1037" t="str">
        <f t="shared" si="449"/>
        <v>011125</v>
      </c>
      <c r="E1037" t="str">
        <f t="shared" si="455"/>
        <v>COM</v>
      </c>
      <c r="F1037" t="str">
        <f t="shared" si="450"/>
        <v>CORA SOCIEDADE DE CREDITO, FINANCIAMENTO E INVESTIMENTO (20035)</v>
      </c>
      <c r="G1037" t="str">
        <f t="shared" si="451"/>
        <v>TAXA BOLETO CORA</v>
      </c>
      <c r="H1037" t="str">
        <f t="shared" si="427"/>
        <v>26/11/2025</v>
      </c>
      <c r="I1037" t="str">
        <f t="shared" si="452"/>
        <v>01/11/2025</v>
      </c>
      <c r="J1037" t="str">
        <f t="shared" si="443"/>
        <v>26/11/2025</v>
      </c>
      <c r="M1037">
        <v>401</v>
      </c>
      <c r="N1037" t="str">
        <f t="shared" si="453"/>
        <v>IOF/JUROS/DESP.FINANCEIRA</v>
      </c>
      <c r="P1037">
        <v>1.7</v>
      </c>
      <c r="Q1037" t="str">
        <f>"CORA SOCIEDADE DE CREDITO, FINANCIAMENTO E INVESTIMENTO (20035)"</f>
        <v>CORA SOCIEDADE DE CREDITO, FINANCIAMENTO E INVESTIMENTO (20035)</v>
      </c>
      <c r="R1037" t="str">
        <f t="shared" si="454"/>
        <v>BANCO CORA (102)</v>
      </c>
      <c r="S1037">
        <v>3342</v>
      </c>
      <c r="T1037">
        <v>2937</v>
      </c>
      <c r="U1037" t="s">
        <v>21</v>
      </c>
    </row>
    <row r="1038" spans="1:21">
      <c r="A1038" t="str">
        <f t="shared" si="440"/>
        <v>26/11/2025</v>
      </c>
      <c r="B1038" t="str">
        <f t="shared" si="447"/>
        <v>SAÍDA</v>
      </c>
      <c r="C1038" t="str">
        <f t="shared" si="448"/>
        <v>BOLETO</v>
      </c>
      <c r="D1038" t="str">
        <f t="shared" si="449"/>
        <v>011125</v>
      </c>
      <c r="E1038" t="str">
        <f t="shared" si="455"/>
        <v>COM</v>
      </c>
      <c r="F1038" t="str">
        <f t="shared" si="450"/>
        <v>CORA SOCIEDADE DE CREDITO, FINANCIAMENTO E INVESTIMENTO (20035)</v>
      </c>
      <c r="G1038" t="str">
        <f t="shared" si="451"/>
        <v>TAXA BOLETO CORA</v>
      </c>
      <c r="H1038" t="str">
        <f t="shared" si="427"/>
        <v>26/11/2025</v>
      </c>
      <c r="I1038" t="str">
        <f t="shared" si="452"/>
        <v>01/11/2025</v>
      </c>
      <c r="J1038" t="str">
        <f t="shared" si="443"/>
        <v>26/11/2025</v>
      </c>
      <c r="K1038">
        <v>1.7</v>
      </c>
      <c r="L1038">
        <v>1.7</v>
      </c>
      <c r="M1038">
        <v>401</v>
      </c>
      <c r="N1038" t="str">
        <f t="shared" si="453"/>
        <v>IOF/JUROS/DESP.FINANCEIRA</v>
      </c>
      <c r="O1038">
        <v>1.7</v>
      </c>
      <c r="R1038" t="str">
        <f t="shared" si="454"/>
        <v>BANCO CORA (102)</v>
      </c>
      <c r="S1038">
        <v>3343</v>
      </c>
      <c r="T1038">
        <v>2938</v>
      </c>
      <c r="U1038" t="s">
        <v>21</v>
      </c>
    </row>
    <row r="1039" spans="1:21">
      <c r="A1039" t="str">
        <f t="shared" si="440"/>
        <v>26/11/2025</v>
      </c>
      <c r="B1039" t="str">
        <f t="shared" si="447"/>
        <v>SAÍDA</v>
      </c>
      <c r="C1039" t="str">
        <f t="shared" si="448"/>
        <v>BOLETO</v>
      </c>
      <c r="D1039" t="str">
        <f t="shared" si="449"/>
        <v>011125</v>
      </c>
      <c r="E1039" t="str">
        <f t="shared" si="455"/>
        <v>COM</v>
      </c>
      <c r="F1039" t="str">
        <f t="shared" si="450"/>
        <v>CORA SOCIEDADE DE CREDITO, FINANCIAMENTO E INVESTIMENTO (20035)</v>
      </c>
      <c r="G1039" t="str">
        <f t="shared" si="451"/>
        <v>TAXA BOLETO CORA</v>
      </c>
      <c r="H1039" t="str">
        <f t="shared" si="427"/>
        <v>26/11/2025</v>
      </c>
      <c r="I1039" t="str">
        <f t="shared" si="452"/>
        <v>01/11/2025</v>
      </c>
      <c r="J1039" t="str">
        <f t="shared" si="443"/>
        <v>26/11/2025</v>
      </c>
      <c r="M1039">
        <v>401</v>
      </c>
      <c r="N1039" t="str">
        <f t="shared" si="453"/>
        <v>IOF/JUROS/DESP.FINANCEIRA</v>
      </c>
      <c r="P1039">
        <v>1.7</v>
      </c>
      <c r="Q1039" t="str">
        <f>"CORA SOCIEDADE DE CREDITO, FINANCIAMENTO E INVESTIMENTO (20035)"</f>
        <v>CORA SOCIEDADE DE CREDITO, FINANCIAMENTO E INVESTIMENTO (20035)</v>
      </c>
      <c r="R1039" t="str">
        <f t="shared" si="454"/>
        <v>BANCO CORA (102)</v>
      </c>
      <c r="S1039">
        <v>3343</v>
      </c>
      <c r="T1039">
        <v>2938</v>
      </c>
      <c r="U1039" t="s">
        <v>21</v>
      </c>
    </row>
    <row r="1040" spans="1:21">
      <c r="A1040" t="str">
        <f t="shared" si="440"/>
        <v>26/11/2025</v>
      </c>
      <c r="B1040" t="str">
        <f t="shared" si="447"/>
        <v>SAÍDA</v>
      </c>
      <c r="C1040" t="str">
        <f t="shared" si="448"/>
        <v>BOLETO</v>
      </c>
      <c r="D1040" t="str">
        <f t="shared" si="449"/>
        <v>011125</v>
      </c>
      <c r="E1040" t="str">
        <f t="shared" si="455"/>
        <v>COM</v>
      </c>
      <c r="F1040" t="str">
        <f t="shared" si="450"/>
        <v>CORA SOCIEDADE DE CREDITO, FINANCIAMENTO E INVESTIMENTO (20035)</v>
      </c>
      <c r="G1040" t="str">
        <f t="shared" si="451"/>
        <v>TAXA BOLETO CORA</v>
      </c>
      <c r="H1040" t="str">
        <f t="shared" si="427"/>
        <v>26/11/2025</v>
      </c>
      <c r="I1040" t="str">
        <f t="shared" si="452"/>
        <v>01/11/2025</v>
      </c>
      <c r="J1040" t="str">
        <f t="shared" si="443"/>
        <v>26/11/2025</v>
      </c>
      <c r="K1040">
        <v>1.7</v>
      </c>
      <c r="L1040">
        <v>1.7</v>
      </c>
      <c r="M1040">
        <v>401</v>
      </c>
      <c r="N1040" t="str">
        <f t="shared" si="453"/>
        <v>IOF/JUROS/DESP.FINANCEIRA</v>
      </c>
      <c r="O1040">
        <v>1.7</v>
      </c>
      <c r="R1040" t="str">
        <f t="shared" si="454"/>
        <v>BANCO CORA (102)</v>
      </c>
      <c r="S1040">
        <v>3344</v>
      </c>
      <c r="T1040">
        <v>2939</v>
      </c>
      <c r="U1040" t="s">
        <v>21</v>
      </c>
    </row>
    <row r="1041" spans="1:21">
      <c r="A1041" t="str">
        <f t="shared" si="440"/>
        <v>26/11/2025</v>
      </c>
      <c r="B1041" t="str">
        <f t="shared" si="447"/>
        <v>SAÍDA</v>
      </c>
      <c r="C1041" t="str">
        <f t="shared" si="448"/>
        <v>BOLETO</v>
      </c>
      <c r="D1041" t="str">
        <f t="shared" si="449"/>
        <v>011125</v>
      </c>
      <c r="E1041" t="str">
        <f t="shared" si="455"/>
        <v>COM</v>
      </c>
      <c r="F1041" t="str">
        <f t="shared" si="450"/>
        <v>CORA SOCIEDADE DE CREDITO, FINANCIAMENTO E INVESTIMENTO (20035)</v>
      </c>
      <c r="G1041" t="str">
        <f t="shared" si="451"/>
        <v>TAXA BOLETO CORA</v>
      </c>
      <c r="H1041" t="str">
        <f t="shared" si="427"/>
        <v>26/11/2025</v>
      </c>
      <c r="I1041" t="str">
        <f t="shared" si="452"/>
        <v>01/11/2025</v>
      </c>
      <c r="J1041" t="str">
        <f t="shared" si="443"/>
        <v>26/11/2025</v>
      </c>
      <c r="M1041">
        <v>401</v>
      </c>
      <c r="N1041" t="str">
        <f t="shared" si="453"/>
        <v>IOF/JUROS/DESP.FINANCEIRA</v>
      </c>
      <c r="P1041">
        <v>1.7</v>
      </c>
      <c r="Q1041" t="str">
        <f>"CORA SOCIEDADE DE CREDITO, FINANCIAMENTO E INVESTIMENTO (20035)"</f>
        <v>CORA SOCIEDADE DE CREDITO, FINANCIAMENTO E INVESTIMENTO (20035)</v>
      </c>
      <c r="R1041" t="str">
        <f t="shared" si="454"/>
        <v>BANCO CORA (102)</v>
      </c>
      <c r="S1041">
        <v>3344</v>
      </c>
      <c r="T1041">
        <v>2939</v>
      </c>
      <c r="U1041" t="s">
        <v>21</v>
      </c>
    </row>
    <row r="1042" spans="1:21">
      <c r="A1042" t="str">
        <f t="shared" si="440"/>
        <v>26/11/2025</v>
      </c>
      <c r="B1042" t="str">
        <f t="shared" si="447"/>
        <v>SAÍDA</v>
      </c>
      <c r="C1042" t="str">
        <f t="shared" si="448"/>
        <v>BOLETO</v>
      </c>
      <c r="D1042" t="str">
        <f t="shared" si="449"/>
        <v>011125</v>
      </c>
      <c r="E1042" t="str">
        <f t="shared" si="455"/>
        <v>COM</v>
      </c>
      <c r="F1042" t="str">
        <f t="shared" si="450"/>
        <v>CORA SOCIEDADE DE CREDITO, FINANCIAMENTO E INVESTIMENTO (20035)</v>
      </c>
      <c r="G1042" t="str">
        <f t="shared" si="451"/>
        <v>TAXA BOLETO CORA</v>
      </c>
      <c r="H1042" t="str">
        <f t="shared" si="427"/>
        <v>26/11/2025</v>
      </c>
      <c r="I1042" t="str">
        <f t="shared" si="452"/>
        <v>01/11/2025</v>
      </c>
      <c r="J1042" t="str">
        <f t="shared" si="443"/>
        <v>26/11/2025</v>
      </c>
      <c r="K1042">
        <v>1.7</v>
      </c>
      <c r="L1042">
        <v>1.7</v>
      </c>
      <c r="M1042">
        <v>401</v>
      </c>
      <c r="N1042" t="str">
        <f t="shared" si="453"/>
        <v>IOF/JUROS/DESP.FINANCEIRA</v>
      </c>
      <c r="O1042">
        <v>1.7</v>
      </c>
      <c r="R1042" t="str">
        <f t="shared" si="454"/>
        <v>BANCO CORA (102)</v>
      </c>
      <c r="S1042">
        <v>3345</v>
      </c>
      <c r="T1042">
        <v>2940</v>
      </c>
      <c r="U1042" t="s">
        <v>21</v>
      </c>
    </row>
    <row r="1043" spans="1:21">
      <c r="A1043" t="str">
        <f t="shared" si="440"/>
        <v>26/11/2025</v>
      </c>
      <c r="B1043" t="str">
        <f t="shared" si="447"/>
        <v>SAÍDA</v>
      </c>
      <c r="C1043" t="str">
        <f t="shared" si="448"/>
        <v>BOLETO</v>
      </c>
      <c r="D1043" t="str">
        <f t="shared" si="449"/>
        <v>011125</v>
      </c>
      <c r="E1043" t="str">
        <f t="shared" si="455"/>
        <v>COM</v>
      </c>
      <c r="F1043" t="str">
        <f t="shared" si="450"/>
        <v>CORA SOCIEDADE DE CREDITO, FINANCIAMENTO E INVESTIMENTO (20035)</v>
      </c>
      <c r="G1043" t="str">
        <f t="shared" si="451"/>
        <v>TAXA BOLETO CORA</v>
      </c>
      <c r="H1043" t="str">
        <f t="shared" si="427"/>
        <v>26/11/2025</v>
      </c>
      <c r="I1043" t="str">
        <f t="shared" si="452"/>
        <v>01/11/2025</v>
      </c>
      <c r="J1043" t="str">
        <f t="shared" si="443"/>
        <v>26/11/2025</v>
      </c>
      <c r="M1043">
        <v>401</v>
      </c>
      <c r="N1043" t="str">
        <f t="shared" si="453"/>
        <v>IOF/JUROS/DESP.FINANCEIRA</v>
      </c>
      <c r="P1043">
        <v>1.7</v>
      </c>
      <c r="Q1043" t="str">
        <f>"CORA SOCIEDADE DE CREDITO, FINANCIAMENTO E INVESTIMENTO (20035)"</f>
        <v>CORA SOCIEDADE DE CREDITO, FINANCIAMENTO E INVESTIMENTO (20035)</v>
      </c>
      <c r="R1043" t="str">
        <f t="shared" si="454"/>
        <v>BANCO CORA (102)</v>
      </c>
      <c r="S1043">
        <v>3345</v>
      </c>
      <c r="T1043">
        <v>2940</v>
      </c>
      <c r="U1043" t="s">
        <v>21</v>
      </c>
    </row>
    <row r="1044" spans="1:21">
      <c r="A1044" t="str">
        <f t="shared" si="440"/>
        <v>26/11/2025</v>
      </c>
      <c r="B1044" t="str">
        <f t="shared" si="447"/>
        <v>SAÍDA</v>
      </c>
      <c r="C1044" t="str">
        <f t="shared" si="448"/>
        <v>BOLETO</v>
      </c>
      <c r="D1044" t="str">
        <f t="shared" si="449"/>
        <v>011125</v>
      </c>
      <c r="E1044" t="str">
        <f t="shared" si="455"/>
        <v>COM</v>
      </c>
      <c r="F1044" t="str">
        <f t="shared" si="450"/>
        <v>CORA SOCIEDADE DE CREDITO, FINANCIAMENTO E INVESTIMENTO (20035)</v>
      </c>
      <c r="G1044" t="str">
        <f t="shared" si="451"/>
        <v>TAXA BOLETO CORA</v>
      </c>
      <c r="H1044" t="str">
        <f t="shared" si="427"/>
        <v>26/11/2025</v>
      </c>
      <c r="I1044" t="str">
        <f t="shared" si="452"/>
        <v>01/11/2025</v>
      </c>
      <c r="J1044" t="str">
        <f t="shared" si="443"/>
        <v>26/11/2025</v>
      </c>
      <c r="K1044">
        <v>1.7</v>
      </c>
      <c r="L1044">
        <v>1.7</v>
      </c>
      <c r="M1044">
        <v>401</v>
      </c>
      <c r="N1044" t="str">
        <f t="shared" si="453"/>
        <v>IOF/JUROS/DESP.FINANCEIRA</v>
      </c>
      <c r="O1044">
        <v>1.7</v>
      </c>
      <c r="R1044" t="str">
        <f t="shared" si="454"/>
        <v>BANCO CORA (102)</v>
      </c>
      <c r="S1044">
        <v>3346</v>
      </c>
      <c r="T1044">
        <v>2941</v>
      </c>
      <c r="U1044" t="s">
        <v>21</v>
      </c>
    </row>
    <row r="1045" spans="1:21">
      <c r="A1045" t="str">
        <f t="shared" si="440"/>
        <v>26/11/2025</v>
      </c>
      <c r="B1045" t="str">
        <f t="shared" si="447"/>
        <v>SAÍDA</v>
      </c>
      <c r="C1045" t="str">
        <f t="shared" si="448"/>
        <v>BOLETO</v>
      </c>
      <c r="D1045" t="str">
        <f t="shared" si="449"/>
        <v>011125</v>
      </c>
      <c r="E1045" t="str">
        <f t="shared" si="455"/>
        <v>COM</v>
      </c>
      <c r="F1045" t="str">
        <f t="shared" si="450"/>
        <v>CORA SOCIEDADE DE CREDITO, FINANCIAMENTO E INVESTIMENTO (20035)</v>
      </c>
      <c r="G1045" t="str">
        <f t="shared" si="451"/>
        <v>TAXA BOLETO CORA</v>
      </c>
      <c r="H1045" t="str">
        <f t="shared" si="427"/>
        <v>26/11/2025</v>
      </c>
      <c r="I1045" t="str">
        <f t="shared" si="452"/>
        <v>01/11/2025</v>
      </c>
      <c r="J1045" t="str">
        <f t="shared" si="443"/>
        <v>26/11/2025</v>
      </c>
      <c r="M1045">
        <v>401</v>
      </c>
      <c r="N1045" t="str">
        <f t="shared" si="453"/>
        <v>IOF/JUROS/DESP.FINANCEIRA</v>
      </c>
      <c r="P1045">
        <v>1.7</v>
      </c>
      <c r="Q1045" t="str">
        <f>"CORA SOCIEDADE DE CREDITO, FINANCIAMENTO E INVESTIMENTO (20035)"</f>
        <v>CORA SOCIEDADE DE CREDITO, FINANCIAMENTO E INVESTIMENTO (20035)</v>
      </c>
      <c r="R1045" t="str">
        <f t="shared" si="454"/>
        <v>BANCO CORA (102)</v>
      </c>
      <c r="S1045">
        <v>3346</v>
      </c>
      <c r="T1045">
        <v>2941</v>
      </c>
      <c r="U1045" t="s">
        <v>21</v>
      </c>
    </row>
    <row r="1046" spans="1:21">
      <c r="A1046" t="str">
        <f t="shared" si="440"/>
        <v>26/11/2025</v>
      </c>
      <c r="B1046" t="str">
        <f t="shared" si="447"/>
        <v>SAÍDA</v>
      </c>
      <c r="C1046" t="str">
        <f t="shared" si="448"/>
        <v>BOLETO</v>
      </c>
      <c r="D1046" t="str">
        <f t="shared" si="449"/>
        <v>011125</v>
      </c>
      <c r="E1046" t="str">
        <f t="shared" si="455"/>
        <v>COM</v>
      </c>
      <c r="F1046" t="str">
        <f t="shared" si="450"/>
        <v>CORA SOCIEDADE DE CREDITO, FINANCIAMENTO E INVESTIMENTO (20035)</v>
      </c>
      <c r="G1046" t="str">
        <f t="shared" si="451"/>
        <v>TAXA BOLETO CORA</v>
      </c>
      <c r="H1046" t="str">
        <f t="shared" si="427"/>
        <v>26/11/2025</v>
      </c>
      <c r="I1046" t="str">
        <f t="shared" si="452"/>
        <v>01/11/2025</v>
      </c>
      <c r="J1046" t="str">
        <f t="shared" si="443"/>
        <v>26/11/2025</v>
      </c>
      <c r="K1046">
        <v>1.7</v>
      </c>
      <c r="L1046">
        <v>1.7</v>
      </c>
      <c r="M1046">
        <v>401</v>
      </c>
      <c r="N1046" t="str">
        <f t="shared" si="453"/>
        <v>IOF/JUROS/DESP.FINANCEIRA</v>
      </c>
      <c r="O1046">
        <v>1.7</v>
      </c>
      <c r="R1046" t="str">
        <f t="shared" si="454"/>
        <v>BANCO CORA (102)</v>
      </c>
      <c r="S1046">
        <v>3347</v>
      </c>
      <c r="T1046">
        <v>2942</v>
      </c>
      <c r="U1046" t="s">
        <v>21</v>
      </c>
    </row>
    <row r="1047" spans="1:21">
      <c r="A1047" t="str">
        <f t="shared" si="440"/>
        <v>26/11/2025</v>
      </c>
      <c r="B1047" t="str">
        <f t="shared" si="447"/>
        <v>SAÍDA</v>
      </c>
      <c r="C1047" t="str">
        <f t="shared" si="448"/>
        <v>BOLETO</v>
      </c>
      <c r="D1047" t="str">
        <f t="shared" si="449"/>
        <v>011125</v>
      </c>
      <c r="E1047" t="str">
        <f t="shared" si="455"/>
        <v>COM</v>
      </c>
      <c r="F1047" t="str">
        <f t="shared" si="450"/>
        <v>CORA SOCIEDADE DE CREDITO, FINANCIAMENTO E INVESTIMENTO (20035)</v>
      </c>
      <c r="G1047" t="str">
        <f t="shared" si="451"/>
        <v>TAXA BOLETO CORA</v>
      </c>
      <c r="H1047" t="str">
        <f t="shared" si="427"/>
        <v>26/11/2025</v>
      </c>
      <c r="I1047" t="str">
        <f t="shared" si="452"/>
        <v>01/11/2025</v>
      </c>
      <c r="J1047" t="str">
        <f t="shared" si="443"/>
        <v>26/11/2025</v>
      </c>
      <c r="M1047">
        <v>401</v>
      </c>
      <c r="N1047" t="str">
        <f t="shared" si="453"/>
        <v>IOF/JUROS/DESP.FINANCEIRA</v>
      </c>
      <c r="P1047">
        <v>1.7</v>
      </c>
      <c r="Q1047" t="str">
        <f>"CORA SOCIEDADE DE CREDITO, FINANCIAMENTO E INVESTIMENTO (20035)"</f>
        <v>CORA SOCIEDADE DE CREDITO, FINANCIAMENTO E INVESTIMENTO (20035)</v>
      </c>
      <c r="R1047" t="str">
        <f t="shared" si="454"/>
        <v>BANCO CORA (102)</v>
      </c>
      <c r="S1047">
        <v>3347</v>
      </c>
      <c r="T1047">
        <v>2942</v>
      </c>
      <c r="U1047" t="s">
        <v>21</v>
      </c>
    </row>
    <row r="1048" spans="1:21">
      <c r="A1048" t="str">
        <f t="shared" si="440"/>
        <v>26/11/2025</v>
      </c>
      <c r="B1048" t="str">
        <f t="shared" si="447"/>
        <v>SAÍDA</v>
      </c>
      <c r="C1048" t="str">
        <f>"TRANSFERENCIA"</f>
        <v>TRANSFERENCIA</v>
      </c>
      <c r="D1048" t="str">
        <f>""</f>
        <v/>
      </c>
      <c r="E1048" t="str">
        <f>"TRF"</f>
        <v>TRF</v>
      </c>
      <c r="F1048" t="str">
        <f>""</f>
        <v/>
      </c>
      <c r="G1048" t="str">
        <f>"TRANSFERENCIA ENTRE BANCOS (102-&gt;131)"</f>
        <v>TRANSFERENCIA ENTRE BANCOS (102-&gt;131)</v>
      </c>
      <c r="H1048" t="str">
        <f t="shared" ref="H1048:H1111" si="456">("26/11/2025")</f>
        <v>26/11/2025</v>
      </c>
      <c r="I1048" t="str">
        <f>("26/11/2025")</f>
        <v>26/11/2025</v>
      </c>
      <c r="J1048" t="str">
        <f t="shared" si="443"/>
        <v>26/11/2025</v>
      </c>
      <c r="M1048">
        <v>102</v>
      </c>
      <c r="N1048" t="str">
        <f>"BANCO CORA"</f>
        <v>BANCO CORA</v>
      </c>
      <c r="O1048">
        <v>50000</v>
      </c>
      <c r="R1048" t="str">
        <f t="shared" si="454"/>
        <v>BANCO CORA (102)</v>
      </c>
      <c r="S1048">
        <v>3374</v>
      </c>
      <c r="T1048">
        <v>0</v>
      </c>
      <c r="U1048" t="s">
        <v>21</v>
      </c>
    </row>
    <row r="1049" spans="1:21">
      <c r="A1049" t="str">
        <f t="shared" si="440"/>
        <v>26/11/2025</v>
      </c>
      <c r="B1049" t="str">
        <f>"ENTRADA"</f>
        <v>ENTRADA</v>
      </c>
      <c r="C1049" t="str">
        <f>"TRANSFERENCIA"</f>
        <v>TRANSFERENCIA</v>
      </c>
      <c r="D1049" t="str">
        <f>""</f>
        <v/>
      </c>
      <c r="E1049" t="str">
        <f>"TRF"</f>
        <v>TRF</v>
      </c>
      <c r="F1049" t="str">
        <f>""</f>
        <v/>
      </c>
      <c r="G1049" t="str">
        <f>"TRANSFERENCIA ENTRE BANCOS (102-&gt;131)"</f>
        <v>TRANSFERENCIA ENTRE BANCOS (102-&gt;131)</v>
      </c>
      <c r="H1049" t="str">
        <f t="shared" si="456"/>
        <v>26/11/2025</v>
      </c>
      <c r="I1049" t="str">
        <f>("26/11/2025")</f>
        <v>26/11/2025</v>
      </c>
      <c r="J1049" t="str">
        <f t="shared" si="443"/>
        <v>26/11/2025</v>
      </c>
      <c r="M1049">
        <v>131</v>
      </c>
      <c r="N1049" t="str">
        <f>"BANCO SICREDI"</f>
        <v>BANCO SICREDI</v>
      </c>
      <c r="O1049">
        <v>50000</v>
      </c>
      <c r="R1049" t="str">
        <f>"BANCO SICREDI (131)"</f>
        <v>BANCO SICREDI (131)</v>
      </c>
      <c r="S1049">
        <v>3374</v>
      </c>
      <c r="T1049">
        <v>0</v>
      </c>
      <c r="U1049" t="s">
        <v>28</v>
      </c>
    </row>
    <row r="1050" spans="1:21">
      <c r="A1050" t="str">
        <f t="shared" si="440"/>
        <v>26/11/2025</v>
      </c>
      <c r="B1050" t="str">
        <f>"SAÍDA"</f>
        <v>SAÍDA</v>
      </c>
      <c r="C1050" t="str">
        <f>""</f>
        <v/>
      </c>
      <c r="D1050" t="str">
        <f>""</f>
        <v/>
      </c>
      <c r="E1050" t="str">
        <f>"CXA"</f>
        <v>CXA</v>
      </c>
      <c r="F1050" t="str">
        <f>""</f>
        <v/>
      </c>
      <c r="G1050" t="str">
        <f>"DESPESAS COM EVENTO CONFRATERNIZAÇÃO NATAL"</f>
        <v>DESPESAS COM EVENTO CONFRATERNIZAÇÃO NATAL</v>
      </c>
      <c r="H1050" t="str">
        <f t="shared" si="456"/>
        <v>26/11/2025</v>
      </c>
      <c r="I1050" t="str">
        <f>("26/11/2025")</f>
        <v>26/11/2025</v>
      </c>
      <c r="J1050" t="str">
        <f t="shared" si="443"/>
        <v>26/11/2025</v>
      </c>
      <c r="K1050">
        <v>588</v>
      </c>
      <c r="L1050">
        <v>588</v>
      </c>
      <c r="M1050">
        <v>129</v>
      </c>
      <c r="N1050" t="str">
        <f>"DESPESAS COM EVENTOS"</f>
        <v>DESPESAS COM EVENTOS</v>
      </c>
      <c r="O1050">
        <v>588</v>
      </c>
      <c r="R1050" t="str">
        <f>"BANCO CORA (102)"</f>
        <v>BANCO CORA (102)</v>
      </c>
      <c r="S1050">
        <v>3376</v>
      </c>
      <c r="T1050">
        <v>0</v>
      </c>
      <c r="U1050" t="s">
        <v>23</v>
      </c>
    </row>
    <row r="1051" spans="1:21">
      <c r="A1051" t="str">
        <f t="shared" si="440"/>
        <v>26/11/2025</v>
      </c>
      <c r="B1051" t="str">
        <f>"SAÍDA"</f>
        <v>SAÍDA</v>
      </c>
      <c r="C1051" t="str">
        <f>""</f>
        <v/>
      </c>
      <c r="D1051" t="str">
        <f>""</f>
        <v/>
      </c>
      <c r="E1051" t="str">
        <f>"CXA"</f>
        <v>CXA</v>
      </c>
      <c r="F1051" t="str">
        <f>""</f>
        <v/>
      </c>
      <c r="G1051" t="str">
        <f>"DESPESAS COM EVENTO CONFRATERNIZAÇÃO"</f>
        <v>DESPESAS COM EVENTO CONFRATERNIZAÇÃO</v>
      </c>
      <c r="H1051" t="str">
        <f t="shared" si="456"/>
        <v>26/11/2025</v>
      </c>
      <c r="I1051" t="str">
        <f>("26/11/2025")</f>
        <v>26/11/2025</v>
      </c>
      <c r="J1051" t="str">
        <f t="shared" si="443"/>
        <v>26/11/2025</v>
      </c>
      <c r="K1051">
        <v>1090</v>
      </c>
      <c r="L1051">
        <v>1090</v>
      </c>
      <c r="M1051">
        <v>129</v>
      </c>
      <c r="N1051" t="str">
        <f>"DESPESAS COM EVENTOS"</f>
        <v>DESPESAS COM EVENTOS</v>
      </c>
      <c r="O1051">
        <v>1090</v>
      </c>
      <c r="R1051" t="str">
        <f>"BANCO CORA (102)"</f>
        <v>BANCO CORA (102)</v>
      </c>
      <c r="S1051">
        <v>3409</v>
      </c>
      <c r="T1051">
        <v>0</v>
      </c>
      <c r="U1051" t="s">
        <v>23</v>
      </c>
    </row>
    <row r="1052" spans="1:21">
      <c r="A1052" t="str">
        <f t="shared" ref="A1052:A1083" si="457">("27/11/2025")</f>
        <v>27/11/2025</v>
      </c>
      <c r="B1052" t="str">
        <f t="shared" ref="B1052:B1083" si="458">"ENTRADA"</f>
        <v>ENTRADA</v>
      </c>
      <c r="C1052" t="str">
        <f t="shared" ref="C1052:C1083" si="459">"NFSE"</f>
        <v>NFSE</v>
      </c>
      <c r="D1052" t="str">
        <f>"3863"</f>
        <v>3863</v>
      </c>
      <c r="E1052" t="str">
        <f t="shared" ref="E1052:E1083" si="460">"COM"</f>
        <v>COM</v>
      </c>
      <c r="F1052" t="str">
        <f>"AC FARMA - CID.ALTA (10166)"</f>
        <v>AC FARMA - CID.ALTA (10166)</v>
      </c>
      <c r="G1052" t="str">
        <f>"Serv.Prest. 10/11/2025 a 16/11/2025 - RPS: 1626 - NFSe: 3863"</f>
        <v>Serv.Prest. 10/11/2025 a 16/11/2025 - RPS: 1626 - NFSe: 3863</v>
      </c>
      <c r="H1052" t="str">
        <f t="shared" si="456"/>
        <v>26/11/2025</v>
      </c>
      <c r="I1052" t="str">
        <f>("18/11/2025")</f>
        <v>18/11/2025</v>
      </c>
      <c r="J1052" t="str">
        <f t="shared" ref="J1052:J1083" si="461">("27/11/2025")</f>
        <v>27/11/2025</v>
      </c>
      <c r="K1052">
        <v>926.1</v>
      </c>
      <c r="L1052">
        <v>926.1</v>
      </c>
      <c r="M1052">
        <v>303</v>
      </c>
      <c r="N1052" t="str">
        <f t="shared" ref="N1052:N1083" si="462">"RECEITAS COM ENTREGAS"</f>
        <v>RECEITAS COM ENTREGAS</v>
      </c>
      <c r="O1052">
        <v>926.1</v>
      </c>
      <c r="R1052" t="str">
        <f t="shared" ref="R1052:R1083" si="463">"RECEITAS COM ENTREGAS (303)"</f>
        <v>RECEITAS COM ENTREGAS (303)</v>
      </c>
      <c r="S1052">
        <v>3349</v>
      </c>
      <c r="T1052">
        <v>2735</v>
      </c>
      <c r="U1052" t="s">
        <v>21</v>
      </c>
    </row>
    <row r="1053" spans="1:21">
      <c r="A1053" t="str">
        <f t="shared" si="457"/>
        <v>27/11/2025</v>
      </c>
      <c r="B1053" t="str">
        <f t="shared" si="458"/>
        <v>ENTRADA</v>
      </c>
      <c r="C1053" t="str">
        <f t="shared" si="459"/>
        <v>NFSE</v>
      </c>
      <c r="D1053" t="str">
        <f>"3863"</f>
        <v>3863</v>
      </c>
      <c r="E1053" t="str">
        <f t="shared" si="460"/>
        <v>COM</v>
      </c>
      <c r="F1053" t="str">
        <f>"AC FARMA - CID.ALTA (10166)"</f>
        <v>AC FARMA - CID.ALTA (10166)</v>
      </c>
      <c r="G1053" t="str">
        <f>"Serv.Prest. 10/11/2025 a 16/11/2025 - RPS: 1626 - NFSe: 3863"</f>
        <v>Serv.Prest. 10/11/2025 a 16/11/2025 - RPS: 1626 - NFSe: 3863</v>
      </c>
      <c r="H1053" t="str">
        <f t="shared" si="456"/>
        <v>26/11/2025</v>
      </c>
      <c r="I1053" t="str">
        <f>("18/11/2025")</f>
        <v>18/11/2025</v>
      </c>
      <c r="J1053" t="str">
        <f t="shared" si="461"/>
        <v>27/11/2025</v>
      </c>
      <c r="M1053">
        <v>303</v>
      </c>
      <c r="N1053" t="str">
        <f t="shared" si="462"/>
        <v>RECEITAS COM ENTREGAS</v>
      </c>
      <c r="P1053">
        <v>926.1</v>
      </c>
      <c r="Q1053" t="str">
        <f>"AC FARMA - CID.ALTA (10166)"</f>
        <v>AC FARMA - CID.ALTA (10166)</v>
      </c>
      <c r="R1053" t="str">
        <f t="shared" si="463"/>
        <v>RECEITAS COM ENTREGAS (303)</v>
      </c>
      <c r="S1053">
        <v>3349</v>
      </c>
      <c r="T1053">
        <v>2735</v>
      </c>
      <c r="U1053" t="s">
        <v>21</v>
      </c>
    </row>
    <row r="1054" spans="1:21">
      <c r="A1054" t="str">
        <f t="shared" si="457"/>
        <v>27/11/2025</v>
      </c>
      <c r="B1054" t="str">
        <f t="shared" si="458"/>
        <v>ENTRADA</v>
      </c>
      <c r="C1054" t="str">
        <f t="shared" si="459"/>
        <v>NFSE</v>
      </c>
      <c r="D1054" t="str">
        <f>"3865"</f>
        <v>3865</v>
      </c>
      <c r="E1054" t="str">
        <f t="shared" si="460"/>
        <v>COM</v>
      </c>
      <c r="F1054" t="str">
        <f>"AC FARMA - FLEMINFARMA 5 (10183)"</f>
        <v>AC FARMA - FLEMINFARMA 5 (10183)</v>
      </c>
      <c r="G1054" t="str">
        <f>"Serv.Prest. 10/11/2025 a 16/11/2025 - RPS: 1628 - NFSe: 3865"</f>
        <v>Serv.Prest. 10/11/2025 a 16/11/2025 - RPS: 1628 - NFSe: 3865</v>
      </c>
      <c r="H1054" t="str">
        <f t="shared" si="456"/>
        <v>26/11/2025</v>
      </c>
      <c r="I1054" t="str">
        <f>("18/11/2025")</f>
        <v>18/11/2025</v>
      </c>
      <c r="J1054" t="str">
        <f t="shared" si="461"/>
        <v>27/11/2025</v>
      </c>
      <c r="K1054">
        <v>83.7</v>
      </c>
      <c r="L1054">
        <v>83.7</v>
      </c>
      <c r="M1054">
        <v>303</v>
      </c>
      <c r="N1054" t="str">
        <f t="shared" si="462"/>
        <v>RECEITAS COM ENTREGAS</v>
      </c>
      <c r="O1054">
        <v>83.7</v>
      </c>
      <c r="R1054" t="str">
        <f t="shared" si="463"/>
        <v>RECEITAS COM ENTREGAS (303)</v>
      </c>
      <c r="S1054">
        <v>3350</v>
      </c>
      <c r="T1054">
        <v>2737</v>
      </c>
      <c r="U1054" t="s">
        <v>21</v>
      </c>
    </row>
    <row r="1055" spans="1:21">
      <c r="A1055" t="str">
        <f t="shared" si="457"/>
        <v>27/11/2025</v>
      </c>
      <c r="B1055" t="str">
        <f t="shared" si="458"/>
        <v>ENTRADA</v>
      </c>
      <c r="C1055" t="str">
        <f t="shared" si="459"/>
        <v>NFSE</v>
      </c>
      <c r="D1055" t="str">
        <f>"3865"</f>
        <v>3865</v>
      </c>
      <c r="E1055" t="str">
        <f t="shared" si="460"/>
        <v>COM</v>
      </c>
      <c r="F1055" t="str">
        <f>"AC FARMA - FLEMINFARMA 5 (10183)"</f>
        <v>AC FARMA - FLEMINFARMA 5 (10183)</v>
      </c>
      <c r="G1055" t="str">
        <f>"Serv.Prest. 10/11/2025 a 16/11/2025 - RPS: 1628 - NFSe: 3865"</f>
        <v>Serv.Prest. 10/11/2025 a 16/11/2025 - RPS: 1628 - NFSe: 3865</v>
      </c>
      <c r="H1055" t="str">
        <f t="shared" si="456"/>
        <v>26/11/2025</v>
      </c>
      <c r="I1055" t="str">
        <f>("18/11/2025")</f>
        <v>18/11/2025</v>
      </c>
      <c r="J1055" t="str">
        <f t="shared" si="461"/>
        <v>27/11/2025</v>
      </c>
      <c r="M1055">
        <v>303</v>
      </c>
      <c r="N1055" t="str">
        <f t="shared" si="462"/>
        <v>RECEITAS COM ENTREGAS</v>
      </c>
      <c r="P1055">
        <v>83.7</v>
      </c>
      <c r="Q1055" t="str">
        <f>"AC FARMA - FLEMINFARMA 5 (10183)"</f>
        <v>AC FARMA - FLEMINFARMA 5 (10183)</v>
      </c>
      <c r="R1055" t="str">
        <f t="shared" si="463"/>
        <v>RECEITAS COM ENTREGAS (303)</v>
      </c>
      <c r="S1055">
        <v>3350</v>
      </c>
      <c r="T1055">
        <v>2737</v>
      </c>
      <c r="U1055" t="s">
        <v>21</v>
      </c>
    </row>
    <row r="1056" spans="1:21">
      <c r="A1056" t="str">
        <f t="shared" si="457"/>
        <v>27/11/2025</v>
      </c>
      <c r="B1056" t="str">
        <f t="shared" si="458"/>
        <v>ENTRADA</v>
      </c>
      <c r="C1056" t="str">
        <f t="shared" si="459"/>
        <v>NFSE</v>
      </c>
      <c r="D1056" t="str">
        <f>"3874"</f>
        <v>3874</v>
      </c>
      <c r="E1056" t="str">
        <f t="shared" si="460"/>
        <v>COM</v>
      </c>
      <c r="F1056" t="str">
        <f>"BRASIL FARMA (10173)"</f>
        <v>BRASIL FARMA (10173)</v>
      </c>
      <c r="G1056" t="str">
        <f>"Serv.Prest. 17/11/2025 a 23/11/2025 - RPS: 1637 - NFSe: 3874"</f>
        <v>Serv.Prest. 17/11/2025 a 23/11/2025 - RPS: 1637 - NFSe: 3874</v>
      </c>
      <c r="H1056" t="str">
        <f t="shared" si="456"/>
        <v>26/11/2025</v>
      </c>
      <c r="I1056" t="str">
        <f t="shared" ref="I1056:I1101" si="464">("24/11/2025")</f>
        <v>24/11/2025</v>
      </c>
      <c r="J1056" t="str">
        <f t="shared" si="461"/>
        <v>27/11/2025</v>
      </c>
      <c r="K1056">
        <v>300.89999999999998</v>
      </c>
      <c r="L1056">
        <v>300.89999999999998</v>
      </c>
      <c r="M1056">
        <v>303</v>
      </c>
      <c r="N1056" t="str">
        <f t="shared" si="462"/>
        <v>RECEITAS COM ENTREGAS</v>
      </c>
      <c r="O1056">
        <v>300.89999999999998</v>
      </c>
      <c r="R1056" t="str">
        <f t="shared" si="463"/>
        <v>RECEITAS COM ENTREGAS (303)</v>
      </c>
      <c r="S1056">
        <v>3351</v>
      </c>
      <c r="T1056">
        <v>2785</v>
      </c>
      <c r="U1056" t="s">
        <v>21</v>
      </c>
    </row>
    <row r="1057" spans="1:21">
      <c r="A1057" t="str">
        <f t="shared" si="457"/>
        <v>27/11/2025</v>
      </c>
      <c r="B1057" t="str">
        <f t="shared" si="458"/>
        <v>ENTRADA</v>
      </c>
      <c r="C1057" t="str">
        <f t="shared" si="459"/>
        <v>NFSE</v>
      </c>
      <c r="D1057" t="str">
        <f>"3874"</f>
        <v>3874</v>
      </c>
      <c r="E1057" t="str">
        <f t="shared" si="460"/>
        <v>COM</v>
      </c>
      <c r="F1057" t="str">
        <f>"BRASIL FARMA (10173)"</f>
        <v>BRASIL FARMA (10173)</v>
      </c>
      <c r="G1057" t="str">
        <f>"Serv.Prest. 17/11/2025 a 23/11/2025 - RPS: 1637 - NFSe: 3874"</f>
        <v>Serv.Prest. 17/11/2025 a 23/11/2025 - RPS: 1637 - NFSe: 3874</v>
      </c>
      <c r="H1057" t="str">
        <f t="shared" si="456"/>
        <v>26/11/2025</v>
      </c>
      <c r="I1057" t="str">
        <f t="shared" si="464"/>
        <v>24/11/2025</v>
      </c>
      <c r="J1057" t="str">
        <f t="shared" si="461"/>
        <v>27/11/2025</v>
      </c>
      <c r="M1057">
        <v>303</v>
      </c>
      <c r="N1057" t="str">
        <f t="shared" si="462"/>
        <v>RECEITAS COM ENTREGAS</v>
      </c>
      <c r="P1057">
        <v>300.89999999999998</v>
      </c>
      <c r="Q1057" t="str">
        <f>"BRASIL FARMA (10173)"</f>
        <v>BRASIL FARMA (10173)</v>
      </c>
      <c r="R1057" t="str">
        <f t="shared" si="463"/>
        <v>RECEITAS COM ENTREGAS (303)</v>
      </c>
      <c r="S1057">
        <v>3351</v>
      </c>
      <c r="T1057">
        <v>2785</v>
      </c>
      <c r="U1057" t="s">
        <v>21</v>
      </c>
    </row>
    <row r="1058" spans="1:21">
      <c r="A1058" t="str">
        <f t="shared" si="457"/>
        <v>27/11/2025</v>
      </c>
      <c r="B1058" t="str">
        <f t="shared" si="458"/>
        <v>ENTRADA</v>
      </c>
      <c r="C1058" t="str">
        <f t="shared" si="459"/>
        <v>NFSE</v>
      </c>
      <c r="D1058" t="str">
        <f>"3876"</f>
        <v>3876</v>
      </c>
      <c r="E1058" t="str">
        <f t="shared" si="460"/>
        <v>COM</v>
      </c>
      <c r="F1058" t="str">
        <f>"DROGA ELIDA (10121)"</f>
        <v>DROGA ELIDA (10121)</v>
      </c>
      <c r="G1058" t="str">
        <f>"Serv.Prest. 17/11/2025 a 23/11/2025 - RPS: 1639 - NFSe: 3876"</f>
        <v>Serv.Prest. 17/11/2025 a 23/11/2025 - RPS: 1639 - NFSe: 3876</v>
      </c>
      <c r="H1058" t="str">
        <f t="shared" si="456"/>
        <v>26/11/2025</v>
      </c>
      <c r="I1058" t="str">
        <f t="shared" si="464"/>
        <v>24/11/2025</v>
      </c>
      <c r="J1058" t="str">
        <f t="shared" si="461"/>
        <v>27/11/2025</v>
      </c>
      <c r="K1058">
        <v>328.5</v>
      </c>
      <c r="L1058">
        <v>328.5</v>
      </c>
      <c r="M1058">
        <v>303</v>
      </c>
      <c r="N1058" t="str">
        <f t="shared" si="462"/>
        <v>RECEITAS COM ENTREGAS</v>
      </c>
      <c r="O1058">
        <v>328.5</v>
      </c>
      <c r="R1058" t="str">
        <f t="shared" si="463"/>
        <v>RECEITAS COM ENTREGAS (303)</v>
      </c>
      <c r="S1058">
        <v>3352</v>
      </c>
      <c r="T1058">
        <v>2787</v>
      </c>
      <c r="U1058" t="s">
        <v>21</v>
      </c>
    </row>
    <row r="1059" spans="1:21">
      <c r="A1059" t="str">
        <f t="shared" si="457"/>
        <v>27/11/2025</v>
      </c>
      <c r="B1059" t="str">
        <f t="shared" si="458"/>
        <v>ENTRADA</v>
      </c>
      <c r="C1059" t="str">
        <f t="shared" si="459"/>
        <v>NFSE</v>
      </c>
      <c r="D1059" t="str">
        <f>"3876"</f>
        <v>3876</v>
      </c>
      <c r="E1059" t="str">
        <f t="shared" si="460"/>
        <v>COM</v>
      </c>
      <c r="F1059" t="str">
        <f>"DROGA ELIDA (10121)"</f>
        <v>DROGA ELIDA (10121)</v>
      </c>
      <c r="G1059" t="str">
        <f>"Serv.Prest. 17/11/2025 a 23/11/2025 - RPS: 1639 - NFSe: 3876"</f>
        <v>Serv.Prest. 17/11/2025 a 23/11/2025 - RPS: 1639 - NFSe: 3876</v>
      </c>
      <c r="H1059" t="str">
        <f t="shared" si="456"/>
        <v>26/11/2025</v>
      </c>
      <c r="I1059" t="str">
        <f t="shared" si="464"/>
        <v>24/11/2025</v>
      </c>
      <c r="J1059" t="str">
        <f t="shared" si="461"/>
        <v>27/11/2025</v>
      </c>
      <c r="M1059">
        <v>303</v>
      </c>
      <c r="N1059" t="str">
        <f t="shared" si="462"/>
        <v>RECEITAS COM ENTREGAS</v>
      </c>
      <c r="P1059">
        <v>328.5</v>
      </c>
      <c r="Q1059" t="str">
        <f>"DROGA ELIDA (10121)"</f>
        <v>DROGA ELIDA (10121)</v>
      </c>
      <c r="R1059" t="str">
        <f t="shared" si="463"/>
        <v>RECEITAS COM ENTREGAS (303)</v>
      </c>
      <c r="S1059">
        <v>3352</v>
      </c>
      <c r="T1059">
        <v>2787</v>
      </c>
      <c r="U1059" t="s">
        <v>21</v>
      </c>
    </row>
    <row r="1060" spans="1:21">
      <c r="A1060" t="str">
        <f t="shared" si="457"/>
        <v>27/11/2025</v>
      </c>
      <c r="B1060" t="str">
        <f t="shared" si="458"/>
        <v>ENTRADA</v>
      </c>
      <c r="C1060" t="str">
        <f t="shared" si="459"/>
        <v>NFSE</v>
      </c>
      <c r="D1060" t="str">
        <f>"3883"</f>
        <v>3883</v>
      </c>
      <c r="E1060" t="str">
        <f t="shared" si="460"/>
        <v>COM</v>
      </c>
      <c r="F1060" t="str">
        <f>"PENSE FARMA 31 (10205)"</f>
        <v>PENSE FARMA 31 (10205)</v>
      </c>
      <c r="G1060" t="str">
        <f>"Serv.Prest. 17/11/2025 a 23/11/2025 - RPS: 1646 - NFSe: 3883"</f>
        <v>Serv.Prest. 17/11/2025 a 23/11/2025 - RPS: 1646 - NFSe: 3883</v>
      </c>
      <c r="H1060" t="str">
        <f t="shared" si="456"/>
        <v>26/11/2025</v>
      </c>
      <c r="I1060" t="str">
        <f t="shared" si="464"/>
        <v>24/11/2025</v>
      </c>
      <c r="J1060" t="str">
        <f t="shared" si="461"/>
        <v>27/11/2025</v>
      </c>
      <c r="K1060">
        <v>325.87</v>
      </c>
      <c r="L1060">
        <v>325.87</v>
      </c>
      <c r="M1060">
        <v>303</v>
      </c>
      <c r="N1060" t="str">
        <f t="shared" si="462"/>
        <v>RECEITAS COM ENTREGAS</v>
      </c>
      <c r="O1060">
        <v>325.87</v>
      </c>
      <c r="R1060" t="str">
        <f t="shared" si="463"/>
        <v>RECEITAS COM ENTREGAS (303)</v>
      </c>
      <c r="S1060">
        <v>3353</v>
      </c>
      <c r="T1060">
        <v>2794</v>
      </c>
      <c r="U1060" t="s">
        <v>21</v>
      </c>
    </row>
    <row r="1061" spans="1:21">
      <c r="A1061" t="str">
        <f t="shared" si="457"/>
        <v>27/11/2025</v>
      </c>
      <c r="B1061" t="str">
        <f t="shared" si="458"/>
        <v>ENTRADA</v>
      </c>
      <c r="C1061" t="str">
        <f t="shared" si="459"/>
        <v>NFSE</v>
      </c>
      <c r="D1061" t="str">
        <f>"3883"</f>
        <v>3883</v>
      </c>
      <c r="E1061" t="str">
        <f t="shared" si="460"/>
        <v>COM</v>
      </c>
      <c r="F1061" t="str">
        <f>"PENSE FARMA 31 (10205)"</f>
        <v>PENSE FARMA 31 (10205)</v>
      </c>
      <c r="G1061" t="str">
        <f>"Serv.Prest. 17/11/2025 a 23/11/2025 - RPS: 1646 - NFSe: 3883"</f>
        <v>Serv.Prest. 17/11/2025 a 23/11/2025 - RPS: 1646 - NFSe: 3883</v>
      </c>
      <c r="H1061" t="str">
        <f t="shared" si="456"/>
        <v>26/11/2025</v>
      </c>
      <c r="I1061" t="str">
        <f t="shared" si="464"/>
        <v>24/11/2025</v>
      </c>
      <c r="J1061" t="str">
        <f t="shared" si="461"/>
        <v>27/11/2025</v>
      </c>
      <c r="M1061">
        <v>303</v>
      </c>
      <c r="N1061" t="str">
        <f t="shared" si="462"/>
        <v>RECEITAS COM ENTREGAS</v>
      </c>
      <c r="P1061">
        <v>108.16</v>
      </c>
      <c r="Q1061" t="str">
        <f>"PENSE FARMA 31 (10205)"</f>
        <v>PENSE FARMA 31 (10205)</v>
      </c>
      <c r="R1061" t="str">
        <f t="shared" si="463"/>
        <v>RECEITAS COM ENTREGAS (303)</v>
      </c>
      <c r="S1061">
        <v>3353</v>
      </c>
      <c r="T1061">
        <v>2794</v>
      </c>
      <c r="U1061" t="s">
        <v>21</v>
      </c>
    </row>
    <row r="1062" spans="1:21">
      <c r="A1062" t="str">
        <f t="shared" si="457"/>
        <v>27/11/2025</v>
      </c>
      <c r="B1062" t="str">
        <f t="shared" si="458"/>
        <v>ENTRADA</v>
      </c>
      <c r="C1062" t="str">
        <f t="shared" si="459"/>
        <v>NFSE</v>
      </c>
      <c r="D1062" t="str">
        <f>"3883"</f>
        <v>3883</v>
      </c>
      <c r="E1062" t="str">
        <f t="shared" si="460"/>
        <v>COM</v>
      </c>
      <c r="F1062" t="str">
        <f>"PENSE FARMA 31 (10205)"</f>
        <v>PENSE FARMA 31 (10205)</v>
      </c>
      <c r="G1062" t="str">
        <f>"Serv.Prest. 17/11/2025 a 23/11/2025 - RPS: 1646 - NFSe: 3883"</f>
        <v>Serv.Prest. 17/11/2025 a 23/11/2025 - RPS: 1646 - NFSe: 3883</v>
      </c>
      <c r="H1062" t="str">
        <f t="shared" si="456"/>
        <v>26/11/2025</v>
      </c>
      <c r="I1062" t="str">
        <f t="shared" si="464"/>
        <v>24/11/2025</v>
      </c>
      <c r="J1062" t="str">
        <f t="shared" si="461"/>
        <v>27/11/2025</v>
      </c>
      <c r="M1062">
        <v>303</v>
      </c>
      <c r="N1062" t="str">
        <f t="shared" si="462"/>
        <v>RECEITAS COM ENTREGAS</v>
      </c>
      <c r="P1062">
        <v>109.52</v>
      </c>
      <c r="Q1062" t="str">
        <f>"PENSE FARMA 16 (10221)"</f>
        <v>PENSE FARMA 16 (10221)</v>
      </c>
      <c r="R1062" t="str">
        <f t="shared" si="463"/>
        <v>RECEITAS COM ENTREGAS (303)</v>
      </c>
      <c r="S1062">
        <v>3353</v>
      </c>
      <c r="T1062">
        <v>2794</v>
      </c>
      <c r="U1062" t="s">
        <v>21</v>
      </c>
    </row>
    <row r="1063" spans="1:21">
      <c r="A1063" t="str">
        <f t="shared" si="457"/>
        <v>27/11/2025</v>
      </c>
      <c r="B1063" t="str">
        <f t="shared" si="458"/>
        <v>ENTRADA</v>
      </c>
      <c r="C1063" t="str">
        <f t="shared" si="459"/>
        <v>NFSE</v>
      </c>
      <c r="D1063" t="str">
        <f>"3883"</f>
        <v>3883</v>
      </c>
      <c r="E1063" t="str">
        <f t="shared" si="460"/>
        <v>COM</v>
      </c>
      <c r="F1063" t="str">
        <f>"PENSE FARMA 31 (10205)"</f>
        <v>PENSE FARMA 31 (10205)</v>
      </c>
      <c r="G1063" t="str">
        <f>"Serv.Prest. 17/11/2025 a 23/11/2025 - RPS: 1646 - NFSe: 3883"</f>
        <v>Serv.Prest. 17/11/2025 a 23/11/2025 - RPS: 1646 - NFSe: 3883</v>
      </c>
      <c r="H1063" t="str">
        <f t="shared" si="456"/>
        <v>26/11/2025</v>
      </c>
      <c r="I1063" t="str">
        <f t="shared" si="464"/>
        <v>24/11/2025</v>
      </c>
      <c r="J1063" t="str">
        <f t="shared" si="461"/>
        <v>27/11/2025</v>
      </c>
      <c r="M1063">
        <v>303</v>
      </c>
      <c r="N1063" t="str">
        <f t="shared" si="462"/>
        <v>RECEITAS COM ENTREGAS</v>
      </c>
      <c r="P1063">
        <v>108.19</v>
      </c>
      <c r="Q1063" t="str">
        <f>"PENSE FARMA 17 (10222)"</f>
        <v>PENSE FARMA 17 (10222)</v>
      </c>
      <c r="R1063" t="str">
        <f t="shared" si="463"/>
        <v>RECEITAS COM ENTREGAS (303)</v>
      </c>
      <c r="S1063">
        <v>3353</v>
      </c>
      <c r="T1063">
        <v>2794</v>
      </c>
      <c r="U1063" t="s">
        <v>21</v>
      </c>
    </row>
    <row r="1064" spans="1:21">
      <c r="A1064" t="str">
        <f t="shared" si="457"/>
        <v>27/11/2025</v>
      </c>
      <c r="B1064" t="str">
        <f t="shared" si="458"/>
        <v>ENTRADA</v>
      </c>
      <c r="C1064" t="str">
        <f t="shared" si="459"/>
        <v>NFSE</v>
      </c>
      <c r="D1064" t="str">
        <f>"3884"</f>
        <v>3884</v>
      </c>
      <c r="E1064" t="str">
        <f t="shared" si="460"/>
        <v>COM</v>
      </c>
      <c r="F1064" t="str">
        <f>"PENSE FARMA 44 (10231)"</f>
        <v>PENSE FARMA 44 (10231)</v>
      </c>
      <c r="G1064" t="str">
        <f>"Serv.Prest. 17/11/2025 a 23/11/2025 - RPS: 1647 - NFSe: 3884"</f>
        <v>Serv.Prest. 17/11/2025 a 23/11/2025 - RPS: 1647 - NFSe: 3884</v>
      </c>
      <c r="H1064" t="str">
        <f t="shared" si="456"/>
        <v>26/11/2025</v>
      </c>
      <c r="I1064" t="str">
        <f t="shared" si="464"/>
        <v>24/11/2025</v>
      </c>
      <c r="J1064" t="str">
        <f t="shared" si="461"/>
        <v>27/11/2025</v>
      </c>
      <c r="K1064">
        <v>630.80999999999995</v>
      </c>
      <c r="L1064">
        <v>630.80999999999995</v>
      </c>
      <c r="M1064">
        <v>303</v>
      </c>
      <c r="N1064" t="str">
        <f t="shared" si="462"/>
        <v>RECEITAS COM ENTREGAS</v>
      </c>
      <c r="O1064">
        <v>630.80999999999995</v>
      </c>
      <c r="R1064" t="str">
        <f t="shared" si="463"/>
        <v>RECEITAS COM ENTREGAS (303)</v>
      </c>
      <c r="S1064">
        <v>3354</v>
      </c>
      <c r="T1064">
        <v>2795</v>
      </c>
      <c r="U1064" t="s">
        <v>21</v>
      </c>
    </row>
    <row r="1065" spans="1:21">
      <c r="A1065" t="str">
        <f t="shared" si="457"/>
        <v>27/11/2025</v>
      </c>
      <c r="B1065" t="str">
        <f t="shared" si="458"/>
        <v>ENTRADA</v>
      </c>
      <c r="C1065" t="str">
        <f t="shared" si="459"/>
        <v>NFSE</v>
      </c>
      <c r="D1065" t="str">
        <f>"3884"</f>
        <v>3884</v>
      </c>
      <c r="E1065" t="str">
        <f t="shared" si="460"/>
        <v>COM</v>
      </c>
      <c r="F1065" t="str">
        <f>"PENSE FARMA 44 (10231)"</f>
        <v>PENSE FARMA 44 (10231)</v>
      </c>
      <c r="G1065" t="str">
        <f>"Serv.Prest. 17/11/2025 a 23/11/2025 - RPS: 1647 - NFSe: 3884"</f>
        <v>Serv.Prest. 17/11/2025 a 23/11/2025 - RPS: 1647 - NFSe: 3884</v>
      </c>
      <c r="H1065" t="str">
        <f t="shared" si="456"/>
        <v>26/11/2025</v>
      </c>
      <c r="I1065" t="str">
        <f t="shared" si="464"/>
        <v>24/11/2025</v>
      </c>
      <c r="J1065" t="str">
        <f t="shared" si="461"/>
        <v>27/11/2025</v>
      </c>
      <c r="M1065">
        <v>303</v>
      </c>
      <c r="N1065" t="str">
        <f t="shared" si="462"/>
        <v>RECEITAS COM ENTREGAS</v>
      </c>
      <c r="P1065">
        <v>314.89999999999998</v>
      </c>
      <c r="Q1065" t="str">
        <f>"PENSE FARMA 44 (10231)"</f>
        <v>PENSE FARMA 44 (10231)</v>
      </c>
      <c r="R1065" t="str">
        <f t="shared" si="463"/>
        <v>RECEITAS COM ENTREGAS (303)</v>
      </c>
      <c r="S1065">
        <v>3354</v>
      </c>
      <c r="T1065">
        <v>2795</v>
      </c>
      <c r="U1065" t="s">
        <v>21</v>
      </c>
    </row>
    <row r="1066" spans="1:21">
      <c r="A1066" t="str">
        <f t="shared" si="457"/>
        <v>27/11/2025</v>
      </c>
      <c r="B1066" t="str">
        <f t="shared" si="458"/>
        <v>ENTRADA</v>
      </c>
      <c r="C1066" t="str">
        <f t="shared" si="459"/>
        <v>NFSE</v>
      </c>
      <c r="D1066" t="str">
        <f>"3884"</f>
        <v>3884</v>
      </c>
      <c r="E1066" t="str">
        <f t="shared" si="460"/>
        <v>COM</v>
      </c>
      <c r="F1066" t="str">
        <f>"PENSE FARMA 44 (10231)"</f>
        <v>PENSE FARMA 44 (10231)</v>
      </c>
      <c r="G1066" t="str">
        <f>"Serv.Prest. 17/11/2025 a 23/11/2025 - RPS: 1647 - NFSe: 3884"</f>
        <v>Serv.Prest. 17/11/2025 a 23/11/2025 - RPS: 1647 - NFSe: 3884</v>
      </c>
      <c r="H1066" t="str">
        <f t="shared" si="456"/>
        <v>26/11/2025</v>
      </c>
      <c r="I1066" t="str">
        <f t="shared" si="464"/>
        <v>24/11/2025</v>
      </c>
      <c r="J1066" t="str">
        <f t="shared" si="461"/>
        <v>27/11/2025</v>
      </c>
      <c r="M1066">
        <v>303</v>
      </c>
      <c r="N1066" t="str">
        <f t="shared" si="462"/>
        <v>RECEITAS COM ENTREGAS</v>
      </c>
      <c r="P1066">
        <v>315.91000000000003</v>
      </c>
      <c r="Q1066" t="str">
        <f>"PENSE FARMA 48 (10233)"</f>
        <v>PENSE FARMA 48 (10233)</v>
      </c>
      <c r="R1066" t="str">
        <f t="shared" si="463"/>
        <v>RECEITAS COM ENTREGAS (303)</v>
      </c>
      <c r="S1066">
        <v>3354</v>
      </c>
      <c r="T1066">
        <v>2795</v>
      </c>
      <c r="U1066" t="s">
        <v>21</v>
      </c>
    </row>
    <row r="1067" spans="1:21">
      <c r="A1067" t="str">
        <f t="shared" si="457"/>
        <v>27/11/2025</v>
      </c>
      <c r="B1067" t="str">
        <f t="shared" si="458"/>
        <v>ENTRADA</v>
      </c>
      <c r="C1067" t="str">
        <f t="shared" si="459"/>
        <v>NFSE</v>
      </c>
      <c r="D1067" t="str">
        <f>"3885"</f>
        <v>3885</v>
      </c>
      <c r="E1067" t="str">
        <f t="shared" si="460"/>
        <v>COM</v>
      </c>
      <c r="F1067" t="str">
        <f>"PENSE FARMA 19 (10223)"</f>
        <v>PENSE FARMA 19 (10223)</v>
      </c>
      <c r="G1067" t="str">
        <f>"Serv.Prest. 17/11/2025 a 23/11/2025 - RPS: 1648 - NFSe: 3885"</f>
        <v>Serv.Prest. 17/11/2025 a 23/11/2025 - RPS: 1648 - NFSe: 3885</v>
      </c>
      <c r="H1067" t="str">
        <f t="shared" si="456"/>
        <v>26/11/2025</v>
      </c>
      <c r="I1067" t="str">
        <f t="shared" si="464"/>
        <v>24/11/2025</v>
      </c>
      <c r="J1067" t="str">
        <f t="shared" si="461"/>
        <v>27/11/2025</v>
      </c>
      <c r="K1067">
        <v>507.65</v>
      </c>
      <c r="L1067">
        <v>507.65</v>
      </c>
      <c r="M1067">
        <v>303</v>
      </c>
      <c r="N1067" t="str">
        <f t="shared" si="462"/>
        <v>RECEITAS COM ENTREGAS</v>
      </c>
      <c r="O1067">
        <v>507.65</v>
      </c>
      <c r="R1067" t="str">
        <f t="shared" si="463"/>
        <v>RECEITAS COM ENTREGAS (303)</v>
      </c>
      <c r="S1067">
        <v>3355</v>
      </c>
      <c r="T1067">
        <v>2796</v>
      </c>
      <c r="U1067" t="s">
        <v>21</v>
      </c>
    </row>
    <row r="1068" spans="1:21">
      <c r="A1068" t="str">
        <f t="shared" si="457"/>
        <v>27/11/2025</v>
      </c>
      <c r="B1068" t="str">
        <f t="shared" si="458"/>
        <v>ENTRADA</v>
      </c>
      <c r="C1068" t="str">
        <f t="shared" si="459"/>
        <v>NFSE</v>
      </c>
      <c r="D1068" t="str">
        <f>"3885"</f>
        <v>3885</v>
      </c>
      <c r="E1068" t="str">
        <f t="shared" si="460"/>
        <v>COM</v>
      </c>
      <c r="F1068" t="str">
        <f>"PENSE FARMA 19 (10223)"</f>
        <v>PENSE FARMA 19 (10223)</v>
      </c>
      <c r="G1068" t="str">
        <f>"Serv.Prest. 17/11/2025 a 23/11/2025 - RPS: 1648 - NFSe: 3885"</f>
        <v>Serv.Prest. 17/11/2025 a 23/11/2025 - RPS: 1648 - NFSe: 3885</v>
      </c>
      <c r="H1068" t="str">
        <f t="shared" si="456"/>
        <v>26/11/2025</v>
      </c>
      <c r="I1068" t="str">
        <f t="shared" si="464"/>
        <v>24/11/2025</v>
      </c>
      <c r="J1068" t="str">
        <f t="shared" si="461"/>
        <v>27/11/2025</v>
      </c>
      <c r="M1068">
        <v>303</v>
      </c>
      <c r="N1068" t="str">
        <f t="shared" si="462"/>
        <v>RECEITAS COM ENTREGAS</v>
      </c>
      <c r="P1068">
        <v>507.65</v>
      </c>
      <c r="Q1068" t="str">
        <f>"PENSE FARMA 19 (10223)"</f>
        <v>PENSE FARMA 19 (10223)</v>
      </c>
      <c r="R1068" t="str">
        <f t="shared" si="463"/>
        <v>RECEITAS COM ENTREGAS (303)</v>
      </c>
      <c r="S1068">
        <v>3355</v>
      </c>
      <c r="T1068">
        <v>2796</v>
      </c>
      <c r="U1068" t="s">
        <v>21</v>
      </c>
    </row>
    <row r="1069" spans="1:21">
      <c r="A1069" t="str">
        <f t="shared" si="457"/>
        <v>27/11/2025</v>
      </c>
      <c r="B1069" t="str">
        <f t="shared" si="458"/>
        <v>ENTRADA</v>
      </c>
      <c r="C1069" t="str">
        <f t="shared" si="459"/>
        <v>NFSE</v>
      </c>
      <c r="D1069" t="str">
        <f>"3887"</f>
        <v>3887</v>
      </c>
      <c r="E1069" t="str">
        <f t="shared" si="460"/>
        <v>COM</v>
      </c>
      <c r="F1069" t="str">
        <f>"PENSE FARMA 39 (10228)"</f>
        <v>PENSE FARMA 39 (10228)</v>
      </c>
      <c r="G1069" t="str">
        <f>"Serv.Prest. 17/11/2025 a 23/11/2025 - RPS: 1650 - NFSe: 3887"</f>
        <v>Serv.Prest. 17/11/2025 a 23/11/2025 - RPS: 1650 - NFSe: 3887</v>
      </c>
      <c r="H1069" t="str">
        <f t="shared" si="456"/>
        <v>26/11/2025</v>
      </c>
      <c r="I1069" t="str">
        <f t="shared" si="464"/>
        <v>24/11/2025</v>
      </c>
      <c r="J1069" t="str">
        <f t="shared" si="461"/>
        <v>27/11/2025</v>
      </c>
      <c r="K1069">
        <v>599.98</v>
      </c>
      <c r="L1069">
        <v>599.98</v>
      </c>
      <c r="M1069">
        <v>303</v>
      </c>
      <c r="N1069" t="str">
        <f t="shared" si="462"/>
        <v>RECEITAS COM ENTREGAS</v>
      </c>
      <c r="O1069">
        <v>599.98</v>
      </c>
      <c r="R1069" t="str">
        <f t="shared" si="463"/>
        <v>RECEITAS COM ENTREGAS (303)</v>
      </c>
      <c r="S1069">
        <v>3356</v>
      </c>
      <c r="T1069">
        <v>2798</v>
      </c>
      <c r="U1069" t="s">
        <v>21</v>
      </c>
    </row>
    <row r="1070" spans="1:21">
      <c r="A1070" t="str">
        <f t="shared" si="457"/>
        <v>27/11/2025</v>
      </c>
      <c r="B1070" t="str">
        <f t="shared" si="458"/>
        <v>ENTRADA</v>
      </c>
      <c r="C1070" t="str">
        <f t="shared" si="459"/>
        <v>NFSE</v>
      </c>
      <c r="D1070" t="str">
        <f>"3887"</f>
        <v>3887</v>
      </c>
      <c r="E1070" t="str">
        <f t="shared" si="460"/>
        <v>COM</v>
      </c>
      <c r="F1070" t="str">
        <f>"PENSE FARMA 39 (10228)"</f>
        <v>PENSE FARMA 39 (10228)</v>
      </c>
      <c r="G1070" t="str">
        <f>"Serv.Prest. 17/11/2025 a 23/11/2025 - RPS: 1650 - NFSe: 3887"</f>
        <v>Serv.Prest. 17/11/2025 a 23/11/2025 - RPS: 1650 - NFSe: 3887</v>
      </c>
      <c r="H1070" t="str">
        <f t="shared" si="456"/>
        <v>26/11/2025</v>
      </c>
      <c r="I1070" t="str">
        <f t="shared" si="464"/>
        <v>24/11/2025</v>
      </c>
      <c r="J1070" t="str">
        <f t="shared" si="461"/>
        <v>27/11/2025</v>
      </c>
      <c r="M1070">
        <v>303</v>
      </c>
      <c r="N1070" t="str">
        <f t="shared" si="462"/>
        <v>RECEITAS COM ENTREGAS</v>
      </c>
      <c r="P1070">
        <v>148.85</v>
      </c>
      <c r="Q1070" t="str">
        <f>"PENSE FARMA 02 (10199)"</f>
        <v>PENSE FARMA 02 (10199)</v>
      </c>
      <c r="R1070" t="str">
        <f t="shared" si="463"/>
        <v>RECEITAS COM ENTREGAS (303)</v>
      </c>
      <c r="S1070">
        <v>3356</v>
      </c>
      <c r="T1070">
        <v>2798</v>
      </c>
      <c r="U1070" t="s">
        <v>21</v>
      </c>
    </row>
    <row r="1071" spans="1:21">
      <c r="A1071" t="str">
        <f t="shared" si="457"/>
        <v>27/11/2025</v>
      </c>
      <c r="B1071" t="str">
        <f t="shared" si="458"/>
        <v>ENTRADA</v>
      </c>
      <c r="C1071" t="str">
        <f t="shared" si="459"/>
        <v>NFSE</v>
      </c>
      <c r="D1071" t="str">
        <f>"3887"</f>
        <v>3887</v>
      </c>
      <c r="E1071" t="str">
        <f t="shared" si="460"/>
        <v>COM</v>
      </c>
      <c r="F1071" t="str">
        <f>"PENSE FARMA 39 (10228)"</f>
        <v>PENSE FARMA 39 (10228)</v>
      </c>
      <c r="G1071" t="str">
        <f>"Serv.Prest. 17/11/2025 a 23/11/2025 - RPS: 1650 - NFSe: 3887"</f>
        <v>Serv.Prest. 17/11/2025 a 23/11/2025 - RPS: 1650 - NFSe: 3887</v>
      </c>
      <c r="H1071" t="str">
        <f t="shared" si="456"/>
        <v>26/11/2025</v>
      </c>
      <c r="I1071" t="str">
        <f t="shared" si="464"/>
        <v>24/11/2025</v>
      </c>
      <c r="J1071" t="str">
        <f t="shared" si="461"/>
        <v>27/11/2025</v>
      </c>
      <c r="M1071">
        <v>303</v>
      </c>
      <c r="N1071" t="str">
        <f t="shared" si="462"/>
        <v>RECEITAS COM ENTREGAS</v>
      </c>
      <c r="P1071">
        <v>148.86000000000001</v>
      </c>
      <c r="Q1071" t="str">
        <f>"PENSE FARMA 01 (10215)"</f>
        <v>PENSE FARMA 01 (10215)</v>
      </c>
      <c r="R1071" t="str">
        <f t="shared" si="463"/>
        <v>RECEITAS COM ENTREGAS (303)</v>
      </c>
      <c r="S1071">
        <v>3356</v>
      </c>
      <c r="T1071">
        <v>2798</v>
      </c>
      <c r="U1071" t="s">
        <v>21</v>
      </c>
    </row>
    <row r="1072" spans="1:21">
      <c r="A1072" t="str">
        <f t="shared" si="457"/>
        <v>27/11/2025</v>
      </c>
      <c r="B1072" t="str">
        <f t="shared" si="458"/>
        <v>ENTRADA</v>
      </c>
      <c r="C1072" t="str">
        <f t="shared" si="459"/>
        <v>NFSE</v>
      </c>
      <c r="D1072" t="str">
        <f>"3887"</f>
        <v>3887</v>
      </c>
      <c r="E1072" t="str">
        <f t="shared" si="460"/>
        <v>COM</v>
      </c>
      <c r="F1072" t="str">
        <f>"PENSE FARMA 39 (10228)"</f>
        <v>PENSE FARMA 39 (10228)</v>
      </c>
      <c r="G1072" t="str">
        <f>"Serv.Prest. 17/11/2025 a 23/11/2025 - RPS: 1650 - NFSe: 3887"</f>
        <v>Serv.Prest. 17/11/2025 a 23/11/2025 - RPS: 1650 - NFSe: 3887</v>
      </c>
      <c r="H1072" t="str">
        <f t="shared" si="456"/>
        <v>26/11/2025</v>
      </c>
      <c r="I1072" t="str">
        <f t="shared" si="464"/>
        <v>24/11/2025</v>
      </c>
      <c r="J1072" t="str">
        <f t="shared" si="461"/>
        <v>27/11/2025</v>
      </c>
      <c r="M1072">
        <v>303</v>
      </c>
      <c r="N1072" t="str">
        <f t="shared" si="462"/>
        <v>RECEITAS COM ENTREGAS</v>
      </c>
      <c r="P1072">
        <v>148.86000000000001</v>
      </c>
      <c r="Q1072" t="str">
        <f>"PENSE FARMA 03 (10216)"</f>
        <v>PENSE FARMA 03 (10216)</v>
      </c>
      <c r="R1072" t="str">
        <f t="shared" si="463"/>
        <v>RECEITAS COM ENTREGAS (303)</v>
      </c>
      <c r="S1072">
        <v>3356</v>
      </c>
      <c r="T1072">
        <v>2798</v>
      </c>
      <c r="U1072" t="s">
        <v>21</v>
      </c>
    </row>
    <row r="1073" spans="1:21">
      <c r="A1073" t="str">
        <f t="shared" si="457"/>
        <v>27/11/2025</v>
      </c>
      <c r="B1073" t="str">
        <f t="shared" si="458"/>
        <v>ENTRADA</v>
      </c>
      <c r="C1073" t="str">
        <f t="shared" si="459"/>
        <v>NFSE</v>
      </c>
      <c r="D1073" t="str">
        <f>"3887"</f>
        <v>3887</v>
      </c>
      <c r="E1073" t="str">
        <f t="shared" si="460"/>
        <v>COM</v>
      </c>
      <c r="F1073" t="str">
        <f>"PENSE FARMA 39 (10228)"</f>
        <v>PENSE FARMA 39 (10228)</v>
      </c>
      <c r="G1073" t="str">
        <f>"Serv.Prest. 17/11/2025 a 23/11/2025 - RPS: 1650 - NFSe: 3887"</f>
        <v>Serv.Prest. 17/11/2025 a 23/11/2025 - RPS: 1650 - NFSe: 3887</v>
      </c>
      <c r="H1073" t="str">
        <f t="shared" si="456"/>
        <v>26/11/2025</v>
      </c>
      <c r="I1073" t="str">
        <f t="shared" si="464"/>
        <v>24/11/2025</v>
      </c>
      <c r="J1073" t="str">
        <f t="shared" si="461"/>
        <v>27/11/2025</v>
      </c>
      <c r="M1073">
        <v>303</v>
      </c>
      <c r="N1073" t="str">
        <f t="shared" si="462"/>
        <v>RECEITAS COM ENTREGAS</v>
      </c>
      <c r="P1073">
        <v>153.41</v>
      </c>
      <c r="Q1073" t="str">
        <f>"PENSE FARMA 39 (10228)"</f>
        <v>PENSE FARMA 39 (10228)</v>
      </c>
      <c r="R1073" t="str">
        <f t="shared" si="463"/>
        <v>RECEITAS COM ENTREGAS (303)</v>
      </c>
      <c r="S1073">
        <v>3356</v>
      </c>
      <c r="T1073">
        <v>2798</v>
      </c>
      <c r="U1073" t="s">
        <v>21</v>
      </c>
    </row>
    <row r="1074" spans="1:21">
      <c r="A1074" t="str">
        <f t="shared" si="457"/>
        <v>27/11/2025</v>
      </c>
      <c r="B1074" t="str">
        <f t="shared" si="458"/>
        <v>ENTRADA</v>
      </c>
      <c r="C1074" t="str">
        <f t="shared" si="459"/>
        <v>NFSE</v>
      </c>
      <c r="D1074" t="str">
        <f>"3888"</f>
        <v>3888</v>
      </c>
      <c r="E1074" t="str">
        <f t="shared" si="460"/>
        <v>COM</v>
      </c>
      <c r="F1074" t="str">
        <f>"PENSE FARMA 47 (10232)"</f>
        <v>PENSE FARMA 47 (10232)</v>
      </c>
      <c r="G1074" t="str">
        <f>"Serv.Prest. 17/11/2025 a 23/11/2025 - RPS: 1651 - NFSe: 3888"</f>
        <v>Serv.Prest. 17/11/2025 a 23/11/2025 - RPS: 1651 - NFSe: 3888</v>
      </c>
      <c r="H1074" t="str">
        <f t="shared" si="456"/>
        <v>26/11/2025</v>
      </c>
      <c r="I1074" t="str">
        <f t="shared" si="464"/>
        <v>24/11/2025</v>
      </c>
      <c r="J1074" t="str">
        <f t="shared" si="461"/>
        <v>27/11/2025</v>
      </c>
      <c r="K1074">
        <v>320.23</v>
      </c>
      <c r="L1074">
        <v>320.23</v>
      </c>
      <c r="M1074">
        <v>303</v>
      </c>
      <c r="N1074" t="str">
        <f t="shared" si="462"/>
        <v>RECEITAS COM ENTREGAS</v>
      </c>
      <c r="O1074">
        <v>320.23</v>
      </c>
      <c r="R1074" t="str">
        <f t="shared" si="463"/>
        <v>RECEITAS COM ENTREGAS (303)</v>
      </c>
      <c r="S1074">
        <v>3357</v>
      </c>
      <c r="T1074">
        <v>2799</v>
      </c>
      <c r="U1074" t="s">
        <v>21</v>
      </c>
    </row>
    <row r="1075" spans="1:21">
      <c r="A1075" t="str">
        <f t="shared" si="457"/>
        <v>27/11/2025</v>
      </c>
      <c r="B1075" t="str">
        <f t="shared" si="458"/>
        <v>ENTRADA</v>
      </c>
      <c r="C1075" t="str">
        <f t="shared" si="459"/>
        <v>NFSE</v>
      </c>
      <c r="D1075" t="str">
        <f>"3888"</f>
        <v>3888</v>
      </c>
      <c r="E1075" t="str">
        <f t="shared" si="460"/>
        <v>COM</v>
      </c>
      <c r="F1075" t="str">
        <f>"PENSE FARMA 47 (10232)"</f>
        <v>PENSE FARMA 47 (10232)</v>
      </c>
      <c r="G1075" t="str">
        <f>"Serv.Prest. 17/11/2025 a 23/11/2025 - RPS: 1651 - NFSe: 3888"</f>
        <v>Serv.Prest. 17/11/2025 a 23/11/2025 - RPS: 1651 - NFSe: 3888</v>
      </c>
      <c r="H1075" t="str">
        <f t="shared" si="456"/>
        <v>26/11/2025</v>
      </c>
      <c r="I1075" t="str">
        <f t="shared" si="464"/>
        <v>24/11/2025</v>
      </c>
      <c r="J1075" t="str">
        <f t="shared" si="461"/>
        <v>27/11/2025</v>
      </c>
      <c r="M1075">
        <v>303</v>
      </c>
      <c r="N1075" t="str">
        <f t="shared" si="462"/>
        <v>RECEITAS COM ENTREGAS</v>
      </c>
      <c r="P1075">
        <v>320.23</v>
      </c>
      <c r="Q1075" t="str">
        <f>"PENSE FARMA 47 (10232)"</f>
        <v>PENSE FARMA 47 (10232)</v>
      </c>
      <c r="R1075" t="str">
        <f t="shared" si="463"/>
        <v>RECEITAS COM ENTREGAS (303)</v>
      </c>
      <c r="S1075">
        <v>3357</v>
      </c>
      <c r="T1075">
        <v>2799</v>
      </c>
      <c r="U1075" t="s">
        <v>21</v>
      </c>
    </row>
    <row r="1076" spans="1:21">
      <c r="A1076" t="str">
        <f t="shared" si="457"/>
        <v>27/11/2025</v>
      </c>
      <c r="B1076" t="str">
        <f t="shared" si="458"/>
        <v>ENTRADA</v>
      </c>
      <c r="C1076" t="str">
        <f t="shared" si="459"/>
        <v>NFSE</v>
      </c>
      <c r="D1076" t="str">
        <f>"3890"</f>
        <v>3890</v>
      </c>
      <c r="E1076" t="str">
        <f t="shared" si="460"/>
        <v>COM</v>
      </c>
      <c r="F1076" t="str">
        <f>"PENSE FARMA 35 (10227)"</f>
        <v>PENSE FARMA 35 (10227)</v>
      </c>
      <c r="G1076" t="str">
        <f>"Serv.Prest. 17/11/2025 a 23/11/2025 - RPS: 1653 - NFSe: 3890"</f>
        <v>Serv.Prest. 17/11/2025 a 23/11/2025 - RPS: 1653 - NFSe: 3890</v>
      </c>
      <c r="H1076" t="str">
        <f t="shared" si="456"/>
        <v>26/11/2025</v>
      </c>
      <c r="I1076" t="str">
        <f t="shared" si="464"/>
        <v>24/11/2025</v>
      </c>
      <c r="J1076" t="str">
        <f t="shared" si="461"/>
        <v>27/11/2025</v>
      </c>
      <c r="K1076">
        <v>171.45</v>
      </c>
      <c r="L1076">
        <v>171.45</v>
      </c>
      <c r="M1076">
        <v>303</v>
      </c>
      <c r="N1076" t="str">
        <f t="shared" si="462"/>
        <v>RECEITAS COM ENTREGAS</v>
      </c>
      <c r="O1076">
        <v>171.45</v>
      </c>
      <c r="R1076" t="str">
        <f t="shared" si="463"/>
        <v>RECEITAS COM ENTREGAS (303)</v>
      </c>
      <c r="S1076">
        <v>3358</v>
      </c>
      <c r="T1076">
        <v>2801</v>
      </c>
      <c r="U1076" t="s">
        <v>21</v>
      </c>
    </row>
    <row r="1077" spans="1:21">
      <c r="A1077" t="str">
        <f t="shared" si="457"/>
        <v>27/11/2025</v>
      </c>
      <c r="B1077" t="str">
        <f t="shared" si="458"/>
        <v>ENTRADA</v>
      </c>
      <c r="C1077" t="str">
        <f t="shared" si="459"/>
        <v>NFSE</v>
      </c>
      <c r="D1077" t="str">
        <f>"3890"</f>
        <v>3890</v>
      </c>
      <c r="E1077" t="str">
        <f t="shared" si="460"/>
        <v>COM</v>
      </c>
      <c r="F1077" t="str">
        <f>"PENSE FARMA 35 (10227)"</f>
        <v>PENSE FARMA 35 (10227)</v>
      </c>
      <c r="G1077" t="str">
        <f>"Serv.Prest. 17/11/2025 a 23/11/2025 - RPS: 1653 - NFSe: 3890"</f>
        <v>Serv.Prest. 17/11/2025 a 23/11/2025 - RPS: 1653 - NFSe: 3890</v>
      </c>
      <c r="H1077" t="str">
        <f t="shared" si="456"/>
        <v>26/11/2025</v>
      </c>
      <c r="I1077" t="str">
        <f t="shared" si="464"/>
        <v>24/11/2025</v>
      </c>
      <c r="J1077" t="str">
        <f t="shared" si="461"/>
        <v>27/11/2025</v>
      </c>
      <c r="M1077">
        <v>303</v>
      </c>
      <c r="N1077" t="str">
        <f t="shared" si="462"/>
        <v>RECEITAS COM ENTREGAS</v>
      </c>
      <c r="P1077">
        <v>171.45</v>
      </c>
      <c r="Q1077" t="str">
        <f>"PENSE FARMA 35 (10227)"</f>
        <v>PENSE FARMA 35 (10227)</v>
      </c>
      <c r="R1077" t="str">
        <f t="shared" si="463"/>
        <v>RECEITAS COM ENTREGAS (303)</v>
      </c>
      <c r="S1077">
        <v>3358</v>
      </c>
      <c r="T1077">
        <v>2801</v>
      </c>
      <c r="U1077" t="s">
        <v>21</v>
      </c>
    </row>
    <row r="1078" spans="1:21">
      <c r="A1078" t="str">
        <f t="shared" si="457"/>
        <v>27/11/2025</v>
      </c>
      <c r="B1078" t="str">
        <f t="shared" si="458"/>
        <v>ENTRADA</v>
      </c>
      <c r="C1078" t="str">
        <f t="shared" si="459"/>
        <v>NFSE</v>
      </c>
      <c r="D1078" t="str">
        <f>"3893"</f>
        <v>3893</v>
      </c>
      <c r="E1078" t="str">
        <f t="shared" si="460"/>
        <v>COM</v>
      </c>
      <c r="F1078" t="str">
        <f>"PENSE FARMA 46 (10194)"</f>
        <v>PENSE FARMA 46 (10194)</v>
      </c>
      <c r="G1078" t="str">
        <f>"Serv.Prest. 17/11/2025 a 23/11/2025 - RPS: 1656 - NFSe: 3893"</f>
        <v>Serv.Prest. 17/11/2025 a 23/11/2025 - RPS: 1656 - NFSe: 3893</v>
      </c>
      <c r="H1078" t="str">
        <f t="shared" si="456"/>
        <v>26/11/2025</v>
      </c>
      <c r="I1078" t="str">
        <f t="shared" si="464"/>
        <v>24/11/2025</v>
      </c>
      <c r="J1078" t="str">
        <f t="shared" si="461"/>
        <v>27/11/2025</v>
      </c>
      <c r="K1078">
        <v>342</v>
      </c>
      <c r="L1078">
        <v>342</v>
      </c>
      <c r="M1078">
        <v>303</v>
      </c>
      <c r="N1078" t="str">
        <f t="shared" si="462"/>
        <v>RECEITAS COM ENTREGAS</v>
      </c>
      <c r="O1078">
        <v>342</v>
      </c>
      <c r="R1078" t="str">
        <f t="shared" si="463"/>
        <v>RECEITAS COM ENTREGAS (303)</v>
      </c>
      <c r="S1078">
        <v>3359</v>
      </c>
      <c r="T1078">
        <v>2804</v>
      </c>
      <c r="U1078" t="s">
        <v>21</v>
      </c>
    </row>
    <row r="1079" spans="1:21">
      <c r="A1079" t="str">
        <f t="shared" si="457"/>
        <v>27/11/2025</v>
      </c>
      <c r="B1079" t="str">
        <f t="shared" si="458"/>
        <v>ENTRADA</v>
      </c>
      <c r="C1079" t="str">
        <f t="shared" si="459"/>
        <v>NFSE</v>
      </c>
      <c r="D1079" t="str">
        <f>"3893"</f>
        <v>3893</v>
      </c>
      <c r="E1079" t="str">
        <f t="shared" si="460"/>
        <v>COM</v>
      </c>
      <c r="F1079" t="str">
        <f>"PENSE FARMA 46 (10194)"</f>
        <v>PENSE FARMA 46 (10194)</v>
      </c>
      <c r="G1079" t="str">
        <f>"Serv.Prest. 17/11/2025 a 23/11/2025 - RPS: 1656 - NFSe: 3893"</f>
        <v>Serv.Prest. 17/11/2025 a 23/11/2025 - RPS: 1656 - NFSe: 3893</v>
      </c>
      <c r="H1079" t="str">
        <f t="shared" si="456"/>
        <v>26/11/2025</v>
      </c>
      <c r="I1079" t="str">
        <f t="shared" si="464"/>
        <v>24/11/2025</v>
      </c>
      <c r="J1079" t="str">
        <f t="shared" si="461"/>
        <v>27/11/2025</v>
      </c>
      <c r="M1079">
        <v>303</v>
      </c>
      <c r="N1079" t="str">
        <f t="shared" si="462"/>
        <v>RECEITAS COM ENTREGAS</v>
      </c>
      <c r="P1079">
        <v>342</v>
      </c>
      <c r="Q1079" t="str">
        <f>"PENSE FARMA 46 (10194)"</f>
        <v>PENSE FARMA 46 (10194)</v>
      </c>
      <c r="R1079" t="str">
        <f t="shared" si="463"/>
        <v>RECEITAS COM ENTREGAS (303)</v>
      </c>
      <c r="S1079">
        <v>3359</v>
      </c>
      <c r="T1079">
        <v>2804</v>
      </c>
      <c r="U1079" t="s">
        <v>21</v>
      </c>
    </row>
    <row r="1080" spans="1:21">
      <c r="A1080" t="str">
        <f t="shared" si="457"/>
        <v>27/11/2025</v>
      </c>
      <c r="B1080" t="str">
        <f t="shared" si="458"/>
        <v>ENTRADA</v>
      </c>
      <c r="C1080" t="str">
        <f t="shared" si="459"/>
        <v>NFSE</v>
      </c>
      <c r="D1080" t="str">
        <f t="shared" ref="D1080:D1086" si="465">"3894"</f>
        <v>3894</v>
      </c>
      <c r="E1080" t="str">
        <f t="shared" si="460"/>
        <v>COM</v>
      </c>
      <c r="F1080" t="str">
        <f t="shared" ref="F1080:F1086" si="466">"PENSE FARMA 36 (10206)"</f>
        <v>PENSE FARMA 36 (10206)</v>
      </c>
      <c r="G1080" t="str">
        <f t="shared" ref="G1080:G1086" si="467">"Serv.Prest. 17/11/2025 a 23/11/2025 - RPS: 1657 - NFSe: 3894"</f>
        <v>Serv.Prest. 17/11/2025 a 23/11/2025 - RPS: 1657 - NFSe: 3894</v>
      </c>
      <c r="H1080" t="str">
        <f t="shared" si="456"/>
        <v>26/11/2025</v>
      </c>
      <c r="I1080" t="str">
        <f t="shared" si="464"/>
        <v>24/11/2025</v>
      </c>
      <c r="J1080" t="str">
        <f t="shared" si="461"/>
        <v>27/11/2025</v>
      </c>
      <c r="K1080">
        <v>894.35</v>
      </c>
      <c r="L1080">
        <v>894.35</v>
      </c>
      <c r="M1080">
        <v>303</v>
      </c>
      <c r="N1080" t="str">
        <f t="shared" si="462"/>
        <v>RECEITAS COM ENTREGAS</v>
      </c>
      <c r="O1080">
        <v>894.35</v>
      </c>
      <c r="R1080" t="str">
        <f t="shared" si="463"/>
        <v>RECEITAS COM ENTREGAS (303)</v>
      </c>
      <c r="S1080">
        <v>3360</v>
      </c>
      <c r="T1080">
        <v>2805</v>
      </c>
      <c r="U1080" t="s">
        <v>21</v>
      </c>
    </row>
    <row r="1081" spans="1:21">
      <c r="A1081" t="str">
        <f t="shared" si="457"/>
        <v>27/11/2025</v>
      </c>
      <c r="B1081" t="str">
        <f t="shared" si="458"/>
        <v>ENTRADA</v>
      </c>
      <c r="C1081" t="str">
        <f t="shared" si="459"/>
        <v>NFSE</v>
      </c>
      <c r="D1081" t="str">
        <f t="shared" si="465"/>
        <v>3894</v>
      </c>
      <c r="E1081" t="str">
        <f t="shared" si="460"/>
        <v>COM</v>
      </c>
      <c r="F1081" t="str">
        <f t="shared" si="466"/>
        <v>PENSE FARMA 36 (10206)</v>
      </c>
      <c r="G1081" t="str">
        <f t="shared" si="467"/>
        <v>Serv.Prest. 17/11/2025 a 23/11/2025 - RPS: 1657 - NFSe: 3894</v>
      </c>
      <c r="H1081" t="str">
        <f t="shared" si="456"/>
        <v>26/11/2025</v>
      </c>
      <c r="I1081" t="str">
        <f t="shared" si="464"/>
        <v>24/11/2025</v>
      </c>
      <c r="J1081" t="str">
        <f t="shared" si="461"/>
        <v>27/11/2025</v>
      </c>
      <c r="M1081">
        <v>303</v>
      </c>
      <c r="N1081" t="str">
        <f t="shared" si="462"/>
        <v>RECEITAS COM ENTREGAS</v>
      </c>
      <c r="P1081">
        <v>148.30000000000001</v>
      </c>
      <c r="Q1081" t="str">
        <f>"PENSE FARMA 20 (10203)"</f>
        <v>PENSE FARMA 20 (10203)</v>
      </c>
      <c r="R1081" t="str">
        <f t="shared" si="463"/>
        <v>RECEITAS COM ENTREGAS (303)</v>
      </c>
      <c r="S1081">
        <v>3360</v>
      </c>
      <c r="T1081">
        <v>2805</v>
      </c>
      <c r="U1081" t="s">
        <v>21</v>
      </c>
    </row>
    <row r="1082" spans="1:21">
      <c r="A1082" t="str">
        <f t="shared" si="457"/>
        <v>27/11/2025</v>
      </c>
      <c r="B1082" t="str">
        <f t="shared" si="458"/>
        <v>ENTRADA</v>
      </c>
      <c r="C1082" t="str">
        <f t="shared" si="459"/>
        <v>NFSE</v>
      </c>
      <c r="D1082" t="str">
        <f t="shared" si="465"/>
        <v>3894</v>
      </c>
      <c r="E1082" t="str">
        <f t="shared" si="460"/>
        <v>COM</v>
      </c>
      <c r="F1082" t="str">
        <f t="shared" si="466"/>
        <v>PENSE FARMA 36 (10206)</v>
      </c>
      <c r="G1082" t="str">
        <f t="shared" si="467"/>
        <v>Serv.Prest. 17/11/2025 a 23/11/2025 - RPS: 1657 - NFSe: 3894</v>
      </c>
      <c r="H1082" t="str">
        <f t="shared" si="456"/>
        <v>26/11/2025</v>
      </c>
      <c r="I1082" t="str">
        <f t="shared" si="464"/>
        <v>24/11/2025</v>
      </c>
      <c r="J1082" t="str">
        <f t="shared" si="461"/>
        <v>27/11/2025</v>
      </c>
      <c r="M1082">
        <v>303</v>
      </c>
      <c r="N1082" t="str">
        <f t="shared" si="462"/>
        <v>RECEITAS COM ENTREGAS</v>
      </c>
      <c r="P1082">
        <v>148.28</v>
      </c>
      <c r="Q1082" t="str">
        <f>"PENSE FARMA 36 (10206)"</f>
        <v>PENSE FARMA 36 (10206)</v>
      </c>
      <c r="R1082" t="str">
        <f t="shared" si="463"/>
        <v>RECEITAS COM ENTREGAS (303)</v>
      </c>
      <c r="S1082">
        <v>3360</v>
      </c>
      <c r="T1082">
        <v>2805</v>
      </c>
      <c r="U1082" t="s">
        <v>21</v>
      </c>
    </row>
    <row r="1083" spans="1:21">
      <c r="A1083" t="str">
        <f t="shared" si="457"/>
        <v>27/11/2025</v>
      </c>
      <c r="B1083" t="str">
        <f t="shared" si="458"/>
        <v>ENTRADA</v>
      </c>
      <c r="C1083" t="str">
        <f t="shared" si="459"/>
        <v>NFSE</v>
      </c>
      <c r="D1083" t="str">
        <f t="shared" si="465"/>
        <v>3894</v>
      </c>
      <c r="E1083" t="str">
        <f t="shared" si="460"/>
        <v>COM</v>
      </c>
      <c r="F1083" t="str">
        <f t="shared" si="466"/>
        <v>PENSE FARMA 36 (10206)</v>
      </c>
      <c r="G1083" t="str">
        <f t="shared" si="467"/>
        <v>Serv.Prest. 17/11/2025 a 23/11/2025 - RPS: 1657 - NFSe: 3894</v>
      </c>
      <c r="H1083" t="str">
        <f t="shared" si="456"/>
        <v>26/11/2025</v>
      </c>
      <c r="I1083" t="str">
        <f t="shared" si="464"/>
        <v>24/11/2025</v>
      </c>
      <c r="J1083" t="str">
        <f t="shared" si="461"/>
        <v>27/11/2025</v>
      </c>
      <c r="M1083">
        <v>303</v>
      </c>
      <c r="N1083" t="str">
        <f t="shared" si="462"/>
        <v>RECEITAS COM ENTREGAS</v>
      </c>
      <c r="P1083">
        <v>148.28</v>
      </c>
      <c r="Q1083" t="str">
        <f>"PENSE FARMA 40 (10207)"</f>
        <v>PENSE FARMA 40 (10207)</v>
      </c>
      <c r="R1083" t="str">
        <f t="shared" si="463"/>
        <v>RECEITAS COM ENTREGAS (303)</v>
      </c>
      <c r="S1083">
        <v>3360</v>
      </c>
      <c r="T1083">
        <v>2805</v>
      </c>
      <c r="U1083" t="s">
        <v>21</v>
      </c>
    </row>
    <row r="1084" spans="1:21">
      <c r="A1084" t="str">
        <f t="shared" ref="A1084:A1115" si="468">("27/11/2025")</f>
        <v>27/11/2025</v>
      </c>
      <c r="B1084" t="str">
        <f t="shared" ref="B1084:B1115" si="469">"ENTRADA"</f>
        <v>ENTRADA</v>
      </c>
      <c r="C1084" t="str">
        <f t="shared" ref="C1084:C1115" si="470">"NFSE"</f>
        <v>NFSE</v>
      </c>
      <c r="D1084" t="str">
        <f t="shared" si="465"/>
        <v>3894</v>
      </c>
      <c r="E1084" t="str">
        <f t="shared" ref="E1084:E1115" si="471">"COM"</f>
        <v>COM</v>
      </c>
      <c r="F1084" t="str">
        <f t="shared" si="466"/>
        <v>PENSE FARMA 36 (10206)</v>
      </c>
      <c r="G1084" t="str">
        <f t="shared" si="467"/>
        <v>Serv.Prest. 17/11/2025 a 23/11/2025 - RPS: 1657 - NFSe: 3894</v>
      </c>
      <c r="H1084" t="str">
        <f t="shared" si="456"/>
        <v>26/11/2025</v>
      </c>
      <c r="I1084" t="str">
        <f t="shared" si="464"/>
        <v>24/11/2025</v>
      </c>
      <c r="J1084" t="str">
        <f t="shared" ref="J1084:J1115" si="472">("27/11/2025")</f>
        <v>27/11/2025</v>
      </c>
      <c r="M1084">
        <v>303</v>
      </c>
      <c r="N1084" t="str">
        <f t="shared" ref="N1084:N1115" si="473">"RECEITAS COM ENTREGAS"</f>
        <v>RECEITAS COM ENTREGAS</v>
      </c>
      <c r="P1084">
        <v>148.28</v>
      </c>
      <c r="Q1084" t="str">
        <f>"PENSE FARMA 43 (10208)"</f>
        <v>PENSE FARMA 43 (10208)</v>
      </c>
      <c r="R1084" t="str">
        <f t="shared" ref="R1084:R1115" si="474">"RECEITAS COM ENTREGAS (303)"</f>
        <v>RECEITAS COM ENTREGAS (303)</v>
      </c>
      <c r="S1084">
        <v>3360</v>
      </c>
      <c r="T1084">
        <v>2805</v>
      </c>
      <c r="U1084" t="s">
        <v>21</v>
      </c>
    </row>
    <row r="1085" spans="1:21">
      <c r="A1085" t="str">
        <f t="shared" si="468"/>
        <v>27/11/2025</v>
      </c>
      <c r="B1085" t="str">
        <f t="shared" si="469"/>
        <v>ENTRADA</v>
      </c>
      <c r="C1085" t="str">
        <f t="shared" si="470"/>
        <v>NFSE</v>
      </c>
      <c r="D1085" t="str">
        <f t="shared" si="465"/>
        <v>3894</v>
      </c>
      <c r="E1085" t="str">
        <f t="shared" si="471"/>
        <v>COM</v>
      </c>
      <c r="F1085" t="str">
        <f t="shared" si="466"/>
        <v>PENSE FARMA 36 (10206)</v>
      </c>
      <c r="G1085" t="str">
        <f t="shared" si="467"/>
        <v>Serv.Prest. 17/11/2025 a 23/11/2025 - RPS: 1657 - NFSe: 3894</v>
      </c>
      <c r="H1085" t="str">
        <f t="shared" si="456"/>
        <v>26/11/2025</v>
      </c>
      <c r="I1085" t="str">
        <f t="shared" si="464"/>
        <v>24/11/2025</v>
      </c>
      <c r="J1085" t="str">
        <f t="shared" si="472"/>
        <v>27/11/2025</v>
      </c>
      <c r="M1085">
        <v>303</v>
      </c>
      <c r="N1085" t="str">
        <f t="shared" si="473"/>
        <v>RECEITAS COM ENTREGAS</v>
      </c>
      <c r="P1085">
        <v>148.28</v>
      </c>
      <c r="Q1085" t="str">
        <f>"PENSE FARMA 59 (10211)"</f>
        <v>PENSE FARMA 59 (10211)</v>
      </c>
      <c r="R1085" t="str">
        <f t="shared" si="474"/>
        <v>RECEITAS COM ENTREGAS (303)</v>
      </c>
      <c r="S1085">
        <v>3360</v>
      </c>
      <c r="T1085">
        <v>2805</v>
      </c>
      <c r="U1085" t="s">
        <v>21</v>
      </c>
    </row>
    <row r="1086" spans="1:21">
      <c r="A1086" t="str">
        <f t="shared" si="468"/>
        <v>27/11/2025</v>
      </c>
      <c r="B1086" t="str">
        <f t="shared" si="469"/>
        <v>ENTRADA</v>
      </c>
      <c r="C1086" t="str">
        <f t="shared" si="470"/>
        <v>NFSE</v>
      </c>
      <c r="D1086" t="str">
        <f t="shared" si="465"/>
        <v>3894</v>
      </c>
      <c r="E1086" t="str">
        <f t="shared" si="471"/>
        <v>COM</v>
      </c>
      <c r="F1086" t="str">
        <f t="shared" si="466"/>
        <v>PENSE FARMA 36 (10206)</v>
      </c>
      <c r="G1086" t="str">
        <f t="shared" si="467"/>
        <v>Serv.Prest. 17/11/2025 a 23/11/2025 - RPS: 1657 - NFSe: 3894</v>
      </c>
      <c r="H1086" t="str">
        <f t="shared" si="456"/>
        <v>26/11/2025</v>
      </c>
      <c r="I1086" t="str">
        <f t="shared" si="464"/>
        <v>24/11/2025</v>
      </c>
      <c r="J1086" t="str">
        <f t="shared" si="472"/>
        <v>27/11/2025</v>
      </c>
      <c r="M1086">
        <v>303</v>
      </c>
      <c r="N1086" t="str">
        <f t="shared" si="473"/>
        <v>RECEITAS COM ENTREGAS</v>
      </c>
      <c r="P1086">
        <v>152.93</v>
      </c>
      <c r="Q1086" t="str">
        <f>"PENSE FARMA DARK STORE 361 (10212)"</f>
        <v>PENSE FARMA DARK STORE 361 (10212)</v>
      </c>
      <c r="R1086" t="str">
        <f t="shared" si="474"/>
        <v>RECEITAS COM ENTREGAS (303)</v>
      </c>
      <c r="S1086">
        <v>3360</v>
      </c>
      <c r="T1086">
        <v>2805</v>
      </c>
      <c r="U1086" t="s">
        <v>21</v>
      </c>
    </row>
    <row r="1087" spans="1:21">
      <c r="A1087" t="str">
        <f t="shared" si="468"/>
        <v>27/11/2025</v>
      </c>
      <c r="B1087" t="str">
        <f t="shared" si="469"/>
        <v>ENTRADA</v>
      </c>
      <c r="C1087" t="str">
        <f t="shared" si="470"/>
        <v>NFSE</v>
      </c>
      <c r="D1087" t="str">
        <f>"3895"</f>
        <v>3895</v>
      </c>
      <c r="E1087" t="str">
        <f t="shared" si="471"/>
        <v>COM</v>
      </c>
      <c r="F1087" t="str">
        <f>"PENSE FARMA 27 (10204)"</f>
        <v>PENSE FARMA 27 (10204)</v>
      </c>
      <c r="G1087" t="str">
        <f>"Serv.Prest. 17/11/2025 a 23/11/2025 - RPS: 1658 - NFSe: 3895"</f>
        <v>Serv.Prest. 17/11/2025 a 23/11/2025 - RPS: 1658 - NFSe: 3895</v>
      </c>
      <c r="H1087" t="str">
        <f t="shared" si="456"/>
        <v>26/11/2025</v>
      </c>
      <c r="I1087" t="str">
        <f t="shared" si="464"/>
        <v>24/11/2025</v>
      </c>
      <c r="J1087" t="str">
        <f t="shared" si="472"/>
        <v>27/11/2025</v>
      </c>
      <c r="K1087">
        <v>577.5</v>
      </c>
      <c r="L1087">
        <v>577.5</v>
      </c>
      <c r="M1087">
        <v>303</v>
      </c>
      <c r="N1087" t="str">
        <f t="shared" si="473"/>
        <v>RECEITAS COM ENTREGAS</v>
      </c>
      <c r="O1087">
        <v>577.5</v>
      </c>
      <c r="R1087" t="str">
        <f t="shared" si="474"/>
        <v>RECEITAS COM ENTREGAS (303)</v>
      </c>
      <c r="S1087">
        <v>3361</v>
      </c>
      <c r="T1087">
        <v>2806</v>
      </c>
      <c r="U1087" t="s">
        <v>21</v>
      </c>
    </row>
    <row r="1088" spans="1:21">
      <c r="A1088" t="str">
        <f t="shared" si="468"/>
        <v>27/11/2025</v>
      </c>
      <c r="B1088" t="str">
        <f t="shared" si="469"/>
        <v>ENTRADA</v>
      </c>
      <c r="C1088" t="str">
        <f t="shared" si="470"/>
        <v>NFSE</v>
      </c>
      <c r="D1088" t="str">
        <f>"3895"</f>
        <v>3895</v>
      </c>
      <c r="E1088" t="str">
        <f t="shared" si="471"/>
        <v>COM</v>
      </c>
      <c r="F1088" t="str">
        <f>"PENSE FARMA 27 (10204)"</f>
        <v>PENSE FARMA 27 (10204)</v>
      </c>
      <c r="G1088" t="str">
        <f>"Serv.Prest. 17/11/2025 a 23/11/2025 - RPS: 1658 - NFSe: 3895"</f>
        <v>Serv.Prest. 17/11/2025 a 23/11/2025 - RPS: 1658 - NFSe: 3895</v>
      </c>
      <c r="H1088" t="str">
        <f t="shared" si="456"/>
        <v>26/11/2025</v>
      </c>
      <c r="I1088" t="str">
        <f t="shared" si="464"/>
        <v>24/11/2025</v>
      </c>
      <c r="J1088" t="str">
        <f t="shared" si="472"/>
        <v>27/11/2025</v>
      </c>
      <c r="M1088">
        <v>303</v>
      </c>
      <c r="N1088" t="str">
        <f t="shared" si="473"/>
        <v>RECEITAS COM ENTREGAS</v>
      </c>
      <c r="P1088">
        <v>192.14</v>
      </c>
      <c r="Q1088" t="str">
        <f>"PENSE FARMA 05 (10200)"</f>
        <v>PENSE FARMA 05 (10200)</v>
      </c>
      <c r="R1088" t="str">
        <f t="shared" si="474"/>
        <v>RECEITAS COM ENTREGAS (303)</v>
      </c>
      <c r="S1088">
        <v>3361</v>
      </c>
      <c r="T1088">
        <v>2806</v>
      </c>
      <c r="U1088" t="s">
        <v>21</v>
      </c>
    </row>
    <row r="1089" spans="1:21">
      <c r="A1089" t="str">
        <f t="shared" si="468"/>
        <v>27/11/2025</v>
      </c>
      <c r="B1089" t="str">
        <f t="shared" si="469"/>
        <v>ENTRADA</v>
      </c>
      <c r="C1089" t="str">
        <f t="shared" si="470"/>
        <v>NFSE</v>
      </c>
      <c r="D1089" t="str">
        <f>"3895"</f>
        <v>3895</v>
      </c>
      <c r="E1089" t="str">
        <f t="shared" si="471"/>
        <v>COM</v>
      </c>
      <c r="F1089" t="str">
        <f>"PENSE FARMA 27 (10204)"</f>
        <v>PENSE FARMA 27 (10204)</v>
      </c>
      <c r="G1089" t="str">
        <f>"Serv.Prest. 17/11/2025 a 23/11/2025 - RPS: 1658 - NFSe: 3895"</f>
        <v>Serv.Prest. 17/11/2025 a 23/11/2025 - RPS: 1658 - NFSe: 3895</v>
      </c>
      <c r="H1089" t="str">
        <f t="shared" si="456"/>
        <v>26/11/2025</v>
      </c>
      <c r="I1089" t="str">
        <f t="shared" si="464"/>
        <v>24/11/2025</v>
      </c>
      <c r="J1089" t="str">
        <f t="shared" si="472"/>
        <v>27/11/2025</v>
      </c>
      <c r="M1089">
        <v>303</v>
      </c>
      <c r="N1089" t="str">
        <f t="shared" si="473"/>
        <v>RECEITAS COM ENTREGAS</v>
      </c>
      <c r="P1089">
        <v>192.13</v>
      </c>
      <c r="Q1089" t="str">
        <f>"PENSE FARMA 13 (10202)"</f>
        <v>PENSE FARMA 13 (10202)</v>
      </c>
      <c r="R1089" t="str">
        <f t="shared" si="474"/>
        <v>RECEITAS COM ENTREGAS (303)</v>
      </c>
      <c r="S1089">
        <v>3361</v>
      </c>
      <c r="T1089">
        <v>2806</v>
      </c>
      <c r="U1089" t="s">
        <v>21</v>
      </c>
    </row>
    <row r="1090" spans="1:21">
      <c r="A1090" t="str">
        <f t="shared" si="468"/>
        <v>27/11/2025</v>
      </c>
      <c r="B1090" t="str">
        <f t="shared" si="469"/>
        <v>ENTRADA</v>
      </c>
      <c r="C1090" t="str">
        <f t="shared" si="470"/>
        <v>NFSE</v>
      </c>
      <c r="D1090" t="str">
        <f>"3895"</f>
        <v>3895</v>
      </c>
      <c r="E1090" t="str">
        <f t="shared" si="471"/>
        <v>COM</v>
      </c>
      <c r="F1090" t="str">
        <f>"PENSE FARMA 27 (10204)"</f>
        <v>PENSE FARMA 27 (10204)</v>
      </c>
      <c r="G1090" t="str">
        <f>"Serv.Prest. 17/11/2025 a 23/11/2025 - RPS: 1658 - NFSe: 3895"</f>
        <v>Serv.Prest. 17/11/2025 a 23/11/2025 - RPS: 1658 - NFSe: 3895</v>
      </c>
      <c r="H1090" t="str">
        <f t="shared" si="456"/>
        <v>26/11/2025</v>
      </c>
      <c r="I1090" t="str">
        <f t="shared" si="464"/>
        <v>24/11/2025</v>
      </c>
      <c r="J1090" t="str">
        <f t="shared" si="472"/>
        <v>27/11/2025</v>
      </c>
      <c r="M1090">
        <v>303</v>
      </c>
      <c r="N1090" t="str">
        <f t="shared" si="473"/>
        <v>RECEITAS COM ENTREGAS</v>
      </c>
      <c r="P1090">
        <v>193.23</v>
      </c>
      <c r="Q1090" t="str">
        <f>"PENSE FARMA 27 (10204)"</f>
        <v>PENSE FARMA 27 (10204)</v>
      </c>
      <c r="R1090" t="str">
        <f t="shared" si="474"/>
        <v>RECEITAS COM ENTREGAS (303)</v>
      </c>
      <c r="S1090">
        <v>3361</v>
      </c>
      <c r="T1090">
        <v>2806</v>
      </c>
      <c r="U1090" t="s">
        <v>21</v>
      </c>
    </row>
    <row r="1091" spans="1:21">
      <c r="A1091" t="str">
        <f t="shared" si="468"/>
        <v>27/11/2025</v>
      </c>
      <c r="B1091" t="str">
        <f t="shared" si="469"/>
        <v>ENTRADA</v>
      </c>
      <c r="C1091" t="str">
        <f t="shared" si="470"/>
        <v>NFSE</v>
      </c>
      <c r="D1091" t="str">
        <f>"3898"</f>
        <v>3898</v>
      </c>
      <c r="E1091" t="str">
        <f t="shared" si="471"/>
        <v>COM</v>
      </c>
      <c r="F1091" t="str">
        <f>"PENSE FARMA 15 (10195)"</f>
        <v>PENSE FARMA 15 (10195)</v>
      </c>
      <c r="G1091" t="str">
        <f>"Serv.Prest. 17/11/2025 a 23/11/2025 - RPS: 1661 - NFSe: 3898"</f>
        <v>Serv.Prest. 17/11/2025 a 23/11/2025 - RPS: 1661 - NFSe: 3898</v>
      </c>
      <c r="H1091" t="str">
        <f t="shared" si="456"/>
        <v>26/11/2025</v>
      </c>
      <c r="I1091" t="str">
        <f t="shared" si="464"/>
        <v>24/11/2025</v>
      </c>
      <c r="J1091" t="str">
        <f t="shared" si="472"/>
        <v>27/11/2025</v>
      </c>
      <c r="K1091">
        <v>642</v>
      </c>
      <c r="L1091">
        <v>642</v>
      </c>
      <c r="M1091">
        <v>303</v>
      </c>
      <c r="N1091" t="str">
        <f t="shared" si="473"/>
        <v>RECEITAS COM ENTREGAS</v>
      </c>
      <c r="O1091">
        <v>642</v>
      </c>
      <c r="R1091" t="str">
        <f t="shared" si="474"/>
        <v>RECEITAS COM ENTREGAS (303)</v>
      </c>
      <c r="S1091">
        <v>3362</v>
      </c>
      <c r="T1091">
        <v>2809</v>
      </c>
      <c r="U1091" t="s">
        <v>21</v>
      </c>
    </row>
    <row r="1092" spans="1:21">
      <c r="A1092" t="str">
        <f t="shared" si="468"/>
        <v>27/11/2025</v>
      </c>
      <c r="B1092" t="str">
        <f t="shared" si="469"/>
        <v>ENTRADA</v>
      </c>
      <c r="C1092" t="str">
        <f t="shared" si="470"/>
        <v>NFSE</v>
      </c>
      <c r="D1092" t="str">
        <f>"3898"</f>
        <v>3898</v>
      </c>
      <c r="E1092" t="str">
        <f t="shared" si="471"/>
        <v>COM</v>
      </c>
      <c r="F1092" t="str">
        <f>"PENSE FARMA 15 (10195)"</f>
        <v>PENSE FARMA 15 (10195)</v>
      </c>
      <c r="G1092" t="str">
        <f>"Serv.Prest. 17/11/2025 a 23/11/2025 - RPS: 1661 - NFSe: 3898"</f>
        <v>Serv.Prest. 17/11/2025 a 23/11/2025 - RPS: 1661 - NFSe: 3898</v>
      </c>
      <c r="H1092" t="str">
        <f t="shared" si="456"/>
        <v>26/11/2025</v>
      </c>
      <c r="I1092" t="str">
        <f t="shared" si="464"/>
        <v>24/11/2025</v>
      </c>
      <c r="J1092" t="str">
        <f t="shared" si="472"/>
        <v>27/11/2025</v>
      </c>
      <c r="M1092">
        <v>303</v>
      </c>
      <c r="N1092" t="str">
        <f t="shared" si="473"/>
        <v>RECEITAS COM ENTREGAS</v>
      </c>
      <c r="P1092">
        <v>160.5</v>
      </c>
      <c r="Q1092" t="str">
        <f>"PENSE FARMA 15 (10195)"</f>
        <v>PENSE FARMA 15 (10195)</v>
      </c>
      <c r="R1092" t="str">
        <f t="shared" si="474"/>
        <v>RECEITAS COM ENTREGAS (303)</v>
      </c>
      <c r="S1092">
        <v>3362</v>
      </c>
      <c r="T1092">
        <v>2809</v>
      </c>
      <c r="U1092" t="s">
        <v>21</v>
      </c>
    </row>
    <row r="1093" spans="1:21">
      <c r="A1093" t="str">
        <f t="shared" si="468"/>
        <v>27/11/2025</v>
      </c>
      <c r="B1093" t="str">
        <f t="shared" si="469"/>
        <v>ENTRADA</v>
      </c>
      <c r="C1093" t="str">
        <f t="shared" si="470"/>
        <v>NFSE</v>
      </c>
      <c r="D1093" t="str">
        <f>"3898"</f>
        <v>3898</v>
      </c>
      <c r="E1093" t="str">
        <f t="shared" si="471"/>
        <v>COM</v>
      </c>
      <c r="F1093" t="str">
        <f>"PENSE FARMA 15 (10195)"</f>
        <v>PENSE FARMA 15 (10195)</v>
      </c>
      <c r="G1093" t="str">
        <f>"Serv.Prest. 17/11/2025 a 23/11/2025 - RPS: 1661 - NFSe: 3898"</f>
        <v>Serv.Prest. 17/11/2025 a 23/11/2025 - RPS: 1661 - NFSe: 3898</v>
      </c>
      <c r="H1093" t="str">
        <f t="shared" si="456"/>
        <v>26/11/2025</v>
      </c>
      <c r="I1093" t="str">
        <f t="shared" si="464"/>
        <v>24/11/2025</v>
      </c>
      <c r="J1093" t="str">
        <f t="shared" si="472"/>
        <v>27/11/2025</v>
      </c>
      <c r="M1093">
        <v>303</v>
      </c>
      <c r="N1093" t="str">
        <f t="shared" si="473"/>
        <v>RECEITAS COM ENTREGAS</v>
      </c>
      <c r="P1093">
        <v>160.5</v>
      </c>
      <c r="Q1093" t="str">
        <f>"PENSE FARMA 26 (10196)"</f>
        <v>PENSE FARMA 26 (10196)</v>
      </c>
      <c r="R1093" t="str">
        <f t="shared" si="474"/>
        <v>RECEITAS COM ENTREGAS (303)</v>
      </c>
      <c r="S1093">
        <v>3362</v>
      </c>
      <c r="T1093">
        <v>2809</v>
      </c>
      <c r="U1093" t="s">
        <v>21</v>
      </c>
    </row>
    <row r="1094" spans="1:21">
      <c r="A1094" t="str">
        <f t="shared" si="468"/>
        <v>27/11/2025</v>
      </c>
      <c r="B1094" t="str">
        <f t="shared" si="469"/>
        <v>ENTRADA</v>
      </c>
      <c r="C1094" t="str">
        <f t="shared" si="470"/>
        <v>NFSE</v>
      </c>
      <c r="D1094" t="str">
        <f>"3898"</f>
        <v>3898</v>
      </c>
      <c r="E1094" t="str">
        <f t="shared" si="471"/>
        <v>COM</v>
      </c>
      <c r="F1094" t="str">
        <f>"PENSE FARMA 15 (10195)"</f>
        <v>PENSE FARMA 15 (10195)</v>
      </c>
      <c r="G1094" t="str">
        <f>"Serv.Prest. 17/11/2025 a 23/11/2025 - RPS: 1661 - NFSe: 3898"</f>
        <v>Serv.Prest. 17/11/2025 a 23/11/2025 - RPS: 1661 - NFSe: 3898</v>
      </c>
      <c r="H1094" t="str">
        <f t="shared" si="456"/>
        <v>26/11/2025</v>
      </c>
      <c r="I1094" t="str">
        <f t="shared" si="464"/>
        <v>24/11/2025</v>
      </c>
      <c r="J1094" t="str">
        <f t="shared" si="472"/>
        <v>27/11/2025</v>
      </c>
      <c r="M1094">
        <v>303</v>
      </c>
      <c r="N1094" t="str">
        <f t="shared" si="473"/>
        <v>RECEITAS COM ENTREGAS</v>
      </c>
      <c r="P1094">
        <v>160.5</v>
      </c>
      <c r="Q1094" t="str">
        <f>"PENSE FARMA 60 (10197)"</f>
        <v>PENSE FARMA 60 (10197)</v>
      </c>
      <c r="R1094" t="str">
        <f t="shared" si="474"/>
        <v>RECEITAS COM ENTREGAS (303)</v>
      </c>
      <c r="S1094">
        <v>3362</v>
      </c>
      <c r="T1094">
        <v>2809</v>
      </c>
      <c r="U1094" t="s">
        <v>21</v>
      </c>
    </row>
    <row r="1095" spans="1:21">
      <c r="A1095" t="str">
        <f t="shared" si="468"/>
        <v>27/11/2025</v>
      </c>
      <c r="B1095" t="str">
        <f t="shared" si="469"/>
        <v>ENTRADA</v>
      </c>
      <c r="C1095" t="str">
        <f t="shared" si="470"/>
        <v>NFSE</v>
      </c>
      <c r="D1095" t="str">
        <f>"3898"</f>
        <v>3898</v>
      </c>
      <c r="E1095" t="str">
        <f t="shared" si="471"/>
        <v>COM</v>
      </c>
      <c r="F1095" t="str">
        <f>"PENSE FARMA 15 (10195)"</f>
        <v>PENSE FARMA 15 (10195)</v>
      </c>
      <c r="G1095" t="str">
        <f>"Serv.Prest. 17/11/2025 a 23/11/2025 - RPS: 1661 - NFSe: 3898"</f>
        <v>Serv.Prest. 17/11/2025 a 23/11/2025 - RPS: 1661 - NFSe: 3898</v>
      </c>
      <c r="H1095" t="str">
        <f t="shared" si="456"/>
        <v>26/11/2025</v>
      </c>
      <c r="I1095" t="str">
        <f t="shared" si="464"/>
        <v>24/11/2025</v>
      </c>
      <c r="J1095" t="str">
        <f t="shared" si="472"/>
        <v>27/11/2025</v>
      </c>
      <c r="M1095">
        <v>303</v>
      </c>
      <c r="N1095" t="str">
        <f t="shared" si="473"/>
        <v>RECEITAS COM ENTREGAS</v>
      </c>
      <c r="P1095">
        <v>160.5</v>
      </c>
      <c r="Q1095" t="str">
        <f>"PENSE FARMA 61 (10243)"</f>
        <v>PENSE FARMA 61 (10243)</v>
      </c>
      <c r="R1095" t="str">
        <f t="shared" si="474"/>
        <v>RECEITAS COM ENTREGAS (303)</v>
      </c>
      <c r="S1095">
        <v>3362</v>
      </c>
      <c r="T1095">
        <v>2809</v>
      </c>
      <c r="U1095" t="s">
        <v>21</v>
      </c>
    </row>
    <row r="1096" spans="1:21">
      <c r="A1096" t="str">
        <f t="shared" si="468"/>
        <v>27/11/2025</v>
      </c>
      <c r="B1096" t="str">
        <f t="shared" si="469"/>
        <v>ENTRADA</v>
      </c>
      <c r="C1096" t="str">
        <f t="shared" si="470"/>
        <v>NFSE</v>
      </c>
      <c r="D1096" t="str">
        <f>"3899"</f>
        <v>3899</v>
      </c>
      <c r="E1096" t="str">
        <f t="shared" si="471"/>
        <v>COM</v>
      </c>
      <c r="F1096" t="str">
        <f>"PENSE FARMA 22 (10198)"</f>
        <v>PENSE FARMA 22 (10198)</v>
      </c>
      <c r="G1096" t="str">
        <f>"Serv.Prest. 17/11/2025 a 23/11/2025 - RPS: 1662 - NFSe: 3899"</f>
        <v>Serv.Prest. 17/11/2025 a 23/11/2025 - RPS: 1662 - NFSe: 3899</v>
      </c>
      <c r="H1096" t="str">
        <f t="shared" si="456"/>
        <v>26/11/2025</v>
      </c>
      <c r="I1096" t="str">
        <f t="shared" si="464"/>
        <v>24/11/2025</v>
      </c>
      <c r="J1096" t="str">
        <f t="shared" si="472"/>
        <v>27/11/2025</v>
      </c>
      <c r="K1096">
        <v>447.99</v>
      </c>
      <c r="L1096">
        <v>447.99</v>
      </c>
      <c r="M1096">
        <v>303</v>
      </c>
      <c r="N1096" t="str">
        <f t="shared" si="473"/>
        <v>RECEITAS COM ENTREGAS</v>
      </c>
      <c r="O1096">
        <v>447.99</v>
      </c>
      <c r="R1096" t="str">
        <f t="shared" si="474"/>
        <v>RECEITAS COM ENTREGAS (303)</v>
      </c>
      <c r="S1096">
        <v>3363</v>
      </c>
      <c r="T1096">
        <v>2810</v>
      </c>
      <c r="U1096" t="s">
        <v>21</v>
      </c>
    </row>
    <row r="1097" spans="1:21">
      <c r="A1097" t="str">
        <f t="shared" si="468"/>
        <v>27/11/2025</v>
      </c>
      <c r="B1097" t="str">
        <f t="shared" si="469"/>
        <v>ENTRADA</v>
      </c>
      <c r="C1097" t="str">
        <f t="shared" si="470"/>
        <v>NFSE</v>
      </c>
      <c r="D1097" t="str">
        <f>"3899"</f>
        <v>3899</v>
      </c>
      <c r="E1097" t="str">
        <f t="shared" si="471"/>
        <v>COM</v>
      </c>
      <c r="F1097" t="str">
        <f>"PENSE FARMA 22 (10198)"</f>
        <v>PENSE FARMA 22 (10198)</v>
      </c>
      <c r="G1097" t="str">
        <f>"Serv.Prest. 17/11/2025 a 23/11/2025 - RPS: 1662 - NFSe: 3899"</f>
        <v>Serv.Prest. 17/11/2025 a 23/11/2025 - RPS: 1662 - NFSe: 3899</v>
      </c>
      <c r="H1097" t="str">
        <f t="shared" si="456"/>
        <v>26/11/2025</v>
      </c>
      <c r="I1097" t="str">
        <f t="shared" si="464"/>
        <v>24/11/2025</v>
      </c>
      <c r="J1097" t="str">
        <f t="shared" si="472"/>
        <v>27/11/2025</v>
      </c>
      <c r="M1097">
        <v>303</v>
      </c>
      <c r="N1097" t="str">
        <f t="shared" si="473"/>
        <v>RECEITAS COM ENTREGAS</v>
      </c>
      <c r="P1097">
        <v>447.99</v>
      </c>
      <c r="Q1097" t="str">
        <f>"PENSE FARMA 22 (10198)"</f>
        <v>PENSE FARMA 22 (10198)</v>
      </c>
      <c r="R1097" t="str">
        <f t="shared" si="474"/>
        <v>RECEITAS COM ENTREGAS (303)</v>
      </c>
      <c r="S1097">
        <v>3363</v>
      </c>
      <c r="T1097">
        <v>2810</v>
      </c>
      <c r="U1097" t="s">
        <v>21</v>
      </c>
    </row>
    <row r="1098" spans="1:21">
      <c r="A1098" t="str">
        <f t="shared" si="468"/>
        <v>27/11/2025</v>
      </c>
      <c r="B1098" t="str">
        <f t="shared" si="469"/>
        <v>ENTRADA</v>
      </c>
      <c r="C1098" t="str">
        <f t="shared" si="470"/>
        <v>NFSE</v>
      </c>
      <c r="D1098" t="str">
        <f>"3901"</f>
        <v>3901</v>
      </c>
      <c r="E1098" t="str">
        <f t="shared" si="471"/>
        <v>COM</v>
      </c>
      <c r="F1098" t="str">
        <f>"DROGARIA MEDIC CENTER LTDA (10172)"</f>
        <v>DROGARIA MEDIC CENTER LTDA (10172)</v>
      </c>
      <c r="G1098" t="str">
        <f>"Serv.Prest. 17/11/2025 a 23/11/2025 - RPS: 1664 - NFSe: 3901"</f>
        <v>Serv.Prest. 17/11/2025 a 23/11/2025 - RPS: 1664 - NFSe: 3901</v>
      </c>
      <c r="H1098" t="str">
        <f t="shared" si="456"/>
        <v>26/11/2025</v>
      </c>
      <c r="I1098" t="str">
        <f t="shared" si="464"/>
        <v>24/11/2025</v>
      </c>
      <c r="J1098" t="str">
        <f t="shared" si="472"/>
        <v>27/11/2025</v>
      </c>
      <c r="K1098">
        <v>99.9</v>
      </c>
      <c r="L1098">
        <v>99.9</v>
      </c>
      <c r="M1098">
        <v>303</v>
      </c>
      <c r="N1098" t="str">
        <f t="shared" si="473"/>
        <v>RECEITAS COM ENTREGAS</v>
      </c>
      <c r="O1098">
        <v>99.9</v>
      </c>
      <c r="R1098" t="str">
        <f t="shared" si="474"/>
        <v>RECEITAS COM ENTREGAS (303)</v>
      </c>
      <c r="S1098">
        <v>3364</v>
      </c>
      <c r="T1098">
        <v>2812</v>
      </c>
      <c r="U1098" t="s">
        <v>21</v>
      </c>
    </row>
    <row r="1099" spans="1:21">
      <c r="A1099" t="str">
        <f t="shared" si="468"/>
        <v>27/11/2025</v>
      </c>
      <c r="B1099" t="str">
        <f t="shared" si="469"/>
        <v>ENTRADA</v>
      </c>
      <c r="C1099" t="str">
        <f t="shared" si="470"/>
        <v>NFSE</v>
      </c>
      <c r="D1099" t="str">
        <f>"3901"</f>
        <v>3901</v>
      </c>
      <c r="E1099" t="str">
        <f t="shared" si="471"/>
        <v>COM</v>
      </c>
      <c r="F1099" t="str">
        <f>"DROGARIA MEDIC CENTER LTDA (10172)"</f>
        <v>DROGARIA MEDIC CENTER LTDA (10172)</v>
      </c>
      <c r="G1099" t="str">
        <f>"Serv.Prest. 17/11/2025 a 23/11/2025 - RPS: 1664 - NFSe: 3901"</f>
        <v>Serv.Prest. 17/11/2025 a 23/11/2025 - RPS: 1664 - NFSe: 3901</v>
      </c>
      <c r="H1099" t="str">
        <f t="shared" si="456"/>
        <v>26/11/2025</v>
      </c>
      <c r="I1099" t="str">
        <f t="shared" si="464"/>
        <v>24/11/2025</v>
      </c>
      <c r="J1099" t="str">
        <f t="shared" si="472"/>
        <v>27/11/2025</v>
      </c>
      <c r="M1099">
        <v>303</v>
      </c>
      <c r="N1099" t="str">
        <f t="shared" si="473"/>
        <v>RECEITAS COM ENTREGAS</v>
      </c>
      <c r="P1099">
        <v>99.9</v>
      </c>
      <c r="Q1099" t="str">
        <f>"DROGARIA MEDIC CENTER LTDA (10172)"</f>
        <v>DROGARIA MEDIC CENTER LTDA (10172)</v>
      </c>
      <c r="R1099" t="str">
        <f t="shared" si="474"/>
        <v>RECEITAS COM ENTREGAS (303)</v>
      </c>
      <c r="S1099">
        <v>3364</v>
      </c>
      <c r="T1099">
        <v>2812</v>
      </c>
      <c r="U1099" t="s">
        <v>21</v>
      </c>
    </row>
    <row r="1100" spans="1:21">
      <c r="A1100" t="str">
        <f t="shared" si="468"/>
        <v>27/11/2025</v>
      </c>
      <c r="B1100" t="str">
        <f t="shared" si="469"/>
        <v>ENTRADA</v>
      </c>
      <c r="C1100" t="str">
        <f t="shared" si="470"/>
        <v>NFSE</v>
      </c>
      <c r="D1100" t="str">
        <f>"3902"</f>
        <v>3902</v>
      </c>
      <c r="E1100" t="str">
        <f t="shared" si="471"/>
        <v>COM</v>
      </c>
      <c r="F1100" t="str">
        <f>"DROGARIA TOTAL JUNDIAI (10177)"</f>
        <v>DROGARIA TOTAL JUNDIAI (10177)</v>
      </c>
      <c r="G1100" t="str">
        <f>"Serv.Prest. 17/11/2025 a 23/11/2025 - RPS: 1665 - NFSe: 3902"</f>
        <v>Serv.Prest. 17/11/2025 a 23/11/2025 - RPS: 1665 - NFSe: 3902</v>
      </c>
      <c r="H1100" t="str">
        <f t="shared" si="456"/>
        <v>26/11/2025</v>
      </c>
      <c r="I1100" t="str">
        <f t="shared" si="464"/>
        <v>24/11/2025</v>
      </c>
      <c r="J1100" t="str">
        <f t="shared" si="472"/>
        <v>27/11/2025</v>
      </c>
      <c r="K1100">
        <v>100.27</v>
      </c>
      <c r="L1100">
        <v>100.27</v>
      </c>
      <c r="M1100">
        <v>303</v>
      </c>
      <c r="N1100" t="str">
        <f t="shared" si="473"/>
        <v>RECEITAS COM ENTREGAS</v>
      </c>
      <c r="O1100">
        <v>100.27</v>
      </c>
      <c r="R1100" t="str">
        <f t="shared" si="474"/>
        <v>RECEITAS COM ENTREGAS (303)</v>
      </c>
      <c r="S1100">
        <v>3365</v>
      </c>
      <c r="T1100">
        <v>2813</v>
      </c>
      <c r="U1100" t="s">
        <v>21</v>
      </c>
    </row>
    <row r="1101" spans="1:21">
      <c r="A1101" t="str">
        <f t="shared" si="468"/>
        <v>27/11/2025</v>
      </c>
      <c r="B1101" t="str">
        <f t="shared" si="469"/>
        <v>ENTRADA</v>
      </c>
      <c r="C1101" t="str">
        <f t="shared" si="470"/>
        <v>NFSE</v>
      </c>
      <c r="D1101" t="str">
        <f>"3902"</f>
        <v>3902</v>
      </c>
      <c r="E1101" t="str">
        <f t="shared" si="471"/>
        <v>COM</v>
      </c>
      <c r="F1101" t="str">
        <f>"DROGARIA TOTAL JUNDIAI (10177)"</f>
        <v>DROGARIA TOTAL JUNDIAI (10177)</v>
      </c>
      <c r="G1101" t="str">
        <f>"Serv.Prest. 17/11/2025 a 23/11/2025 - RPS: 1665 - NFSe: 3902"</f>
        <v>Serv.Prest. 17/11/2025 a 23/11/2025 - RPS: 1665 - NFSe: 3902</v>
      </c>
      <c r="H1101" t="str">
        <f t="shared" si="456"/>
        <v>26/11/2025</v>
      </c>
      <c r="I1101" t="str">
        <f t="shared" si="464"/>
        <v>24/11/2025</v>
      </c>
      <c r="J1101" t="str">
        <f t="shared" si="472"/>
        <v>27/11/2025</v>
      </c>
      <c r="M1101">
        <v>303</v>
      </c>
      <c r="N1101" t="str">
        <f t="shared" si="473"/>
        <v>RECEITAS COM ENTREGAS</v>
      </c>
      <c r="P1101">
        <v>100.27</v>
      </c>
      <c r="Q1101" t="str">
        <f>"DROGARIA TOTAL JUNDIAI (10177)"</f>
        <v>DROGARIA TOTAL JUNDIAI (10177)</v>
      </c>
      <c r="R1101" t="str">
        <f t="shared" si="474"/>
        <v>RECEITAS COM ENTREGAS (303)</v>
      </c>
      <c r="S1101">
        <v>3365</v>
      </c>
      <c r="T1101">
        <v>2813</v>
      </c>
      <c r="U1101" t="s">
        <v>21</v>
      </c>
    </row>
    <row r="1102" spans="1:21">
      <c r="A1102" t="str">
        <f t="shared" si="468"/>
        <v>27/11/2025</v>
      </c>
      <c r="B1102" t="str">
        <f t="shared" si="469"/>
        <v>ENTRADA</v>
      </c>
      <c r="C1102" t="str">
        <f t="shared" si="470"/>
        <v>NFSE</v>
      </c>
      <c r="D1102" t="str">
        <f>"3905"</f>
        <v>3905</v>
      </c>
      <c r="E1102" t="str">
        <f t="shared" si="471"/>
        <v>COM</v>
      </c>
      <c r="F1102" t="str">
        <f>"JAL FARMACIA E DROGARIA LJ 1 (10137)"</f>
        <v>JAL FARMACIA E DROGARIA LJ 1 (10137)</v>
      </c>
      <c r="G1102" t="str">
        <f>"Serv.Prest. 17/11/2025 a 23/11/2025 - RPS: 1668 - NFSe: 3905"</f>
        <v>Serv.Prest. 17/11/2025 a 23/11/2025 - RPS: 1668 - NFSe: 3905</v>
      </c>
      <c r="H1102" t="str">
        <f t="shared" si="456"/>
        <v>26/11/2025</v>
      </c>
      <c r="I1102" t="str">
        <f t="shared" ref="I1102:I1107" si="475">("25/11/2025")</f>
        <v>25/11/2025</v>
      </c>
      <c r="J1102" t="str">
        <f t="shared" si="472"/>
        <v>27/11/2025</v>
      </c>
      <c r="K1102">
        <v>459</v>
      </c>
      <c r="L1102">
        <v>459</v>
      </c>
      <c r="M1102">
        <v>303</v>
      </c>
      <c r="N1102" t="str">
        <f t="shared" si="473"/>
        <v>RECEITAS COM ENTREGAS</v>
      </c>
      <c r="O1102">
        <v>459</v>
      </c>
      <c r="R1102" t="str">
        <f t="shared" si="474"/>
        <v>RECEITAS COM ENTREGAS (303)</v>
      </c>
      <c r="S1102">
        <v>3366</v>
      </c>
      <c r="T1102">
        <v>2816</v>
      </c>
      <c r="U1102" t="s">
        <v>21</v>
      </c>
    </row>
    <row r="1103" spans="1:21">
      <c r="A1103" t="str">
        <f t="shared" si="468"/>
        <v>27/11/2025</v>
      </c>
      <c r="B1103" t="str">
        <f t="shared" si="469"/>
        <v>ENTRADA</v>
      </c>
      <c r="C1103" t="str">
        <f t="shared" si="470"/>
        <v>NFSE</v>
      </c>
      <c r="D1103" t="str">
        <f>"3905"</f>
        <v>3905</v>
      </c>
      <c r="E1103" t="str">
        <f t="shared" si="471"/>
        <v>COM</v>
      </c>
      <c r="F1103" t="str">
        <f>"JAL FARMACIA E DROGARIA LJ 1 (10137)"</f>
        <v>JAL FARMACIA E DROGARIA LJ 1 (10137)</v>
      </c>
      <c r="G1103" t="str">
        <f>"Serv.Prest. 17/11/2025 a 23/11/2025 - RPS: 1668 - NFSe: 3905"</f>
        <v>Serv.Prest. 17/11/2025 a 23/11/2025 - RPS: 1668 - NFSe: 3905</v>
      </c>
      <c r="H1103" t="str">
        <f t="shared" si="456"/>
        <v>26/11/2025</v>
      </c>
      <c r="I1103" t="str">
        <f t="shared" si="475"/>
        <v>25/11/2025</v>
      </c>
      <c r="J1103" t="str">
        <f t="shared" si="472"/>
        <v>27/11/2025</v>
      </c>
      <c r="M1103">
        <v>303</v>
      </c>
      <c r="N1103" t="str">
        <f t="shared" si="473"/>
        <v>RECEITAS COM ENTREGAS</v>
      </c>
      <c r="P1103">
        <v>459</v>
      </c>
      <c r="Q1103" t="str">
        <f>"JAL FARMACIA E DROGARIA LJ 1 (10137)"</f>
        <v>JAL FARMACIA E DROGARIA LJ 1 (10137)</v>
      </c>
      <c r="R1103" t="str">
        <f t="shared" si="474"/>
        <v>RECEITAS COM ENTREGAS (303)</v>
      </c>
      <c r="S1103">
        <v>3366</v>
      </c>
      <c r="T1103">
        <v>2816</v>
      </c>
      <c r="U1103" t="s">
        <v>21</v>
      </c>
    </row>
    <row r="1104" spans="1:21">
      <c r="A1104" t="str">
        <f t="shared" si="468"/>
        <v>27/11/2025</v>
      </c>
      <c r="B1104" t="str">
        <f t="shared" si="469"/>
        <v>ENTRADA</v>
      </c>
      <c r="C1104" t="str">
        <f t="shared" si="470"/>
        <v>NFSE</v>
      </c>
      <c r="D1104" t="str">
        <f>"3907"</f>
        <v>3907</v>
      </c>
      <c r="E1104" t="str">
        <f t="shared" si="471"/>
        <v>COM</v>
      </c>
      <c r="F1104" t="str">
        <f>"LBL FARMACIA LTDA (10189)"</f>
        <v>LBL FARMACIA LTDA (10189)</v>
      </c>
      <c r="G1104" t="str">
        <f>"Serv.Prest. 17/11/2025 a 23/11/2025 - RPS: 1670 - NFSe: 3907"</f>
        <v>Serv.Prest. 17/11/2025 a 23/11/2025 - RPS: 1670 - NFSe: 3907</v>
      </c>
      <c r="H1104" t="str">
        <f t="shared" si="456"/>
        <v>26/11/2025</v>
      </c>
      <c r="I1104" t="str">
        <f t="shared" si="475"/>
        <v>25/11/2025</v>
      </c>
      <c r="J1104" t="str">
        <f t="shared" si="472"/>
        <v>27/11/2025</v>
      </c>
      <c r="K1104">
        <v>172.2</v>
      </c>
      <c r="L1104">
        <v>172.2</v>
      </c>
      <c r="M1104">
        <v>303</v>
      </c>
      <c r="N1104" t="str">
        <f t="shared" si="473"/>
        <v>RECEITAS COM ENTREGAS</v>
      </c>
      <c r="O1104">
        <v>172.2</v>
      </c>
      <c r="R1104" t="str">
        <f t="shared" si="474"/>
        <v>RECEITAS COM ENTREGAS (303)</v>
      </c>
      <c r="S1104">
        <v>3367</v>
      </c>
      <c r="T1104">
        <v>2818</v>
      </c>
      <c r="U1104" t="s">
        <v>21</v>
      </c>
    </row>
    <row r="1105" spans="1:21">
      <c r="A1105" t="str">
        <f t="shared" si="468"/>
        <v>27/11/2025</v>
      </c>
      <c r="B1105" t="str">
        <f t="shared" si="469"/>
        <v>ENTRADA</v>
      </c>
      <c r="C1105" t="str">
        <f t="shared" si="470"/>
        <v>NFSE</v>
      </c>
      <c r="D1105" t="str">
        <f>"3907"</f>
        <v>3907</v>
      </c>
      <c r="E1105" t="str">
        <f t="shared" si="471"/>
        <v>COM</v>
      </c>
      <c r="F1105" t="str">
        <f>"LBL FARMACIA LTDA (10189)"</f>
        <v>LBL FARMACIA LTDA (10189)</v>
      </c>
      <c r="G1105" t="str">
        <f>"Serv.Prest. 17/11/2025 a 23/11/2025 - RPS: 1670 - NFSe: 3907"</f>
        <v>Serv.Prest. 17/11/2025 a 23/11/2025 - RPS: 1670 - NFSe: 3907</v>
      </c>
      <c r="H1105" t="str">
        <f t="shared" si="456"/>
        <v>26/11/2025</v>
      </c>
      <c r="I1105" t="str">
        <f t="shared" si="475"/>
        <v>25/11/2025</v>
      </c>
      <c r="J1105" t="str">
        <f t="shared" si="472"/>
        <v>27/11/2025</v>
      </c>
      <c r="M1105">
        <v>303</v>
      </c>
      <c r="N1105" t="str">
        <f t="shared" si="473"/>
        <v>RECEITAS COM ENTREGAS</v>
      </c>
      <c r="P1105">
        <v>172.2</v>
      </c>
      <c r="Q1105" t="str">
        <f>"LBL FARMACIA LTDA (10189)"</f>
        <v>LBL FARMACIA LTDA (10189)</v>
      </c>
      <c r="R1105" t="str">
        <f t="shared" si="474"/>
        <v>RECEITAS COM ENTREGAS (303)</v>
      </c>
      <c r="S1105">
        <v>3367</v>
      </c>
      <c r="T1105">
        <v>2818</v>
      </c>
      <c r="U1105" t="s">
        <v>21</v>
      </c>
    </row>
    <row r="1106" spans="1:21">
      <c r="A1106" t="str">
        <f t="shared" si="468"/>
        <v>27/11/2025</v>
      </c>
      <c r="B1106" t="str">
        <f t="shared" si="469"/>
        <v>ENTRADA</v>
      </c>
      <c r="C1106" t="str">
        <f t="shared" si="470"/>
        <v>NFSE</v>
      </c>
      <c r="D1106" t="str">
        <f>"3908"</f>
        <v>3908</v>
      </c>
      <c r="E1106" t="str">
        <f t="shared" si="471"/>
        <v>COM</v>
      </c>
      <c r="F1106" t="str">
        <f>"LBL FARMACIA LTDA FILIAL (10192)"</f>
        <v>LBL FARMACIA LTDA FILIAL (10192)</v>
      </c>
      <c r="G1106" t="str">
        <f>"Serv.Prest. 17/11/2025 a 23/11/2025 - RPS: 1671 - NFSe: 3908"</f>
        <v>Serv.Prest. 17/11/2025 a 23/11/2025 - RPS: 1671 - NFSe: 3908</v>
      </c>
      <c r="H1106" t="str">
        <f t="shared" si="456"/>
        <v>26/11/2025</v>
      </c>
      <c r="I1106" t="str">
        <f t="shared" si="475"/>
        <v>25/11/2025</v>
      </c>
      <c r="J1106" t="str">
        <f t="shared" si="472"/>
        <v>27/11/2025</v>
      </c>
      <c r="K1106">
        <v>226.8</v>
      </c>
      <c r="L1106">
        <v>226.8</v>
      </c>
      <c r="M1106">
        <v>303</v>
      </c>
      <c r="N1106" t="str">
        <f t="shared" si="473"/>
        <v>RECEITAS COM ENTREGAS</v>
      </c>
      <c r="O1106">
        <v>226.8</v>
      </c>
      <c r="R1106" t="str">
        <f t="shared" si="474"/>
        <v>RECEITAS COM ENTREGAS (303)</v>
      </c>
      <c r="S1106">
        <v>3368</v>
      </c>
      <c r="T1106">
        <v>2819</v>
      </c>
      <c r="U1106" t="s">
        <v>21</v>
      </c>
    </row>
    <row r="1107" spans="1:21">
      <c r="A1107" t="str">
        <f t="shared" si="468"/>
        <v>27/11/2025</v>
      </c>
      <c r="B1107" t="str">
        <f t="shared" si="469"/>
        <v>ENTRADA</v>
      </c>
      <c r="C1107" t="str">
        <f t="shared" si="470"/>
        <v>NFSE</v>
      </c>
      <c r="D1107" t="str">
        <f>"3908"</f>
        <v>3908</v>
      </c>
      <c r="E1107" t="str">
        <f t="shared" si="471"/>
        <v>COM</v>
      </c>
      <c r="F1107" t="str">
        <f>"LBL FARMACIA LTDA FILIAL (10192)"</f>
        <v>LBL FARMACIA LTDA FILIAL (10192)</v>
      </c>
      <c r="G1107" t="str">
        <f>"Serv.Prest. 17/11/2025 a 23/11/2025 - RPS: 1671 - NFSe: 3908"</f>
        <v>Serv.Prest. 17/11/2025 a 23/11/2025 - RPS: 1671 - NFSe: 3908</v>
      </c>
      <c r="H1107" t="str">
        <f t="shared" si="456"/>
        <v>26/11/2025</v>
      </c>
      <c r="I1107" t="str">
        <f t="shared" si="475"/>
        <v>25/11/2025</v>
      </c>
      <c r="J1107" t="str">
        <f t="shared" si="472"/>
        <v>27/11/2025</v>
      </c>
      <c r="M1107">
        <v>303</v>
      </c>
      <c r="N1107" t="str">
        <f t="shared" si="473"/>
        <v>RECEITAS COM ENTREGAS</v>
      </c>
      <c r="P1107">
        <v>226.8</v>
      </c>
      <c r="Q1107" t="str">
        <f>"LBL FARMACIA LTDA FILIAL (10192)"</f>
        <v>LBL FARMACIA LTDA FILIAL (10192)</v>
      </c>
      <c r="R1107" t="str">
        <f t="shared" si="474"/>
        <v>RECEITAS COM ENTREGAS (303)</v>
      </c>
      <c r="S1107">
        <v>3368</v>
      </c>
      <c r="T1107">
        <v>2819</v>
      </c>
      <c r="U1107" t="s">
        <v>21</v>
      </c>
    </row>
    <row r="1108" spans="1:21">
      <c r="A1108" t="str">
        <f t="shared" si="468"/>
        <v>27/11/2025</v>
      </c>
      <c r="B1108" t="str">
        <f t="shared" si="469"/>
        <v>ENTRADA</v>
      </c>
      <c r="C1108" t="str">
        <f t="shared" si="470"/>
        <v>NFSE</v>
      </c>
      <c r="D1108" t="str">
        <f>"3864"</f>
        <v>3864</v>
      </c>
      <c r="E1108" t="str">
        <f t="shared" si="471"/>
        <v>COM</v>
      </c>
      <c r="F1108" t="str">
        <f>"AC FARMA - FLEMINFARMA (10160)"</f>
        <v>AC FARMA - FLEMINFARMA (10160)</v>
      </c>
      <c r="G1108" t="str">
        <f>"Serv.Prest. 10/11/2025 a 16/11/2025 - RPS: 1627 - NFSe: 3864"</f>
        <v>Serv.Prest. 10/11/2025 a 16/11/2025 - RPS: 1627 - NFSe: 3864</v>
      </c>
      <c r="H1108" t="str">
        <f t="shared" si="456"/>
        <v>26/11/2025</v>
      </c>
      <c r="I1108" t="str">
        <f>("18/11/2025")</f>
        <v>18/11/2025</v>
      </c>
      <c r="J1108" t="str">
        <f t="shared" si="472"/>
        <v>27/11/2025</v>
      </c>
      <c r="K1108">
        <v>207.9</v>
      </c>
      <c r="L1108">
        <v>207.9</v>
      </c>
      <c r="M1108">
        <v>303</v>
      </c>
      <c r="N1108" t="str">
        <f t="shared" si="473"/>
        <v>RECEITAS COM ENTREGAS</v>
      </c>
      <c r="O1108">
        <v>207.9</v>
      </c>
      <c r="R1108" t="str">
        <f t="shared" si="474"/>
        <v>RECEITAS COM ENTREGAS (303)</v>
      </c>
      <c r="S1108">
        <v>3369</v>
      </c>
      <c r="T1108">
        <v>2736</v>
      </c>
      <c r="U1108" t="s">
        <v>21</v>
      </c>
    </row>
    <row r="1109" spans="1:21">
      <c r="A1109" t="str">
        <f t="shared" si="468"/>
        <v>27/11/2025</v>
      </c>
      <c r="B1109" t="str">
        <f t="shared" si="469"/>
        <v>ENTRADA</v>
      </c>
      <c r="C1109" t="str">
        <f t="shared" si="470"/>
        <v>NFSE</v>
      </c>
      <c r="D1109" t="str">
        <f>"3864"</f>
        <v>3864</v>
      </c>
      <c r="E1109" t="str">
        <f t="shared" si="471"/>
        <v>COM</v>
      </c>
      <c r="F1109" t="str">
        <f>"AC FARMA - FLEMINFARMA (10160)"</f>
        <v>AC FARMA - FLEMINFARMA (10160)</v>
      </c>
      <c r="G1109" t="str">
        <f>"Serv.Prest. 10/11/2025 a 16/11/2025 - RPS: 1627 - NFSe: 3864"</f>
        <v>Serv.Prest. 10/11/2025 a 16/11/2025 - RPS: 1627 - NFSe: 3864</v>
      </c>
      <c r="H1109" t="str">
        <f t="shared" si="456"/>
        <v>26/11/2025</v>
      </c>
      <c r="I1109" t="str">
        <f>("18/11/2025")</f>
        <v>18/11/2025</v>
      </c>
      <c r="J1109" t="str">
        <f t="shared" si="472"/>
        <v>27/11/2025</v>
      </c>
      <c r="M1109">
        <v>303</v>
      </c>
      <c r="N1109" t="str">
        <f t="shared" si="473"/>
        <v>RECEITAS COM ENTREGAS</v>
      </c>
      <c r="P1109">
        <v>201.14</v>
      </c>
      <c r="Q1109" t="str">
        <f>"AC FARMA -  FLEMINFARMA (10159)"</f>
        <v>AC FARMA -  FLEMINFARMA (10159)</v>
      </c>
      <c r="R1109" t="str">
        <f t="shared" si="474"/>
        <v>RECEITAS COM ENTREGAS (303)</v>
      </c>
      <c r="S1109">
        <v>3369</v>
      </c>
      <c r="T1109">
        <v>2736</v>
      </c>
      <c r="U1109" t="s">
        <v>21</v>
      </c>
    </row>
    <row r="1110" spans="1:21">
      <c r="A1110" t="str">
        <f t="shared" si="468"/>
        <v>27/11/2025</v>
      </c>
      <c r="B1110" t="str">
        <f t="shared" si="469"/>
        <v>ENTRADA</v>
      </c>
      <c r="C1110" t="str">
        <f t="shared" si="470"/>
        <v>NFSE</v>
      </c>
      <c r="D1110" t="str">
        <f>"3864"</f>
        <v>3864</v>
      </c>
      <c r="E1110" t="str">
        <f t="shared" si="471"/>
        <v>COM</v>
      </c>
      <c r="F1110" t="str">
        <f>"AC FARMA - FLEMINFARMA (10160)"</f>
        <v>AC FARMA - FLEMINFARMA (10160)</v>
      </c>
      <c r="G1110" t="str">
        <f>"Serv.Prest. 10/11/2025 a 16/11/2025 - RPS: 1627 - NFSe: 3864"</f>
        <v>Serv.Prest. 10/11/2025 a 16/11/2025 - RPS: 1627 - NFSe: 3864</v>
      </c>
      <c r="H1110" t="str">
        <f t="shared" si="456"/>
        <v>26/11/2025</v>
      </c>
      <c r="I1110" t="str">
        <f>("18/11/2025")</f>
        <v>18/11/2025</v>
      </c>
      <c r="J1110" t="str">
        <f t="shared" si="472"/>
        <v>27/11/2025</v>
      </c>
      <c r="M1110">
        <v>303</v>
      </c>
      <c r="N1110" t="str">
        <f t="shared" si="473"/>
        <v>RECEITAS COM ENTREGAS</v>
      </c>
      <c r="P1110">
        <v>6.76</v>
      </c>
      <c r="Q1110" t="str">
        <f>"AC FARMA - FLEMINFARMA (10160)"</f>
        <v>AC FARMA - FLEMINFARMA (10160)</v>
      </c>
      <c r="R1110" t="str">
        <f t="shared" si="474"/>
        <v>RECEITAS COM ENTREGAS (303)</v>
      </c>
      <c r="S1110">
        <v>3369</v>
      </c>
      <c r="T1110">
        <v>2736</v>
      </c>
      <c r="U1110" t="s">
        <v>21</v>
      </c>
    </row>
    <row r="1111" spans="1:21">
      <c r="A1111" t="str">
        <f t="shared" si="468"/>
        <v>27/11/2025</v>
      </c>
      <c r="B1111" t="str">
        <f t="shared" si="469"/>
        <v>ENTRADA</v>
      </c>
      <c r="C1111" t="str">
        <f t="shared" si="470"/>
        <v>NFSE</v>
      </c>
      <c r="D1111" t="str">
        <f>"3886"</f>
        <v>3886</v>
      </c>
      <c r="E1111" t="str">
        <f t="shared" si="471"/>
        <v>COM</v>
      </c>
      <c r="F1111" t="str">
        <f>"PENSE FARMA 49 (10234)"</f>
        <v>PENSE FARMA 49 (10234)</v>
      </c>
      <c r="G1111" t="str">
        <f>"Serv.Prest. 17/11/2025 a 23/11/2025 - RPS: 1649 - NFSe: 3886"</f>
        <v>Serv.Prest. 17/11/2025 a 23/11/2025 - RPS: 1649 - NFSe: 3886</v>
      </c>
      <c r="H1111" t="str">
        <f t="shared" si="456"/>
        <v>26/11/2025</v>
      </c>
      <c r="I1111" t="str">
        <f t="shared" ref="I1111:I1121" si="476">("24/11/2025")</f>
        <v>24/11/2025</v>
      </c>
      <c r="J1111" t="str">
        <f t="shared" si="472"/>
        <v>27/11/2025</v>
      </c>
      <c r="K1111">
        <v>213.43</v>
      </c>
      <c r="L1111">
        <v>213.43</v>
      </c>
      <c r="M1111">
        <v>303</v>
      </c>
      <c r="N1111" t="str">
        <f t="shared" si="473"/>
        <v>RECEITAS COM ENTREGAS</v>
      </c>
      <c r="O1111">
        <v>213.43</v>
      </c>
      <c r="R1111" t="str">
        <f t="shared" si="474"/>
        <v>RECEITAS COM ENTREGAS (303)</v>
      </c>
      <c r="S1111">
        <v>3370</v>
      </c>
      <c r="T1111">
        <v>2797</v>
      </c>
      <c r="U1111" t="s">
        <v>21</v>
      </c>
    </row>
    <row r="1112" spans="1:21">
      <c r="A1112" t="str">
        <f t="shared" si="468"/>
        <v>27/11/2025</v>
      </c>
      <c r="B1112" t="str">
        <f t="shared" si="469"/>
        <v>ENTRADA</v>
      </c>
      <c r="C1112" t="str">
        <f t="shared" si="470"/>
        <v>NFSE</v>
      </c>
      <c r="D1112" t="str">
        <f>"3886"</f>
        <v>3886</v>
      </c>
      <c r="E1112" t="str">
        <f t="shared" si="471"/>
        <v>COM</v>
      </c>
      <c r="F1112" t="str">
        <f>"PENSE FARMA 49 (10234)"</f>
        <v>PENSE FARMA 49 (10234)</v>
      </c>
      <c r="G1112" t="str">
        <f>"Serv.Prest. 17/11/2025 a 23/11/2025 - RPS: 1649 - NFSe: 3886"</f>
        <v>Serv.Prest. 17/11/2025 a 23/11/2025 - RPS: 1649 - NFSe: 3886</v>
      </c>
      <c r="H1112" t="str">
        <f t="shared" ref="H1112:H1123" si="477">("26/11/2025")</f>
        <v>26/11/2025</v>
      </c>
      <c r="I1112" t="str">
        <f t="shared" si="476"/>
        <v>24/11/2025</v>
      </c>
      <c r="J1112" t="str">
        <f t="shared" si="472"/>
        <v>27/11/2025</v>
      </c>
      <c r="M1112">
        <v>303</v>
      </c>
      <c r="N1112" t="str">
        <f t="shared" si="473"/>
        <v>RECEITAS COM ENTREGAS</v>
      </c>
      <c r="P1112">
        <v>213.43</v>
      </c>
      <c r="Q1112" t="str">
        <f>"PENSE FARMA 49 (10234)"</f>
        <v>PENSE FARMA 49 (10234)</v>
      </c>
      <c r="R1112" t="str">
        <f t="shared" si="474"/>
        <v>RECEITAS COM ENTREGAS (303)</v>
      </c>
      <c r="S1112">
        <v>3370</v>
      </c>
      <c r="T1112">
        <v>2797</v>
      </c>
      <c r="U1112" t="s">
        <v>21</v>
      </c>
    </row>
    <row r="1113" spans="1:21">
      <c r="A1113" t="str">
        <f t="shared" si="468"/>
        <v>27/11/2025</v>
      </c>
      <c r="B1113" t="str">
        <f t="shared" si="469"/>
        <v>ENTRADA</v>
      </c>
      <c r="C1113" t="str">
        <f t="shared" si="470"/>
        <v>NFSE</v>
      </c>
      <c r="D1113" t="str">
        <f t="shared" ref="D1113:D1118" si="478">"3891"</f>
        <v>3891</v>
      </c>
      <c r="E1113" t="str">
        <f t="shared" si="471"/>
        <v>COM</v>
      </c>
      <c r="F1113" t="str">
        <f t="shared" ref="F1113:F1118" si="479">"PENSE FARMA 08 (10217)"</f>
        <v>PENSE FARMA 08 (10217)</v>
      </c>
      <c r="G1113" t="str">
        <f t="shared" ref="G1113:G1118" si="480">"Serv.Prest. 17/11/2025 a 23/11/2025 - RPS: 1654 - NFSe: 3891"</f>
        <v>Serv.Prest. 17/11/2025 a 23/11/2025 - RPS: 1654 - NFSe: 3891</v>
      </c>
      <c r="H1113" t="str">
        <f t="shared" si="477"/>
        <v>26/11/2025</v>
      </c>
      <c r="I1113" t="str">
        <f t="shared" si="476"/>
        <v>24/11/2025</v>
      </c>
      <c r="J1113" t="str">
        <f t="shared" si="472"/>
        <v>27/11/2025</v>
      </c>
      <c r="K1113">
        <v>589.5</v>
      </c>
      <c r="L1113">
        <v>589.5</v>
      </c>
      <c r="M1113">
        <v>303</v>
      </c>
      <c r="N1113" t="str">
        <f t="shared" si="473"/>
        <v>RECEITAS COM ENTREGAS</v>
      </c>
      <c r="O1113">
        <v>589.5</v>
      </c>
      <c r="R1113" t="str">
        <f t="shared" si="474"/>
        <v>RECEITAS COM ENTREGAS (303)</v>
      </c>
      <c r="S1113">
        <v>3371</v>
      </c>
      <c r="T1113">
        <v>2802</v>
      </c>
      <c r="U1113" t="s">
        <v>21</v>
      </c>
    </row>
    <row r="1114" spans="1:21">
      <c r="A1114" t="str">
        <f t="shared" si="468"/>
        <v>27/11/2025</v>
      </c>
      <c r="B1114" t="str">
        <f t="shared" si="469"/>
        <v>ENTRADA</v>
      </c>
      <c r="C1114" t="str">
        <f t="shared" si="470"/>
        <v>NFSE</v>
      </c>
      <c r="D1114" t="str">
        <f t="shared" si="478"/>
        <v>3891</v>
      </c>
      <c r="E1114" t="str">
        <f t="shared" si="471"/>
        <v>COM</v>
      </c>
      <c r="F1114" t="str">
        <f t="shared" si="479"/>
        <v>PENSE FARMA 08 (10217)</v>
      </c>
      <c r="G1114" t="str">
        <f t="shared" si="480"/>
        <v>Serv.Prest. 17/11/2025 a 23/11/2025 - RPS: 1654 - NFSe: 3891</v>
      </c>
      <c r="H1114" t="str">
        <f t="shared" si="477"/>
        <v>26/11/2025</v>
      </c>
      <c r="I1114" t="str">
        <f t="shared" si="476"/>
        <v>24/11/2025</v>
      </c>
      <c r="J1114" t="str">
        <f t="shared" si="472"/>
        <v>27/11/2025</v>
      </c>
      <c r="M1114">
        <v>303</v>
      </c>
      <c r="N1114" t="str">
        <f t="shared" si="473"/>
        <v>RECEITAS COM ENTREGAS</v>
      </c>
      <c r="P1114">
        <v>117.9</v>
      </c>
      <c r="Q1114" t="str">
        <f>"PENSE FARMA 08 (10217)"</f>
        <v>PENSE FARMA 08 (10217)</v>
      </c>
      <c r="R1114" t="str">
        <f t="shared" si="474"/>
        <v>RECEITAS COM ENTREGAS (303)</v>
      </c>
      <c r="S1114">
        <v>3371</v>
      </c>
      <c r="T1114">
        <v>2802</v>
      </c>
      <c r="U1114" t="s">
        <v>21</v>
      </c>
    </row>
    <row r="1115" spans="1:21">
      <c r="A1115" t="str">
        <f t="shared" si="468"/>
        <v>27/11/2025</v>
      </c>
      <c r="B1115" t="str">
        <f t="shared" si="469"/>
        <v>ENTRADA</v>
      </c>
      <c r="C1115" t="str">
        <f t="shared" si="470"/>
        <v>NFSE</v>
      </c>
      <c r="D1115" t="str">
        <f t="shared" si="478"/>
        <v>3891</v>
      </c>
      <c r="E1115" t="str">
        <f t="shared" si="471"/>
        <v>COM</v>
      </c>
      <c r="F1115" t="str">
        <f t="shared" si="479"/>
        <v>PENSE FARMA 08 (10217)</v>
      </c>
      <c r="G1115" t="str">
        <f t="shared" si="480"/>
        <v>Serv.Prest. 17/11/2025 a 23/11/2025 - RPS: 1654 - NFSe: 3891</v>
      </c>
      <c r="H1115" t="str">
        <f t="shared" si="477"/>
        <v>26/11/2025</v>
      </c>
      <c r="I1115" t="str">
        <f t="shared" si="476"/>
        <v>24/11/2025</v>
      </c>
      <c r="J1115" t="str">
        <f t="shared" si="472"/>
        <v>27/11/2025</v>
      </c>
      <c r="M1115">
        <v>303</v>
      </c>
      <c r="N1115" t="str">
        <f t="shared" si="473"/>
        <v>RECEITAS COM ENTREGAS</v>
      </c>
      <c r="P1115">
        <v>117.9</v>
      </c>
      <c r="Q1115" t="str">
        <f>"PENSE FARMA 11 (10220)"</f>
        <v>PENSE FARMA 11 (10220)</v>
      </c>
      <c r="R1115" t="str">
        <f t="shared" si="474"/>
        <v>RECEITAS COM ENTREGAS (303)</v>
      </c>
      <c r="S1115">
        <v>3371</v>
      </c>
      <c r="T1115">
        <v>2802</v>
      </c>
      <c r="U1115" t="s">
        <v>21</v>
      </c>
    </row>
    <row r="1116" spans="1:21">
      <c r="A1116" t="str">
        <f t="shared" ref="A1116:A1147" si="481">("27/11/2025")</f>
        <v>27/11/2025</v>
      </c>
      <c r="B1116" t="str">
        <f t="shared" ref="B1116:B1123" si="482">"ENTRADA"</f>
        <v>ENTRADA</v>
      </c>
      <c r="C1116" t="str">
        <f t="shared" ref="C1116:C1123" si="483">"NFSE"</f>
        <v>NFSE</v>
      </c>
      <c r="D1116" t="str">
        <f t="shared" si="478"/>
        <v>3891</v>
      </c>
      <c r="E1116" t="str">
        <f t="shared" ref="E1116:E1123" si="484">"COM"</f>
        <v>COM</v>
      </c>
      <c r="F1116" t="str">
        <f t="shared" si="479"/>
        <v>PENSE FARMA 08 (10217)</v>
      </c>
      <c r="G1116" t="str">
        <f t="shared" si="480"/>
        <v>Serv.Prest. 17/11/2025 a 23/11/2025 - RPS: 1654 - NFSe: 3891</v>
      </c>
      <c r="H1116" t="str">
        <f t="shared" si="477"/>
        <v>26/11/2025</v>
      </c>
      <c r="I1116" t="str">
        <f t="shared" si="476"/>
        <v>24/11/2025</v>
      </c>
      <c r="J1116" t="str">
        <f t="shared" ref="J1116:J1147" si="485">("27/11/2025")</f>
        <v>27/11/2025</v>
      </c>
      <c r="M1116">
        <v>303</v>
      </c>
      <c r="N1116" t="str">
        <f t="shared" ref="N1116:N1123" si="486">"RECEITAS COM ENTREGAS"</f>
        <v>RECEITAS COM ENTREGAS</v>
      </c>
      <c r="P1116">
        <v>117.9</v>
      </c>
      <c r="Q1116" t="str">
        <f>"PENSE FARMA 41 (10229)"</f>
        <v>PENSE FARMA 41 (10229)</v>
      </c>
      <c r="R1116" t="str">
        <f t="shared" ref="R1116:R1123" si="487">"RECEITAS COM ENTREGAS (303)"</f>
        <v>RECEITAS COM ENTREGAS (303)</v>
      </c>
      <c r="S1116">
        <v>3371</v>
      </c>
      <c r="T1116">
        <v>2802</v>
      </c>
      <c r="U1116" t="s">
        <v>21</v>
      </c>
    </row>
    <row r="1117" spans="1:21">
      <c r="A1117" t="str">
        <f t="shared" si="481"/>
        <v>27/11/2025</v>
      </c>
      <c r="B1117" t="str">
        <f t="shared" si="482"/>
        <v>ENTRADA</v>
      </c>
      <c r="C1117" t="str">
        <f t="shared" si="483"/>
        <v>NFSE</v>
      </c>
      <c r="D1117" t="str">
        <f t="shared" si="478"/>
        <v>3891</v>
      </c>
      <c r="E1117" t="str">
        <f t="shared" si="484"/>
        <v>COM</v>
      </c>
      <c r="F1117" t="str">
        <f t="shared" si="479"/>
        <v>PENSE FARMA 08 (10217)</v>
      </c>
      <c r="G1117" t="str">
        <f t="shared" si="480"/>
        <v>Serv.Prest. 17/11/2025 a 23/11/2025 - RPS: 1654 - NFSe: 3891</v>
      </c>
      <c r="H1117" t="str">
        <f t="shared" si="477"/>
        <v>26/11/2025</v>
      </c>
      <c r="I1117" t="str">
        <f t="shared" si="476"/>
        <v>24/11/2025</v>
      </c>
      <c r="J1117" t="str">
        <f t="shared" si="485"/>
        <v>27/11/2025</v>
      </c>
      <c r="M1117">
        <v>303</v>
      </c>
      <c r="N1117" t="str">
        <f t="shared" si="486"/>
        <v>RECEITAS COM ENTREGAS</v>
      </c>
      <c r="P1117">
        <v>117.9</v>
      </c>
      <c r="Q1117" t="str">
        <f>"PENSE FARMA 42 (10230)"</f>
        <v>PENSE FARMA 42 (10230)</v>
      </c>
      <c r="R1117" t="str">
        <f t="shared" si="487"/>
        <v>RECEITAS COM ENTREGAS (303)</v>
      </c>
      <c r="S1117">
        <v>3371</v>
      </c>
      <c r="T1117">
        <v>2802</v>
      </c>
      <c r="U1117" t="s">
        <v>21</v>
      </c>
    </row>
    <row r="1118" spans="1:21">
      <c r="A1118" t="str">
        <f t="shared" si="481"/>
        <v>27/11/2025</v>
      </c>
      <c r="B1118" t="str">
        <f t="shared" si="482"/>
        <v>ENTRADA</v>
      </c>
      <c r="C1118" t="str">
        <f t="shared" si="483"/>
        <v>NFSE</v>
      </c>
      <c r="D1118" t="str">
        <f t="shared" si="478"/>
        <v>3891</v>
      </c>
      <c r="E1118" t="str">
        <f t="shared" si="484"/>
        <v>COM</v>
      </c>
      <c r="F1118" t="str">
        <f t="shared" si="479"/>
        <v>PENSE FARMA 08 (10217)</v>
      </c>
      <c r="G1118" t="str">
        <f t="shared" si="480"/>
        <v>Serv.Prest. 17/11/2025 a 23/11/2025 - RPS: 1654 - NFSe: 3891</v>
      </c>
      <c r="H1118" t="str">
        <f t="shared" si="477"/>
        <v>26/11/2025</v>
      </c>
      <c r="I1118" t="str">
        <f t="shared" si="476"/>
        <v>24/11/2025</v>
      </c>
      <c r="J1118" t="str">
        <f t="shared" si="485"/>
        <v>27/11/2025</v>
      </c>
      <c r="M1118">
        <v>303</v>
      </c>
      <c r="N1118" t="str">
        <f t="shared" si="486"/>
        <v>RECEITAS COM ENTREGAS</v>
      </c>
      <c r="P1118">
        <v>117.9</v>
      </c>
      <c r="Q1118" t="str">
        <f>"PENSE FARMA 52 (10236)"</f>
        <v>PENSE FARMA 52 (10236)</v>
      </c>
      <c r="R1118" t="str">
        <f t="shared" si="487"/>
        <v>RECEITAS COM ENTREGAS (303)</v>
      </c>
      <c r="S1118">
        <v>3371</v>
      </c>
      <c r="T1118">
        <v>2802</v>
      </c>
      <c r="U1118" t="s">
        <v>21</v>
      </c>
    </row>
    <row r="1119" spans="1:21">
      <c r="A1119" t="str">
        <f t="shared" si="481"/>
        <v>27/11/2025</v>
      </c>
      <c r="B1119" t="str">
        <f t="shared" si="482"/>
        <v>ENTRADA</v>
      </c>
      <c r="C1119" t="str">
        <f t="shared" si="483"/>
        <v>NFSE</v>
      </c>
      <c r="D1119" t="str">
        <f>"3892"</f>
        <v>3892</v>
      </c>
      <c r="E1119" t="str">
        <f t="shared" si="484"/>
        <v>COM</v>
      </c>
      <c r="F1119" t="str">
        <f>"PENSE FARMA 09 (10218)"</f>
        <v>PENSE FARMA 09 (10218)</v>
      </c>
      <c r="G1119" t="str">
        <f>"Serv.Prest. 17/11/2025 a 23/11/2025 - RPS: 1655 - NFSe: 3892"</f>
        <v>Serv.Prest. 17/11/2025 a 23/11/2025 - RPS: 1655 - NFSe: 3892</v>
      </c>
      <c r="H1119" t="str">
        <f t="shared" si="477"/>
        <v>26/11/2025</v>
      </c>
      <c r="I1119" t="str">
        <f t="shared" si="476"/>
        <v>24/11/2025</v>
      </c>
      <c r="J1119" t="str">
        <f t="shared" si="485"/>
        <v>27/11/2025</v>
      </c>
      <c r="K1119">
        <v>336.54</v>
      </c>
      <c r="L1119">
        <v>336.54</v>
      </c>
      <c r="M1119">
        <v>303</v>
      </c>
      <c r="N1119" t="str">
        <f t="shared" si="486"/>
        <v>RECEITAS COM ENTREGAS</v>
      </c>
      <c r="O1119">
        <v>336.54</v>
      </c>
      <c r="R1119" t="str">
        <f t="shared" si="487"/>
        <v>RECEITAS COM ENTREGAS (303)</v>
      </c>
      <c r="S1119">
        <v>3372</v>
      </c>
      <c r="T1119">
        <v>2803</v>
      </c>
      <c r="U1119" t="s">
        <v>21</v>
      </c>
    </row>
    <row r="1120" spans="1:21">
      <c r="A1120" t="str">
        <f t="shared" si="481"/>
        <v>27/11/2025</v>
      </c>
      <c r="B1120" t="str">
        <f t="shared" si="482"/>
        <v>ENTRADA</v>
      </c>
      <c r="C1120" t="str">
        <f t="shared" si="483"/>
        <v>NFSE</v>
      </c>
      <c r="D1120" t="str">
        <f>"3892"</f>
        <v>3892</v>
      </c>
      <c r="E1120" t="str">
        <f t="shared" si="484"/>
        <v>COM</v>
      </c>
      <c r="F1120" t="str">
        <f>"PENSE FARMA 09 (10218)"</f>
        <v>PENSE FARMA 09 (10218)</v>
      </c>
      <c r="G1120" t="str">
        <f>"Serv.Prest. 17/11/2025 a 23/11/2025 - RPS: 1655 - NFSe: 3892"</f>
        <v>Serv.Prest. 17/11/2025 a 23/11/2025 - RPS: 1655 - NFSe: 3892</v>
      </c>
      <c r="H1120" t="str">
        <f t="shared" si="477"/>
        <v>26/11/2025</v>
      </c>
      <c r="I1120" t="str">
        <f t="shared" si="476"/>
        <v>24/11/2025</v>
      </c>
      <c r="J1120" t="str">
        <f t="shared" si="485"/>
        <v>27/11/2025</v>
      </c>
      <c r="M1120">
        <v>303</v>
      </c>
      <c r="N1120" t="str">
        <f t="shared" si="486"/>
        <v>RECEITAS COM ENTREGAS</v>
      </c>
      <c r="P1120">
        <v>168.27</v>
      </c>
      <c r="Q1120" t="str">
        <f>"PENSE FARMA 09 (10218)"</f>
        <v>PENSE FARMA 09 (10218)</v>
      </c>
      <c r="R1120" t="str">
        <f t="shared" si="487"/>
        <v>RECEITAS COM ENTREGAS (303)</v>
      </c>
      <c r="S1120">
        <v>3372</v>
      </c>
      <c r="T1120">
        <v>2803</v>
      </c>
      <c r="U1120" t="s">
        <v>21</v>
      </c>
    </row>
    <row r="1121" spans="1:21">
      <c r="A1121" t="str">
        <f t="shared" si="481"/>
        <v>27/11/2025</v>
      </c>
      <c r="B1121" t="str">
        <f t="shared" si="482"/>
        <v>ENTRADA</v>
      </c>
      <c r="C1121" t="str">
        <f t="shared" si="483"/>
        <v>NFSE</v>
      </c>
      <c r="D1121" t="str">
        <f>"3892"</f>
        <v>3892</v>
      </c>
      <c r="E1121" t="str">
        <f t="shared" si="484"/>
        <v>COM</v>
      </c>
      <c r="F1121" t="str">
        <f>"PENSE FARMA 09 (10218)"</f>
        <v>PENSE FARMA 09 (10218)</v>
      </c>
      <c r="G1121" t="str">
        <f>"Serv.Prest. 17/11/2025 a 23/11/2025 - RPS: 1655 - NFSe: 3892"</f>
        <v>Serv.Prest. 17/11/2025 a 23/11/2025 - RPS: 1655 - NFSe: 3892</v>
      </c>
      <c r="H1121" t="str">
        <f t="shared" si="477"/>
        <v>26/11/2025</v>
      </c>
      <c r="I1121" t="str">
        <f t="shared" si="476"/>
        <v>24/11/2025</v>
      </c>
      <c r="J1121" t="str">
        <f t="shared" si="485"/>
        <v>27/11/2025</v>
      </c>
      <c r="M1121">
        <v>303</v>
      </c>
      <c r="N1121" t="str">
        <f t="shared" si="486"/>
        <v>RECEITAS COM ENTREGAS</v>
      </c>
      <c r="P1121">
        <v>168.27</v>
      </c>
      <c r="Q1121" t="str">
        <f>"PENSE FARMA 10 (10219)"</f>
        <v>PENSE FARMA 10 (10219)</v>
      </c>
      <c r="R1121" t="str">
        <f t="shared" si="487"/>
        <v>RECEITAS COM ENTREGAS (303)</v>
      </c>
      <c r="S1121">
        <v>3372</v>
      </c>
      <c r="T1121">
        <v>2803</v>
      </c>
      <c r="U1121" t="s">
        <v>21</v>
      </c>
    </row>
    <row r="1122" spans="1:21">
      <c r="A1122" t="str">
        <f t="shared" si="481"/>
        <v>27/11/2025</v>
      </c>
      <c r="B1122" t="str">
        <f t="shared" si="482"/>
        <v>ENTRADA</v>
      </c>
      <c r="C1122" t="str">
        <f t="shared" si="483"/>
        <v>NFSE</v>
      </c>
      <c r="D1122" t="str">
        <f>"3909"</f>
        <v>3909</v>
      </c>
      <c r="E1122" t="str">
        <f t="shared" si="484"/>
        <v>COM</v>
      </c>
      <c r="F1122" t="str">
        <f>"FARMACIA ECONOMIZE (10103)"</f>
        <v>FARMACIA ECONOMIZE (10103)</v>
      </c>
      <c r="G1122" t="str">
        <f>"Serv.Prest. 17/11/2025 a 23/11/2025 - RPS: 1672 - NFSe: 3909"</f>
        <v>Serv.Prest. 17/11/2025 a 23/11/2025 - RPS: 1672 - NFSe: 3909</v>
      </c>
      <c r="H1122" t="str">
        <f t="shared" si="477"/>
        <v>26/11/2025</v>
      </c>
      <c r="I1122" t="str">
        <f>("25/11/2025")</f>
        <v>25/11/2025</v>
      </c>
      <c r="J1122" t="str">
        <f t="shared" si="485"/>
        <v>27/11/2025</v>
      </c>
      <c r="K1122">
        <v>23.92</v>
      </c>
      <c r="L1122">
        <v>23.92</v>
      </c>
      <c r="M1122">
        <v>303</v>
      </c>
      <c r="N1122" t="str">
        <f t="shared" si="486"/>
        <v>RECEITAS COM ENTREGAS</v>
      </c>
      <c r="O1122">
        <v>23.92</v>
      </c>
      <c r="R1122" t="str">
        <f t="shared" si="487"/>
        <v>RECEITAS COM ENTREGAS (303)</v>
      </c>
      <c r="S1122">
        <v>3373</v>
      </c>
      <c r="T1122">
        <v>2820</v>
      </c>
      <c r="U1122" t="s">
        <v>21</v>
      </c>
    </row>
    <row r="1123" spans="1:21">
      <c r="A1123" t="str">
        <f t="shared" si="481"/>
        <v>27/11/2025</v>
      </c>
      <c r="B1123" t="str">
        <f t="shared" si="482"/>
        <v>ENTRADA</v>
      </c>
      <c r="C1123" t="str">
        <f t="shared" si="483"/>
        <v>NFSE</v>
      </c>
      <c r="D1123" t="str">
        <f>"3909"</f>
        <v>3909</v>
      </c>
      <c r="E1123" t="str">
        <f t="shared" si="484"/>
        <v>COM</v>
      </c>
      <c r="F1123" t="str">
        <f>"FARMACIA ECONOMIZE (10103)"</f>
        <v>FARMACIA ECONOMIZE (10103)</v>
      </c>
      <c r="G1123" t="str">
        <f>"Serv.Prest. 17/11/2025 a 23/11/2025 - RPS: 1672 - NFSe: 3909"</f>
        <v>Serv.Prest. 17/11/2025 a 23/11/2025 - RPS: 1672 - NFSe: 3909</v>
      </c>
      <c r="H1123" t="str">
        <f t="shared" si="477"/>
        <v>26/11/2025</v>
      </c>
      <c r="I1123" t="str">
        <f>("25/11/2025")</f>
        <v>25/11/2025</v>
      </c>
      <c r="J1123" t="str">
        <f t="shared" si="485"/>
        <v>27/11/2025</v>
      </c>
      <c r="M1123">
        <v>303</v>
      </c>
      <c r="N1123" t="str">
        <f t="shared" si="486"/>
        <v>RECEITAS COM ENTREGAS</v>
      </c>
      <c r="P1123">
        <v>23.92</v>
      </c>
      <c r="Q1123" t="str">
        <f>"FARMACIA ECONOMIZE (10103)"</f>
        <v>FARMACIA ECONOMIZE (10103)</v>
      </c>
      <c r="R1123" t="str">
        <f t="shared" si="487"/>
        <v>RECEITAS COM ENTREGAS (303)</v>
      </c>
      <c r="S1123">
        <v>3373</v>
      </c>
      <c r="T1123">
        <v>2820</v>
      </c>
      <c r="U1123" t="s">
        <v>21</v>
      </c>
    </row>
    <row r="1124" spans="1:21">
      <c r="A1124" t="str">
        <f t="shared" si="481"/>
        <v>27/11/2025</v>
      </c>
      <c r="B1124" t="str">
        <f>"SAÍDA"</f>
        <v>SAÍDA</v>
      </c>
      <c r="C1124" t="str">
        <f>"TRANSFERENCIA"</f>
        <v>TRANSFERENCIA</v>
      </c>
      <c r="D1124" t="str">
        <f>""</f>
        <v/>
      </c>
      <c r="E1124" t="str">
        <f>"TRF"</f>
        <v>TRF</v>
      </c>
      <c r="F1124" t="str">
        <f>""</f>
        <v/>
      </c>
      <c r="G1124" t="str">
        <f>"TRANSFERENCIA ENTRE BANCOS (102-&gt;131)"</f>
        <v>TRANSFERENCIA ENTRE BANCOS (102-&gt;131)</v>
      </c>
      <c r="H1124" t="str">
        <f>("27/11/2025")</f>
        <v>27/11/2025</v>
      </c>
      <c r="I1124" t="str">
        <f>("27/11/2025")</f>
        <v>27/11/2025</v>
      </c>
      <c r="J1124" t="str">
        <f t="shared" si="485"/>
        <v>27/11/2025</v>
      </c>
      <c r="M1124">
        <v>102</v>
      </c>
      <c r="N1124" t="str">
        <f>"BANCO CORA"</f>
        <v>BANCO CORA</v>
      </c>
      <c r="O1124">
        <v>50000</v>
      </c>
      <c r="R1124" t="str">
        <f>"BANCO CORA (102)"</f>
        <v>BANCO CORA (102)</v>
      </c>
      <c r="S1124">
        <v>3375</v>
      </c>
      <c r="T1124">
        <v>0</v>
      </c>
      <c r="U1124" t="s">
        <v>21</v>
      </c>
    </row>
    <row r="1125" spans="1:21">
      <c r="A1125" t="str">
        <f t="shared" si="481"/>
        <v>27/11/2025</v>
      </c>
      <c r="B1125" t="str">
        <f>"ENTRADA"</f>
        <v>ENTRADA</v>
      </c>
      <c r="C1125" t="str">
        <f>"TRANSFERENCIA"</f>
        <v>TRANSFERENCIA</v>
      </c>
      <c r="D1125" t="str">
        <f>""</f>
        <v/>
      </c>
      <c r="E1125" t="str">
        <f>"TRF"</f>
        <v>TRF</v>
      </c>
      <c r="F1125" t="str">
        <f>""</f>
        <v/>
      </c>
      <c r="G1125" t="str">
        <f>"TRANSFERENCIA ENTRE BANCOS (102-&gt;131)"</f>
        <v>TRANSFERENCIA ENTRE BANCOS (102-&gt;131)</v>
      </c>
      <c r="H1125" t="str">
        <f>("27/11/2025")</f>
        <v>27/11/2025</v>
      </c>
      <c r="I1125" t="str">
        <f>("27/11/2025")</f>
        <v>27/11/2025</v>
      </c>
      <c r="J1125" t="str">
        <f t="shared" si="485"/>
        <v>27/11/2025</v>
      </c>
      <c r="M1125">
        <v>131</v>
      </c>
      <c r="N1125" t="str">
        <f>"BANCO SICREDI"</f>
        <v>BANCO SICREDI</v>
      </c>
      <c r="O1125">
        <v>50000</v>
      </c>
      <c r="R1125" t="str">
        <f>"BANCO SICREDI (131)"</f>
        <v>BANCO SICREDI (131)</v>
      </c>
      <c r="S1125">
        <v>3375</v>
      </c>
      <c r="T1125">
        <v>0</v>
      </c>
      <c r="U1125" t="s">
        <v>28</v>
      </c>
    </row>
    <row r="1126" spans="1:21">
      <c r="A1126" t="str">
        <f t="shared" si="481"/>
        <v>27/11/2025</v>
      </c>
      <c r="B1126" t="str">
        <f t="shared" ref="B1126:B1157" si="488">"SAÍDA"</f>
        <v>SAÍDA</v>
      </c>
      <c r="C1126" t="str">
        <f t="shared" ref="C1126:C1157" si="489">"BOLETO"</f>
        <v>BOLETO</v>
      </c>
      <c r="D1126" t="str">
        <f t="shared" ref="D1126:D1157" si="490">"011125"</f>
        <v>011125</v>
      </c>
      <c r="E1126" t="str">
        <f t="shared" ref="E1126:E1157" si="491">"COM"</f>
        <v>COM</v>
      </c>
      <c r="F1126" t="str">
        <f t="shared" ref="F1126:F1157" si="492">"CORA SOCIEDADE DE CREDITO, FINANCIAMENTO E INVESTIMENTO (20035)"</f>
        <v>CORA SOCIEDADE DE CREDITO, FINANCIAMENTO E INVESTIMENTO (20035)</v>
      </c>
      <c r="G1126" t="str">
        <f t="shared" ref="G1126:G1157" si="493">"TAXA BOLETO CORA"</f>
        <v>TAXA BOLETO CORA</v>
      </c>
      <c r="H1126" t="str">
        <f t="shared" ref="H1126:H1157" si="494">("27/11/2025")</f>
        <v>27/11/2025</v>
      </c>
      <c r="I1126" t="str">
        <f t="shared" ref="I1126:I1157" si="495">("01/11/2025")</f>
        <v>01/11/2025</v>
      </c>
      <c r="J1126" t="str">
        <f t="shared" si="485"/>
        <v>27/11/2025</v>
      </c>
      <c r="K1126">
        <v>1.7</v>
      </c>
      <c r="L1126">
        <v>1.7</v>
      </c>
      <c r="M1126">
        <v>401</v>
      </c>
      <c r="N1126" t="str">
        <f t="shared" ref="N1126:N1157" si="496">"IOF/JUROS/DESP.FINANCEIRA"</f>
        <v>IOF/JUROS/DESP.FINANCEIRA</v>
      </c>
      <c r="O1126">
        <v>1.7</v>
      </c>
      <c r="R1126" t="str">
        <f t="shared" ref="R1126:R1157" si="497">"BANCO CORA (102)"</f>
        <v>BANCO CORA (102)</v>
      </c>
      <c r="S1126">
        <v>3377</v>
      </c>
      <c r="T1126">
        <v>2944</v>
      </c>
      <c r="U1126" t="s">
        <v>21</v>
      </c>
    </row>
    <row r="1127" spans="1:21">
      <c r="A1127" t="str">
        <f t="shared" si="481"/>
        <v>27/11/2025</v>
      </c>
      <c r="B1127" t="str">
        <f t="shared" si="488"/>
        <v>SAÍDA</v>
      </c>
      <c r="C1127" t="str">
        <f t="shared" si="489"/>
        <v>BOLETO</v>
      </c>
      <c r="D1127" t="str">
        <f t="shared" si="490"/>
        <v>011125</v>
      </c>
      <c r="E1127" t="str">
        <f t="shared" si="491"/>
        <v>COM</v>
      </c>
      <c r="F1127" t="str">
        <f t="shared" si="492"/>
        <v>CORA SOCIEDADE DE CREDITO, FINANCIAMENTO E INVESTIMENTO (20035)</v>
      </c>
      <c r="G1127" t="str">
        <f t="shared" si="493"/>
        <v>TAXA BOLETO CORA</v>
      </c>
      <c r="H1127" t="str">
        <f t="shared" si="494"/>
        <v>27/11/2025</v>
      </c>
      <c r="I1127" t="str">
        <f t="shared" si="495"/>
        <v>01/11/2025</v>
      </c>
      <c r="J1127" t="str">
        <f t="shared" si="485"/>
        <v>27/11/2025</v>
      </c>
      <c r="M1127">
        <v>401</v>
      </c>
      <c r="N1127" t="str">
        <f t="shared" si="496"/>
        <v>IOF/JUROS/DESP.FINANCEIRA</v>
      </c>
      <c r="P1127">
        <v>1.7</v>
      </c>
      <c r="Q1127" t="str">
        <f>"CORA SOCIEDADE DE CREDITO, FINANCIAMENTO E INVESTIMENTO (20035)"</f>
        <v>CORA SOCIEDADE DE CREDITO, FINANCIAMENTO E INVESTIMENTO (20035)</v>
      </c>
      <c r="R1127" t="str">
        <f t="shared" si="497"/>
        <v>BANCO CORA (102)</v>
      </c>
      <c r="S1127">
        <v>3377</v>
      </c>
      <c r="T1127">
        <v>2944</v>
      </c>
      <c r="U1127" t="s">
        <v>21</v>
      </c>
    </row>
    <row r="1128" spans="1:21">
      <c r="A1128" t="str">
        <f t="shared" si="481"/>
        <v>27/11/2025</v>
      </c>
      <c r="B1128" t="str">
        <f t="shared" si="488"/>
        <v>SAÍDA</v>
      </c>
      <c r="C1128" t="str">
        <f t="shared" si="489"/>
        <v>BOLETO</v>
      </c>
      <c r="D1128" t="str">
        <f t="shared" si="490"/>
        <v>011125</v>
      </c>
      <c r="E1128" t="str">
        <f t="shared" si="491"/>
        <v>COM</v>
      </c>
      <c r="F1128" t="str">
        <f t="shared" si="492"/>
        <v>CORA SOCIEDADE DE CREDITO, FINANCIAMENTO E INVESTIMENTO (20035)</v>
      </c>
      <c r="G1128" t="str">
        <f t="shared" si="493"/>
        <v>TAXA BOLETO CORA</v>
      </c>
      <c r="H1128" t="str">
        <f t="shared" si="494"/>
        <v>27/11/2025</v>
      </c>
      <c r="I1128" t="str">
        <f t="shared" si="495"/>
        <v>01/11/2025</v>
      </c>
      <c r="J1128" t="str">
        <f t="shared" si="485"/>
        <v>27/11/2025</v>
      </c>
      <c r="K1128">
        <v>1.7</v>
      </c>
      <c r="L1128">
        <v>1.7</v>
      </c>
      <c r="M1128">
        <v>401</v>
      </c>
      <c r="N1128" t="str">
        <f t="shared" si="496"/>
        <v>IOF/JUROS/DESP.FINANCEIRA</v>
      </c>
      <c r="O1128">
        <v>1.7</v>
      </c>
      <c r="R1128" t="str">
        <f t="shared" si="497"/>
        <v>BANCO CORA (102)</v>
      </c>
      <c r="S1128">
        <v>3378</v>
      </c>
      <c r="T1128">
        <v>2945</v>
      </c>
      <c r="U1128" t="s">
        <v>21</v>
      </c>
    </row>
    <row r="1129" spans="1:21">
      <c r="A1129" t="str">
        <f t="shared" si="481"/>
        <v>27/11/2025</v>
      </c>
      <c r="B1129" t="str">
        <f t="shared" si="488"/>
        <v>SAÍDA</v>
      </c>
      <c r="C1129" t="str">
        <f t="shared" si="489"/>
        <v>BOLETO</v>
      </c>
      <c r="D1129" t="str">
        <f t="shared" si="490"/>
        <v>011125</v>
      </c>
      <c r="E1129" t="str">
        <f t="shared" si="491"/>
        <v>COM</v>
      </c>
      <c r="F1129" t="str">
        <f t="shared" si="492"/>
        <v>CORA SOCIEDADE DE CREDITO, FINANCIAMENTO E INVESTIMENTO (20035)</v>
      </c>
      <c r="G1129" t="str">
        <f t="shared" si="493"/>
        <v>TAXA BOLETO CORA</v>
      </c>
      <c r="H1129" t="str">
        <f t="shared" si="494"/>
        <v>27/11/2025</v>
      </c>
      <c r="I1129" t="str">
        <f t="shared" si="495"/>
        <v>01/11/2025</v>
      </c>
      <c r="J1129" t="str">
        <f t="shared" si="485"/>
        <v>27/11/2025</v>
      </c>
      <c r="M1129">
        <v>401</v>
      </c>
      <c r="N1129" t="str">
        <f t="shared" si="496"/>
        <v>IOF/JUROS/DESP.FINANCEIRA</v>
      </c>
      <c r="P1129">
        <v>1.7</v>
      </c>
      <c r="Q1129" t="str">
        <f>"CORA SOCIEDADE DE CREDITO, FINANCIAMENTO E INVESTIMENTO (20035)"</f>
        <v>CORA SOCIEDADE DE CREDITO, FINANCIAMENTO E INVESTIMENTO (20035)</v>
      </c>
      <c r="R1129" t="str">
        <f t="shared" si="497"/>
        <v>BANCO CORA (102)</v>
      </c>
      <c r="S1129">
        <v>3378</v>
      </c>
      <c r="T1129">
        <v>2945</v>
      </c>
      <c r="U1129" t="s">
        <v>21</v>
      </c>
    </row>
    <row r="1130" spans="1:21">
      <c r="A1130" t="str">
        <f t="shared" si="481"/>
        <v>27/11/2025</v>
      </c>
      <c r="B1130" t="str">
        <f t="shared" si="488"/>
        <v>SAÍDA</v>
      </c>
      <c r="C1130" t="str">
        <f t="shared" si="489"/>
        <v>BOLETO</v>
      </c>
      <c r="D1130" t="str">
        <f t="shared" si="490"/>
        <v>011125</v>
      </c>
      <c r="E1130" t="str">
        <f t="shared" si="491"/>
        <v>COM</v>
      </c>
      <c r="F1130" t="str">
        <f t="shared" si="492"/>
        <v>CORA SOCIEDADE DE CREDITO, FINANCIAMENTO E INVESTIMENTO (20035)</v>
      </c>
      <c r="G1130" t="str">
        <f t="shared" si="493"/>
        <v>TAXA BOLETO CORA</v>
      </c>
      <c r="H1130" t="str">
        <f t="shared" si="494"/>
        <v>27/11/2025</v>
      </c>
      <c r="I1130" t="str">
        <f t="shared" si="495"/>
        <v>01/11/2025</v>
      </c>
      <c r="J1130" t="str">
        <f t="shared" si="485"/>
        <v>27/11/2025</v>
      </c>
      <c r="K1130">
        <v>1.7</v>
      </c>
      <c r="L1130">
        <v>1.7</v>
      </c>
      <c r="M1130">
        <v>401</v>
      </c>
      <c r="N1130" t="str">
        <f t="shared" si="496"/>
        <v>IOF/JUROS/DESP.FINANCEIRA</v>
      </c>
      <c r="O1130">
        <v>1.7</v>
      </c>
      <c r="R1130" t="str">
        <f t="shared" si="497"/>
        <v>BANCO CORA (102)</v>
      </c>
      <c r="S1130">
        <v>3379</v>
      </c>
      <c r="T1130">
        <v>2946</v>
      </c>
      <c r="U1130" t="s">
        <v>21</v>
      </c>
    </row>
    <row r="1131" spans="1:21">
      <c r="A1131" t="str">
        <f t="shared" si="481"/>
        <v>27/11/2025</v>
      </c>
      <c r="B1131" t="str">
        <f t="shared" si="488"/>
        <v>SAÍDA</v>
      </c>
      <c r="C1131" t="str">
        <f t="shared" si="489"/>
        <v>BOLETO</v>
      </c>
      <c r="D1131" t="str">
        <f t="shared" si="490"/>
        <v>011125</v>
      </c>
      <c r="E1131" t="str">
        <f t="shared" si="491"/>
        <v>COM</v>
      </c>
      <c r="F1131" t="str">
        <f t="shared" si="492"/>
        <v>CORA SOCIEDADE DE CREDITO, FINANCIAMENTO E INVESTIMENTO (20035)</v>
      </c>
      <c r="G1131" t="str">
        <f t="shared" si="493"/>
        <v>TAXA BOLETO CORA</v>
      </c>
      <c r="H1131" t="str">
        <f t="shared" si="494"/>
        <v>27/11/2025</v>
      </c>
      <c r="I1131" t="str">
        <f t="shared" si="495"/>
        <v>01/11/2025</v>
      </c>
      <c r="J1131" t="str">
        <f t="shared" si="485"/>
        <v>27/11/2025</v>
      </c>
      <c r="M1131">
        <v>401</v>
      </c>
      <c r="N1131" t="str">
        <f t="shared" si="496"/>
        <v>IOF/JUROS/DESP.FINANCEIRA</v>
      </c>
      <c r="P1131">
        <v>1.7</v>
      </c>
      <c r="Q1131" t="str">
        <f>"CORA SOCIEDADE DE CREDITO, FINANCIAMENTO E INVESTIMENTO (20035)"</f>
        <v>CORA SOCIEDADE DE CREDITO, FINANCIAMENTO E INVESTIMENTO (20035)</v>
      </c>
      <c r="R1131" t="str">
        <f t="shared" si="497"/>
        <v>BANCO CORA (102)</v>
      </c>
      <c r="S1131">
        <v>3379</v>
      </c>
      <c r="T1131">
        <v>2946</v>
      </c>
      <c r="U1131" t="s">
        <v>21</v>
      </c>
    </row>
    <row r="1132" spans="1:21">
      <c r="A1132" t="str">
        <f t="shared" si="481"/>
        <v>27/11/2025</v>
      </c>
      <c r="B1132" t="str">
        <f t="shared" si="488"/>
        <v>SAÍDA</v>
      </c>
      <c r="C1132" t="str">
        <f t="shared" si="489"/>
        <v>BOLETO</v>
      </c>
      <c r="D1132" t="str">
        <f t="shared" si="490"/>
        <v>011125</v>
      </c>
      <c r="E1132" t="str">
        <f t="shared" si="491"/>
        <v>COM</v>
      </c>
      <c r="F1132" t="str">
        <f t="shared" si="492"/>
        <v>CORA SOCIEDADE DE CREDITO, FINANCIAMENTO E INVESTIMENTO (20035)</v>
      </c>
      <c r="G1132" t="str">
        <f t="shared" si="493"/>
        <v>TAXA BOLETO CORA</v>
      </c>
      <c r="H1132" t="str">
        <f t="shared" si="494"/>
        <v>27/11/2025</v>
      </c>
      <c r="I1132" t="str">
        <f t="shared" si="495"/>
        <v>01/11/2025</v>
      </c>
      <c r="J1132" t="str">
        <f t="shared" si="485"/>
        <v>27/11/2025</v>
      </c>
      <c r="K1132">
        <v>1.7</v>
      </c>
      <c r="L1132">
        <v>1.7</v>
      </c>
      <c r="M1132">
        <v>401</v>
      </c>
      <c r="N1132" t="str">
        <f t="shared" si="496"/>
        <v>IOF/JUROS/DESP.FINANCEIRA</v>
      </c>
      <c r="O1132">
        <v>1.7</v>
      </c>
      <c r="R1132" t="str">
        <f t="shared" si="497"/>
        <v>BANCO CORA (102)</v>
      </c>
      <c r="S1132">
        <v>3380</v>
      </c>
      <c r="T1132">
        <v>2947</v>
      </c>
      <c r="U1132" t="s">
        <v>21</v>
      </c>
    </row>
    <row r="1133" spans="1:21">
      <c r="A1133" t="str">
        <f t="shared" si="481"/>
        <v>27/11/2025</v>
      </c>
      <c r="B1133" t="str">
        <f t="shared" si="488"/>
        <v>SAÍDA</v>
      </c>
      <c r="C1133" t="str">
        <f t="shared" si="489"/>
        <v>BOLETO</v>
      </c>
      <c r="D1133" t="str">
        <f t="shared" si="490"/>
        <v>011125</v>
      </c>
      <c r="E1133" t="str">
        <f t="shared" si="491"/>
        <v>COM</v>
      </c>
      <c r="F1133" t="str">
        <f t="shared" si="492"/>
        <v>CORA SOCIEDADE DE CREDITO, FINANCIAMENTO E INVESTIMENTO (20035)</v>
      </c>
      <c r="G1133" t="str">
        <f t="shared" si="493"/>
        <v>TAXA BOLETO CORA</v>
      </c>
      <c r="H1133" t="str">
        <f t="shared" si="494"/>
        <v>27/11/2025</v>
      </c>
      <c r="I1133" t="str">
        <f t="shared" si="495"/>
        <v>01/11/2025</v>
      </c>
      <c r="J1133" t="str">
        <f t="shared" si="485"/>
        <v>27/11/2025</v>
      </c>
      <c r="M1133">
        <v>401</v>
      </c>
      <c r="N1133" t="str">
        <f t="shared" si="496"/>
        <v>IOF/JUROS/DESP.FINANCEIRA</v>
      </c>
      <c r="P1133">
        <v>1.7</v>
      </c>
      <c r="Q1133" t="str">
        <f>"CORA SOCIEDADE DE CREDITO, FINANCIAMENTO E INVESTIMENTO (20035)"</f>
        <v>CORA SOCIEDADE DE CREDITO, FINANCIAMENTO E INVESTIMENTO (20035)</v>
      </c>
      <c r="R1133" t="str">
        <f t="shared" si="497"/>
        <v>BANCO CORA (102)</v>
      </c>
      <c r="S1133">
        <v>3380</v>
      </c>
      <c r="T1133">
        <v>2947</v>
      </c>
      <c r="U1133" t="s">
        <v>21</v>
      </c>
    </row>
    <row r="1134" spans="1:21">
      <c r="A1134" t="str">
        <f t="shared" si="481"/>
        <v>27/11/2025</v>
      </c>
      <c r="B1134" t="str">
        <f t="shared" si="488"/>
        <v>SAÍDA</v>
      </c>
      <c r="C1134" t="str">
        <f t="shared" si="489"/>
        <v>BOLETO</v>
      </c>
      <c r="D1134" t="str">
        <f t="shared" si="490"/>
        <v>011125</v>
      </c>
      <c r="E1134" t="str">
        <f t="shared" si="491"/>
        <v>COM</v>
      </c>
      <c r="F1134" t="str">
        <f t="shared" si="492"/>
        <v>CORA SOCIEDADE DE CREDITO, FINANCIAMENTO E INVESTIMENTO (20035)</v>
      </c>
      <c r="G1134" t="str">
        <f t="shared" si="493"/>
        <v>TAXA BOLETO CORA</v>
      </c>
      <c r="H1134" t="str">
        <f t="shared" si="494"/>
        <v>27/11/2025</v>
      </c>
      <c r="I1134" t="str">
        <f t="shared" si="495"/>
        <v>01/11/2025</v>
      </c>
      <c r="J1134" t="str">
        <f t="shared" si="485"/>
        <v>27/11/2025</v>
      </c>
      <c r="K1134">
        <v>1.7</v>
      </c>
      <c r="L1134">
        <v>1.7</v>
      </c>
      <c r="M1134">
        <v>401</v>
      </c>
      <c r="N1134" t="str">
        <f t="shared" si="496"/>
        <v>IOF/JUROS/DESP.FINANCEIRA</v>
      </c>
      <c r="O1134">
        <v>1.7</v>
      </c>
      <c r="R1134" t="str">
        <f t="shared" si="497"/>
        <v>BANCO CORA (102)</v>
      </c>
      <c r="S1134">
        <v>3381</v>
      </c>
      <c r="T1134">
        <v>2948</v>
      </c>
      <c r="U1134" t="s">
        <v>21</v>
      </c>
    </row>
    <row r="1135" spans="1:21">
      <c r="A1135" t="str">
        <f t="shared" si="481"/>
        <v>27/11/2025</v>
      </c>
      <c r="B1135" t="str">
        <f t="shared" si="488"/>
        <v>SAÍDA</v>
      </c>
      <c r="C1135" t="str">
        <f t="shared" si="489"/>
        <v>BOLETO</v>
      </c>
      <c r="D1135" t="str">
        <f t="shared" si="490"/>
        <v>011125</v>
      </c>
      <c r="E1135" t="str">
        <f t="shared" si="491"/>
        <v>COM</v>
      </c>
      <c r="F1135" t="str">
        <f t="shared" si="492"/>
        <v>CORA SOCIEDADE DE CREDITO, FINANCIAMENTO E INVESTIMENTO (20035)</v>
      </c>
      <c r="G1135" t="str">
        <f t="shared" si="493"/>
        <v>TAXA BOLETO CORA</v>
      </c>
      <c r="H1135" t="str">
        <f t="shared" si="494"/>
        <v>27/11/2025</v>
      </c>
      <c r="I1135" t="str">
        <f t="shared" si="495"/>
        <v>01/11/2025</v>
      </c>
      <c r="J1135" t="str">
        <f t="shared" si="485"/>
        <v>27/11/2025</v>
      </c>
      <c r="M1135">
        <v>401</v>
      </c>
      <c r="N1135" t="str">
        <f t="shared" si="496"/>
        <v>IOF/JUROS/DESP.FINANCEIRA</v>
      </c>
      <c r="P1135">
        <v>1.7</v>
      </c>
      <c r="Q1135" t="str">
        <f>"CORA SOCIEDADE DE CREDITO, FINANCIAMENTO E INVESTIMENTO (20035)"</f>
        <v>CORA SOCIEDADE DE CREDITO, FINANCIAMENTO E INVESTIMENTO (20035)</v>
      </c>
      <c r="R1135" t="str">
        <f t="shared" si="497"/>
        <v>BANCO CORA (102)</v>
      </c>
      <c r="S1135">
        <v>3381</v>
      </c>
      <c r="T1135">
        <v>2948</v>
      </c>
      <c r="U1135" t="s">
        <v>21</v>
      </c>
    </row>
    <row r="1136" spans="1:21">
      <c r="A1136" t="str">
        <f t="shared" si="481"/>
        <v>27/11/2025</v>
      </c>
      <c r="B1136" t="str">
        <f t="shared" si="488"/>
        <v>SAÍDA</v>
      </c>
      <c r="C1136" t="str">
        <f t="shared" si="489"/>
        <v>BOLETO</v>
      </c>
      <c r="D1136" t="str">
        <f t="shared" si="490"/>
        <v>011125</v>
      </c>
      <c r="E1136" t="str">
        <f t="shared" si="491"/>
        <v>COM</v>
      </c>
      <c r="F1136" t="str">
        <f t="shared" si="492"/>
        <v>CORA SOCIEDADE DE CREDITO, FINANCIAMENTO E INVESTIMENTO (20035)</v>
      </c>
      <c r="G1136" t="str">
        <f t="shared" si="493"/>
        <v>TAXA BOLETO CORA</v>
      </c>
      <c r="H1136" t="str">
        <f t="shared" si="494"/>
        <v>27/11/2025</v>
      </c>
      <c r="I1136" t="str">
        <f t="shared" si="495"/>
        <v>01/11/2025</v>
      </c>
      <c r="J1136" t="str">
        <f t="shared" si="485"/>
        <v>27/11/2025</v>
      </c>
      <c r="K1136">
        <v>1.7</v>
      </c>
      <c r="L1136">
        <v>1.7</v>
      </c>
      <c r="M1136">
        <v>401</v>
      </c>
      <c r="N1136" t="str">
        <f t="shared" si="496"/>
        <v>IOF/JUROS/DESP.FINANCEIRA</v>
      </c>
      <c r="O1136">
        <v>1.7</v>
      </c>
      <c r="R1136" t="str">
        <f t="shared" si="497"/>
        <v>BANCO CORA (102)</v>
      </c>
      <c r="S1136">
        <v>3382</v>
      </c>
      <c r="T1136">
        <v>2949</v>
      </c>
      <c r="U1136" t="s">
        <v>21</v>
      </c>
    </row>
    <row r="1137" spans="1:21">
      <c r="A1137" t="str">
        <f t="shared" si="481"/>
        <v>27/11/2025</v>
      </c>
      <c r="B1137" t="str">
        <f t="shared" si="488"/>
        <v>SAÍDA</v>
      </c>
      <c r="C1137" t="str">
        <f t="shared" si="489"/>
        <v>BOLETO</v>
      </c>
      <c r="D1137" t="str">
        <f t="shared" si="490"/>
        <v>011125</v>
      </c>
      <c r="E1137" t="str">
        <f t="shared" si="491"/>
        <v>COM</v>
      </c>
      <c r="F1137" t="str">
        <f t="shared" si="492"/>
        <v>CORA SOCIEDADE DE CREDITO, FINANCIAMENTO E INVESTIMENTO (20035)</v>
      </c>
      <c r="G1137" t="str">
        <f t="shared" si="493"/>
        <v>TAXA BOLETO CORA</v>
      </c>
      <c r="H1137" t="str">
        <f t="shared" si="494"/>
        <v>27/11/2025</v>
      </c>
      <c r="I1137" t="str">
        <f t="shared" si="495"/>
        <v>01/11/2025</v>
      </c>
      <c r="J1137" t="str">
        <f t="shared" si="485"/>
        <v>27/11/2025</v>
      </c>
      <c r="M1137">
        <v>401</v>
      </c>
      <c r="N1137" t="str">
        <f t="shared" si="496"/>
        <v>IOF/JUROS/DESP.FINANCEIRA</v>
      </c>
      <c r="P1137">
        <v>1.7</v>
      </c>
      <c r="Q1137" t="str">
        <f>"CORA SOCIEDADE DE CREDITO, FINANCIAMENTO E INVESTIMENTO (20035)"</f>
        <v>CORA SOCIEDADE DE CREDITO, FINANCIAMENTO E INVESTIMENTO (20035)</v>
      </c>
      <c r="R1137" t="str">
        <f t="shared" si="497"/>
        <v>BANCO CORA (102)</v>
      </c>
      <c r="S1137">
        <v>3382</v>
      </c>
      <c r="T1137">
        <v>2949</v>
      </c>
      <c r="U1137" t="s">
        <v>21</v>
      </c>
    </row>
    <row r="1138" spans="1:21">
      <c r="A1138" t="str">
        <f t="shared" si="481"/>
        <v>27/11/2025</v>
      </c>
      <c r="B1138" t="str">
        <f t="shared" si="488"/>
        <v>SAÍDA</v>
      </c>
      <c r="C1138" t="str">
        <f t="shared" si="489"/>
        <v>BOLETO</v>
      </c>
      <c r="D1138" t="str">
        <f t="shared" si="490"/>
        <v>011125</v>
      </c>
      <c r="E1138" t="str">
        <f t="shared" si="491"/>
        <v>COM</v>
      </c>
      <c r="F1138" t="str">
        <f t="shared" si="492"/>
        <v>CORA SOCIEDADE DE CREDITO, FINANCIAMENTO E INVESTIMENTO (20035)</v>
      </c>
      <c r="G1138" t="str">
        <f t="shared" si="493"/>
        <v>TAXA BOLETO CORA</v>
      </c>
      <c r="H1138" t="str">
        <f t="shared" si="494"/>
        <v>27/11/2025</v>
      </c>
      <c r="I1138" t="str">
        <f t="shared" si="495"/>
        <v>01/11/2025</v>
      </c>
      <c r="J1138" t="str">
        <f t="shared" si="485"/>
        <v>27/11/2025</v>
      </c>
      <c r="K1138">
        <v>1.7</v>
      </c>
      <c r="L1138">
        <v>1.7</v>
      </c>
      <c r="M1138">
        <v>401</v>
      </c>
      <c r="N1138" t="str">
        <f t="shared" si="496"/>
        <v>IOF/JUROS/DESP.FINANCEIRA</v>
      </c>
      <c r="O1138">
        <v>1.7</v>
      </c>
      <c r="R1138" t="str">
        <f t="shared" si="497"/>
        <v>BANCO CORA (102)</v>
      </c>
      <c r="S1138">
        <v>3383</v>
      </c>
      <c r="T1138">
        <v>2950</v>
      </c>
      <c r="U1138" t="s">
        <v>21</v>
      </c>
    </row>
    <row r="1139" spans="1:21">
      <c r="A1139" t="str">
        <f t="shared" si="481"/>
        <v>27/11/2025</v>
      </c>
      <c r="B1139" t="str">
        <f t="shared" si="488"/>
        <v>SAÍDA</v>
      </c>
      <c r="C1139" t="str">
        <f t="shared" si="489"/>
        <v>BOLETO</v>
      </c>
      <c r="D1139" t="str">
        <f t="shared" si="490"/>
        <v>011125</v>
      </c>
      <c r="E1139" t="str">
        <f t="shared" si="491"/>
        <v>COM</v>
      </c>
      <c r="F1139" t="str">
        <f t="shared" si="492"/>
        <v>CORA SOCIEDADE DE CREDITO, FINANCIAMENTO E INVESTIMENTO (20035)</v>
      </c>
      <c r="G1139" t="str">
        <f t="shared" si="493"/>
        <v>TAXA BOLETO CORA</v>
      </c>
      <c r="H1139" t="str">
        <f t="shared" si="494"/>
        <v>27/11/2025</v>
      </c>
      <c r="I1139" t="str">
        <f t="shared" si="495"/>
        <v>01/11/2025</v>
      </c>
      <c r="J1139" t="str">
        <f t="shared" si="485"/>
        <v>27/11/2025</v>
      </c>
      <c r="M1139">
        <v>401</v>
      </c>
      <c r="N1139" t="str">
        <f t="shared" si="496"/>
        <v>IOF/JUROS/DESP.FINANCEIRA</v>
      </c>
      <c r="P1139">
        <v>1.7</v>
      </c>
      <c r="Q1139" t="str">
        <f>"CORA SOCIEDADE DE CREDITO, FINANCIAMENTO E INVESTIMENTO (20035)"</f>
        <v>CORA SOCIEDADE DE CREDITO, FINANCIAMENTO E INVESTIMENTO (20035)</v>
      </c>
      <c r="R1139" t="str">
        <f t="shared" si="497"/>
        <v>BANCO CORA (102)</v>
      </c>
      <c r="S1139">
        <v>3383</v>
      </c>
      <c r="T1139">
        <v>2950</v>
      </c>
      <c r="U1139" t="s">
        <v>21</v>
      </c>
    </row>
    <row r="1140" spans="1:21">
      <c r="A1140" t="str">
        <f t="shared" si="481"/>
        <v>27/11/2025</v>
      </c>
      <c r="B1140" t="str">
        <f t="shared" si="488"/>
        <v>SAÍDA</v>
      </c>
      <c r="C1140" t="str">
        <f t="shared" si="489"/>
        <v>BOLETO</v>
      </c>
      <c r="D1140" t="str">
        <f t="shared" si="490"/>
        <v>011125</v>
      </c>
      <c r="E1140" t="str">
        <f t="shared" si="491"/>
        <v>COM</v>
      </c>
      <c r="F1140" t="str">
        <f t="shared" si="492"/>
        <v>CORA SOCIEDADE DE CREDITO, FINANCIAMENTO E INVESTIMENTO (20035)</v>
      </c>
      <c r="G1140" t="str">
        <f t="shared" si="493"/>
        <v>TAXA BOLETO CORA</v>
      </c>
      <c r="H1140" t="str">
        <f t="shared" si="494"/>
        <v>27/11/2025</v>
      </c>
      <c r="I1140" t="str">
        <f t="shared" si="495"/>
        <v>01/11/2025</v>
      </c>
      <c r="J1140" t="str">
        <f t="shared" si="485"/>
        <v>27/11/2025</v>
      </c>
      <c r="K1140">
        <v>1.7</v>
      </c>
      <c r="L1140">
        <v>1.7</v>
      </c>
      <c r="M1140">
        <v>401</v>
      </c>
      <c r="N1140" t="str">
        <f t="shared" si="496"/>
        <v>IOF/JUROS/DESP.FINANCEIRA</v>
      </c>
      <c r="O1140">
        <v>1.7</v>
      </c>
      <c r="R1140" t="str">
        <f t="shared" si="497"/>
        <v>BANCO CORA (102)</v>
      </c>
      <c r="S1140">
        <v>3384</v>
      </c>
      <c r="T1140">
        <v>2951</v>
      </c>
      <c r="U1140" t="s">
        <v>21</v>
      </c>
    </row>
    <row r="1141" spans="1:21">
      <c r="A1141" t="str">
        <f t="shared" si="481"/>
        <v>27/11/2025</v>
      </c>
      <c r="B1141" t="str">
        <f t="shared" si="488"/>
        <v>SAÍDA</v>
      </c>
      <c r="C1141" t="str">
        <f t="shared" si="489"/>
        <v>BOLETO</v>
      </c>
      <c r="D1141" t="str">
        <f t="shared" si="490"/>
        <v>011125</v>
      </c>
      <c r="E1141" t="str">
        <f t="shared" si="491"/>
        <v>COM</v>
      </c>
      <c r="F1141" t="str">
        <f t="shared" si="492"/>
        <v>CORA SOCIEDADE DE CREDITO, FINANCIAMENTO E INVESTIMENTO (20035)</v>
      </c>
      <c r="G1141" t="str">
        <f t="shared" si="493"/>
        <v>TAXA BOLETO CORA</v>
      </c>
      <c r="H1141" t="str">
        <f t="shared" si="494"/>
        <v>27/11/2025</v>
      </c>
      <c r="I1141" t="str">
        <f t="shared" si="495"/>
        <v>01/11/2025</v>
      </c>
      <c r="J1141" t="str">
        <f t="shared" si="485"/>
        <v>27/11/2025</v>
      </c>
      <c r="M1141">
        <v>401</v>
      </c>
      <c r="N1141" t="str">
        <f t="shared" si="496"/>
        <v>IOF/JUROS/DESP.FINANCEIRA</v>
      </c>
      <c r="P1141">
        <v>1.7</v>
      </c>
      <c r="Q1141" t="str">
        <f>"CORA SOCIEDADE DE CREDITO, FINANCIAMENTO E INVESTIMENTO (20035)"</f>
        <v>CORA SOCIEDADE DE CREDITO, FINANCIAMENTO E INVESTIMENTO (20035)</v>
      </c>
      <c r="R1141" t="str">
        <f t="shared" si="497"/>
        <v>BANCO CORA (102)</v>
      </c>
      <c r="S1141">
        <v>3384</v>
      </c>
      <c r="T1141">
        <v>2951</v>
      </c>
      <c r="U1141" t="s">
        <v>21</v>
      </c>
    </row>
    <row r="1142" spans="1:21">
      <c r="A1142" t="str">
        <f t="shared" si="481"/>
        <v>27/11/2025</v>
      </c>
      <c r="B1142" t="str">
        <f t="shared" si="488"/>
        <v>SAÍDA</v>
      </c>
      <c r="C1142" t="str">
        <f t="shared" si="489"/>
        <v>BOLETO</v>
      </c>
      <c r="D1142" t="str">
        <f t="shared" si="490"/>
        <v>011125</v>
      </c>
      <c r="E1142" t="str">
        <f t="shared" si="491"/>
        <v>COM</v>
      </c>
      <c r="F1142" t="str">
        <f t="shared" si="492"/>
        <v>CORA SOCIEDADE DE CREDITO, FINANCIAMENTO E INVESTIMENTO (20035)</v>
      </c>
      <c r="G1142" t="str">
        <f t="shared" si="493"/>
        <v>TAXA BOLETO CORA</v>
      </c>
      <c r="H1142" t="str">
        <f t="shared" si="494"/>
        <v>27/11/2025</v>
      </c>
      <c r="I1142" t="str">
        <f t="shared" si="495"/>
        <v>01/11/2025</v>
      </c>
      <c r="J1142" t="str">
        <f t="shared" si="485"/>
        <v>27/11/2025</v>
      </c>
      <c r="K1142">
        <v>1.7</v>
      </c>
      <c r="L1142">
        <v>1.7</v>
      </c>
      <c r="M1142">
        <v>401</v>
      </c>
      <c r="N1142" t="str">
        <f t="shared" si="496"/>
        <v>IOF/JUROS/DESP.FINANCEIRA</v>
      </c>
      <c r="O1142">
        <v>1.7</v>
      </c>
      <c r="R1142" t="str">
        <f t="shared" si="497"/>
        <v>BANCO CORA (102)</v>
      </c>
      <c r="S1142">
        <v>3385</v>
      </c>
      <c r="T1142">
        <v>2952</v>
      </c>
      <c r="U1142" t="s">
        <v>21</v>
      </c>
    </row>
    <row r="1143" spans="1:21">
      <c r="A1143" t="str">
        <f t="shared" si="481"/>
        <v>27/11/2025</v>
      </c>
      <c r="B1143" t="str">
        <f t="shared" si="488"/>
        <v>SAÍDA</v>
      </c>
      <c r="C1143" t="str">
        <f t="shared" si="489"/>
        <v>BOLETO</v>
      </c>
      <c r="D1143" t="str">
        <f t="shared" si="490"/>
        <v>011125</v>
      </c>
      <c r="E1143" t="str">
        <f t="shared" si="491"/>
        <v>COM</v>
      </c>
      <c r="F1143" t="str">
        <f t="shared" si="492"/>
        <v>CORA SOCIEDADE DE CREDITO, FINANCIAMENTO E INVESTIMENTO (20035)</v>
      </c>
      <c r="G1143" t="str">
        <f t="shared" si="493"/>
        <v>TAXA BOLETO CORA</v>
      </c>
      <c r="H1143" t="str">
        <f t="shared" si="494"/>
        <v>27/11/2025</v>
      </c>
      <c r="I1143" t="str">
        <f t="shared" si="495"/>
        <v>01/11/2025</v>
      </c>
      <c r="J1143" t="str">
        <f t="shared" si="485"/>
        <v>27/11/2025</v>
      </c>
      <c r="M1143">
        <v>401</v>
      </c>
      <c r="N1143" t="str">
        <f t="shared" si="496"/>
        <v>IOF/JUROS/DESP.FINANCEIRA</v>
      </c>
      <c r="P1143">
        <v>1.7</v>
      </c>
      <c r="Q1143" t="str">
        <f>"CORA SOCIEDADE DE CREDITO, FINANCIAMENTO E INVESTIMENTO (20035)"</f>
        <v>CORA SOCIEDADE DE CREDITO, FINANCIAMENTO E INVESTIMENTO (20035)</v>
      </c>
      <c r="R1143" t="str">
        <f t="shared" si="497"/>
        <v>BANCO CORA (102)</v>
      </c>
      <c r="S1143">
        <v>3385</v>
      </c>
      <c r="T1143">
        <v>2952</v>
      </c>
      <c r="U1143" t="s">
        <v>21</v>
      </c>
    </row>
    <row r="1144" spans="1:21">
      <c r="A1144" t="str">
        <f t="shared" si="481"/>
        <v>27/11/2025</v>
      </c>
      <c r="B1144" t="str">
        <f t="shared" si="488"/>
        <v>SAÍDA</v>
      </c>
      <c r="C1144" t="str">
        <f t="shared" si="489"/>
        <v>BOLETO</v>
      </c>
      <c r="D1144" t="str">
        <f t="shared" si="490"/>
        <v>011125</v>
      </c>
      <c r="E1144" t="str">
        <f t="shared" si="491"/>
        <v>COM</v>
      </c>
      <c r="F1144" t="str">
        <f t="shared" si="492"/>
        <v>CORA SOCIEDADE DE CREDITO, FINANCIAMENTO E INVESTIMENTO (20035)</v>
      </c>
      <c r="G1144" t="str">
        <f t="shared" si="493"/>
        <v>TAXA BOLETO CORA</v>
      </c>
      <c r="H1144" t="str">
        <f t="shared" si="494"/>
        <v>27/11/2025</v>
      </c>
      <c r="I1144" t="str">
        <f t="shared" si="495"/>
        <v>01/11/2025</v>
      </c>
      <c r="J1144" t="str">
        <f t="shared" si="485"/>
        <v>27/11/2025</v>
      </c>
      <c r="K1144">
        <v>1.7</v>
      </c>
      <c r="L1144">
        <v>1.7</v>
      </c>
      <c r="M1144">
        <v>401</v>
      </c>
      <c r="N1144" t="str">
        <f t="shared" si="496"/>
        <v>IOF/JUROS/DESP.FINANCEIRA</v>
      </c>
      <c r="O1144">
        <v>1.7</v>
      </c>
      <c r="R1144" t="str">
        <f t="shared" si="497"/>
        <v>BANCO CORA (102)</v>
      </c>
      <c r="S1144">
        <v>3386</v>
      </c>
      <c r="T1144">
        <v>2953</v>
      </c>
      <c r="U1144" t="s">
        <v>21</v>
      </c>
    </row>
    <row r="1145" spans="1:21">
      <c r="A1145" t="str">
        <f t="shared" si="481"/>
        <v>27/11/2025</v>
      </c>
      <c r="B1145" t="str">
        <f t="shared" si="488"/>
        <v>SAÍDA</v>
      </c>
      <c r="C1145" t="str">
        <f t="shared" si="489"/>
        <v>BOLETO</v>
      </c>
      <c r="D1145" t="str">
        <f t="shared" si="490"/>
        <v>011125</v>
      </c>
      <c r="E1145" t="str">
        <f t="shared" si="491"/>
        <v>COM</v>
      </c>
      <c r="F1145" t="str">
        <f t="shared" si="492"/>
        <v>CORA SOCIEDADE DE CREDITO, FINANCIAMENTO E INVESTIMENTO (20035)</v>
      </c>
      <c r="G1145" t="str">
        <f t="shared" si="493"/>
        <v>TAXA BOLETO CORA</v>
      </c>
      <c r="H1145" t="str">
        <f t="shared" si="494"/>
        <v>27/11/2025</v>
      </c>
      <c r="I1145" t="str">
        <f t="shared" si="495"/>
        <v>01/11/2025</v>
      </c>
      <c r="J1145" t="str">
        <f t="shared" si="485"/>
        <v>27/11/2025</v>
      </c>
      <c r="M1145">
        <v>401</v>
      </c>
      <c r="N1145" t="str">
        <f t="shared" si="496"/>
        <v>IOF/JUROS/DESP.FINANCEIRA</v>
      </c>
      <c r="P1145">
        <v>1.7</v>
      </c>
      <c r="Q1145" t="str">
        <f>"CORA SOCIEDADE DE CREDITO, FINANCIAMENTO E INVESTIMENTO (20035)"</f>
        <v>CORA SOCIEDADE DE CREDITO, FINANCIAMENTO E INVESTIMENTO (20035)</v>
      </c>
      <c r="R1145" t="str">
        <f t="shared" si="497"/>
        <v>BANCO CORA (102)</v>
      </c>
      <c r="S1145">
        <v>3386</v>
      </c>
      <c r="T1145">
        <v>2953</v>
      </c>
      <c r="U1145" t="s">
        <v>21</v>
      </c>
    </row>
    <row r="1146" spans="1:21">
      <c r="A1146" t="str">
        <f t="shared" si="481"/>
        <v>27/11/2025</v>
      </c>
      <c r="B1146" t="str">
        <f t="shared" si="488"/>
        <v>SAÍDA</v>
      </c>
      <c r="C1146" t="str">
        <f t="shared" si="489"/>
        <v>BOLETO</v>
      </c>
      <c r="D1146" t="str">
        <f t="shared" si="490"/>
        <v>011125</v>
      </c>
      <c r="E1146" t="str">
        <f t="shared" si="491"/>
        <v>COM</v>
      </c>
      <c r="F1146" t="str">
        <f t="shared" si="492"/>
        <v>CORA SOCIEDADE DE CREDITO, FINANCIAMENTO E INVESTIMENTO (20035)</v>
      </c>
      <c r="G1146" t="str">
        <f t="shared" si="493"/>
        <v>TAXA BOLETO CORA</v>
      </c>
      <c r="H1146" t="str">
        <f t="shared" si="494"/>
        <v>27/11/2025</v>
      </c>
      <c r="I1146" t="str">
        <f t="shared" si="495"/>
        <v>01/11/2025</v>
      </c>
      <c r="J1146" t="str">
        <f t="shared" si="485"/>
        <v>27/11/2025</v>
      </c>
      <c r="K1146">
        <v>1.7</v>
      </c>
      <c r="L1146">
        <v>1.7</v>
      </c>
      <c r="M1146">
        <v>401</v>
      </c>
      <c r="N1146" t="str">
        <f t="shared" si="496"/>
        <v>IOF/JUROS/DESP.FINANCEIRA</v>
      </c>
      <c r="O1146">
        <v>1.7</v>
      </c>
      <c r="R1146" t="str">
        <f t="shared" si="497"/>
        <v>BANCO CORA (102)</v>
      </c>
      <c r="S1146">
        <v>3387</v>
      </c>
      <c r="T1146">
        <v>2954</v>
      </c>
      <c r="U1146" t="s">
        <v>21</v>
      </c>
    </row>
    <row r="1147" spans="1:21">
      <c r="A1147" t="str">
        <f t="shared" si="481"/>
        <v>27/11/2025</v>
      </c>
      <c r="B1147" t="str">
        <f t="shared" si="488"/>
        <v>SAÍDA</v>
      </c>
      <c r="C1147" t="str">
        <f t="shared" si="489"/>
        <v>BOLETO</v>
      </c>
      <c r="D1147" t="str">
        <f t="shared" si="490"/>
        <v>011125</v>
      </c>
      <c r="E1147" t="str">
        <f t="shared" si="491"/>
        <v>COM</v>
      </c>
      <c r="F1147" t="str">
        <f t="shared" si="492"/>
        <v>CORA SOCIEDADE DE CREDITO, FINANCIAMENTO E INVESTIMENTO (20035)</v>
      </c>
      <c r="G1147" t="str">
        <f t="shared" si="493"/>
        <v>TAXA BOLETO CORA</v>
      </c>
      <c r="H1147" t="str">
        <f t="shared" si="494"/>
        <v>27/11/2025</v>
      </c>
      <c r="I1147" t="str">
        <f t="shared" si="495"/>
        <v>01/11/2025</v>
      </c>
      <c r="J1147" t="str">
        <f t="shared" si="485"/>
        <v>27/11/2025</v>
      </c>
      <c r="M1147">
        <v>401</v>
      </c>
      <c r="N1147" t="str">
        <f t="shared" si="496"/>
        <v>IOF/JUROS/DESP.FINANCEIRA</v>
      </c>
      <c r="P1147">
        <v>1.7</v>
      </c>
      <c r="Q1147" t="str">
        <f>"CORA SOCIEDADE DE CREDITO, FINANCIAMENTO E INVESTIMENTO (20035)"</f>
        <v>CORA SOCIEDADE DE CREDITO, FINANCIAMENTO E INVESTIMENTO (20035)</v>
      </c>
      <c r="R1147" t="str">
        <f t="shared" si="497"/>
        <v>BANCO CORA (102)</v>
      </c>
      <c r="S1147">
        <v>3387</v>
      </c>
      <c r="T1147">
        <v>2954</v>
      </c>
      <c r="U1147" t="s">
        <v>21</v>
      </c>
    </row>
    <row r="1148" spans="1:21">
      <c r="A1148" t="str">
        <f t="shared" ref="A1148:A1179" si="498">("27/11/2025")</f>
        <v>27/11/2025</v>
      </c>
      <c r="B1148" t="str">
        <f t="shared" si="488"/>
        <v>SAÍDA</v>
      </c>
      <c r="C1148" t="str">
        <f t="shared" si="489"/>
        <v>BOLETO</v>
      </c>
      <c r="D1148" t="str">
        <f t="shared" si="490"/>
        <v>011125</v>
      </c>
      <c r="E1148" t="str">
        <f t="shared" si="491"/>
        <v>COM</v>
      </c>
      <c r="F1148" t="str">
        <f t="shared" si="492"/>
        <v>CORA SOCIEDADE DE CREDITO, FINANCIAMENTO E INVESTIMENTO (20035)</v>
      </c>
      <c r="G1148" t="str">
        <f t="shared" si="493"/>
        <v>TAXA BOLETO CORA</v>
      </c>
      <c r="H1148" t="str">
        <f t="shared" si="494"/>
        <v>27/11/2025</v>
      </c>
      <c r="I1148" t="str">
        <f t="shared" si="495"/>
        <v>01/11/2025</v>
      </c>
      <c r="J1148" t="str">
        <f t="shared" ref="J1148:J1179" si="499">("27/11/2025")</f>
        <v>27/11/2025</v>
      </c>
      <c r="K1148">
        <v>1.7</v>
      </c>
      <c r="L1148">
        <v>1.7</v>
      </c>
      <c r="M1148">
        <v>401</v>
      </c>
      <c r="N1148" t="str">
        <f t="shared" si="496"/>
        <v>IOF/JUROS/DESP.FINANCEIRA</v>
      </c>
      <c r="O1148">
        <v>1.7</v>
      </c>
      <c r="R1148" t="str">
        <f t="shared" si="497"/>
        <v>BANCO CORA (102)</v>
      </c>
      <c r="S1148">
        <v>3388</v>
      </c>
      <c r="T1148">
        <v>2955</v>
      </c>
      <c r="U1148" t="s">
        <v>21</v>
      </c>
    </row>
    <row r="1149" spans="1:21">
      <c r="A1149" t="str">
        <f t="shared" si="498"/>
        <v>27/11/2025</v>
      </c>
      <c r="B1149" t="str">
        <f t="shared" si="488"/>
        <v>SAÍDA</v>
      </c>
      <c r="C1149" t="str">
        <f t="shared" si="489"/>
        <v>BOLETO</v>
      </c>
      <c r="D1149" t="str">
        <f t="shared" si="490"/>
        <v>011125</v>
      </c>
      <c r="E1149" t="str">
        <f t="shared" si="491"/>
        <v>COM</v>
      </c>
      <c r="F1149" t="str">
        <f t="shared" si="492"/>
        <v>CORA SOCIEDADE DE CREDITO, FINANCIAMENTO E INVESTIMENTO (20035)</v>
      </c>
      <c r="G1149" t="str">
        <f t="shared" si="493"/>
        <v>TAXA BOLETO CORA</v>
      </c>
      <c r="H1149" t="str">
        <f t="shared" si="494"/>
        <v>27/11/2025</v>
      </c>
      <c r="I1149" t="str">
        <f t="shared" si="495"/>
        <v>01/11/2025</v>
      </c>
      <c r="J1149" t="str">
        <f t="shared" si="499"/>
        <v>27/11/2025</v>
      </c>
      <c r="M1149">
        <v>401</v>
      </c>
      <c r="N1149" t="str">
        <f t="shared" si="496"/>
        <v>IOF/JUROS/DESP.FINANCEIRA</v>
      </c>
      <c r="P1149">
        <v>1.7</v>
      </c>
      <c r="Q1149" t="str">
        <f>"CORA SOCIEDADE DE CREDITO, FINANCIAMENTO E INVESTIMENTO (20035)"</f>
        <v>CORA SOCIEDADE DE CREDITO, FINANCIAMENTO E INVESTIMENTO (20035)</v>
      </c>
      <c r="R1149" t="str">
        <f t="shared" si="497"/>
        <v>BANCO CORA (102)</v>
      </c>
      <c r="S1149">
        <v>3388</v>
      </c>
      <c r="T1149">
        <v>2955</v>
      </c>
      <c r="U1149" t="s">
        <v>21</v>
      </c>
    </row>
    <row r="1150" spans="1:21">
      <c r="A1150" t="str">
        <f t="shared" si="498"/>
        <v>27/11/2025</v>
      </c>
      <c r="B1150" t="str">
        <f t="shared" si="488"/>
        <v>SAÍDA</v>
      </c>
      <c r="C1150" t="str">
        <f t="shared" si="489"/>
        <v>BOLETO</v>
      </c>
      <c r="D1150" t="str">
        <f t="shared" si="490"/>
        <v>011125</v>
      </c>
      <c r="E1150" t="str">
        <f t="shared" si="491"/>
        <v>COM</v>
      </c>
      <c r="F1150" t="str">
        <f t="shared" si="492"/>
        <v>CORA SOCIEDADE DE CREDITO, FINANCIAMENTO E INVESTIMENTO (20035)</v>
      </c>
      <c r="G1150" t="str">
        <f t="shared" si="493"/>
        <v>TAXA BOLETO CORA</v>
      </c>
      <c r="H1150" t="str">
        <f t="shared" si="494"/>
        <v>27/11/2025</v>
      </c>
      <c r="I1150" t="str">
        <f t="shared" si="495"/>
        <v>01/11/2025</v>
      </c>
      <c r="J1150" t="str">
        <f t="shared" si="499"/>
        <v>27/11/2025</v>
      </c>
      <c r="K1150">
        <v>1.7</v>
      </c>
      <c r="L1150">
        <v>1.7</v>
      </c>
      <c r="M1150">
        <v>401</v>
      </c>
      <c r="N1150" t="str">
        <f t="shared" si="496"/>
        <v>IOF/JUROS/DESP.FINANCEIRA</v>
      </c>
      <c r="O1150">
        <v>1.7</v>
      </c>
      <c r="R1150" t="str">
        <f t="shared" si="497"/>
        <v>BANCO CORA (102)</v>
      </c>
      <c r="S1150">
        <v>3389</v>
      </c>
      <c r="T1150">
        <v>2956</v>
      </c>
      <c r="U1150" t="s">
        <v>21</v>
      </c>
    </row>
    <row r="1151" spans="1:21">
      <c r="A1151" t="str">
        <f t="shared" si="498"/>
        <v>27/11/2025</v>
      </c>
      <c r="B1151" t="str">
        <f t="shared" si="488"/>
        <v>SAÍDA</v>
      </c>
      <c r="C1151" t="str">
        <f t="shared" si="489"/>
        <v>BOLETO</v>
      </c>
      <c r="D1151" t="str">
        <f t="shared" si="490"/>
        <v>011125</v>
      </c>
      <c r="E1151" t="str">
        <f t="shared" si="491"/>
        <v>COM</v>
      </c>
      <c r="F1151" t="str">
        <f t="shared" si="492"/>
        <v>CORA SOCIEDADE DE CREDITO, FINANCIAMENTO E INVESTIMENTO (20035)</v>
      </c>
      <c r="G1151" t="str">
        <f t="shared" si="493"/>
        <v>TAXA BOLETO CORA</v>
      </c>
      <c r="H1151" t="str">
        <f t="shared" si="494"/>
        <v>27/11/2025</v>
      </c>
      <c r="I1151" t="str">
        <f t="shared" si="495"/>
        <v>01/11/2025</v>
      </c>
      <c r="J1151" t="str">
        <f t="shared" si="499"/>
        <v>27/11/2025</v>
      </c>
      <c r="M1151">
        <v>401</v>
      </c>
      <c r="N1151" t="str">
        <f t="shared" si="496"/>
        <v>IOF/JUROS/DESP.FINANCEIRA</v>
      </c>
      <c r="P1151">
        <v>1.7</v>
      </c>
      <c r="Q1151" t="str">
        <f>"CORA SOCIEDADE DE CREDITO, FINANCIAMENTO E INVESTIMENTO (20035)"</f>
        <v>CORA SOCIEDADE DE CREDITO, FINANCIAMENTO E INVESTIMENTO (20035)</v>
      </c>
      <c r="R1151" t="str">
        <f t="shared" si="497"/>
        <v>BANCO CORA (102)</v>
      </c>
      <c r="S1151">
        <v>3389</v>
      </c>
      <c r="T1151">
        <v>2956</v>
      </c>
      <c r="U1151" t="s">
        <v>21</v>
      </c>
    </row>
    <row r="1152" spans="1:21">
      <c r="A1152" t="str">
        <f t="shared" si="498"/>
        <v>27/11/2025</v>
      </c>
      <c r="B1152" t="str">
        <f t="shared" si="488"/>
        <v>SAÍDA</v>
      </c>
      <c r="C1152" t="str">
        <f t="shared" si="489"/>
        <v>BOLETO</v>
      </c>
      <c r="D1152" t="str">
        <f t="shared" si="490"/>
        <v>011125</v>
      </c>
      <c r="E1152" t="str">
        <f t="shared" si="491"/>
        <v>COM</v>
      </c>
      <c r="F1152" t="str">
        <f t="shared" si="492"/>
        <v>CORA SOCIEDADE DE CREDITO, FINANCIAMENTO E INVESTIMENTO (20035)</v>
      </c>
      <c r="G1152" t="str">
        <f t="shared" si="493"/>
        <v>TAXA BOLETO CORA</v>
      </c>
      <c r="H1152" t="str">
        <f t="shared" si="494"/>
        <v>27/11/2025</v>
      </c>
      <c r="I1152" t="str">
        <f t="shared" si="495"/>
        <v>01/11/2025</v>
      </c>
      <c r="J1152" t="str">
        <f t="shared" si="499"/>
        <v>27/11/2025</v>
      </c>
      <c r="K1152">
        <v>1.7</v>
      </c>
      <c r="L1152">
        <v>1.7</v>
      </c>
      <c r="M1152">
        <v>401</v>
      </c>
      <c r="N1152" t="str">
        <f t="shared" si="496"/>
        <v>IOF/JUROS/DESP.FINANCEIRA</v>
      </c>
      <c r="O1152">
        <v>1.7</v>
      </c>
      <c r="R1152" t="str">
        <f t="shared" si="497"/>
        <v>BANCO CORA (102)</v>
      </c>
      <c r="S1152">
        <v>3390</v>
      </c>
      <c r="T1152">
        <v>2957</v>
      </c>
      <c r="U1152" t="s">
        <v>21</v>
      </c>
    </row>
    <row r="1153" spans="1:21">
      <c r="A1153" t="str">
        <f t="shared" si="498"/>
        <v>27/11/2025</v>
      </c>
      <c r="B1153" t="str">
        <f t="shared" si="488"/>
        <v>SAÍDA</v>
      </c>
      <c r="C1153" t="str">
        <f t="shared" si="489"/>
        <v>BOLETO</v>
      </c>
      <c r="D1153" t="str">
        <f t="shared" si="490"/>
        <v>011125</v>
      </c>
      <c r="E1153" t="str">
        <f t="shared" si="491"/>
        <v>COM</v>
      </c>
      <c r="F1153" t="str">
        <f t="shared" si="492"/>
        <v>CORA SOCIEDADE DE CREDITO, FINANCIAMENTO E INVESTIMENTO (20035)</v>
      </c>
      <c r="G1153" t="str">
        <f t="shared" si="493"/>
        <v>TAXA BOLETO CORA</v>
      </c>
      <c r="H1153" t="str">
        <f t="shared" si="494"/>
        <v>27/11/2025</v>
      </c>
      <c r="I1153" t="str">
        <f t="shared" si="495"/>
        <v>01/11/2025</v>
      </c>
      <c r="J1153" t="str">
        <f t="shared" si="499"/>
        <v>27/11/2025</v>
      </c>
      <c r="M1153">
        <v>401</v>
      </c>
      <c r="N1153" t="str">
        <f t="shared" si="496"/>
        <v>IOF/JUROS/DESP.FINANCEIRA</v>
      </c>
      <c r="P1153">
        <v>1.7</v>
      </c>
      <c r="Q1153" t="str">
        <f>"CORA SOCIEDADE DE CREDITO, FINANCIAMENTO E INVESTIMENTO (20035)"</f>
        <v>CORA SOCIEDADE DE CREDITO, FINANCIAMENTO E INVESTIMENTO (20035)</v>
      </c>
      <c r="R1153" t="str">
        <f t="shared" si="497"/>
        <v>BANCO CORA (102)</v>
      </c>
      <c r="S1153">
        <v>3390</v>
      </c>
      <c r="T1153">
        <v>2957</v>
      </c>
      <c r="U1153" t="s">
        <v>21</v>
      </c>
    </row>
    <row r="1154" spans="1:21">
      <c r="A1154" t="str">
        <f t="shared" si="498"/>
        <v>27/11/2025</v>
      </c>
      <c r="B1154" t="str">
        <f t="shared" si="488"/>
        <v>SAÍDA</v>
      </c>
      <c r="C1154" t="str">
        <f t="shared" si="489"/>
        <v>BOLETO</v>
      </c>
      <c r="D1154" t="str">
        <f t="shared" si="490"/>
        <v>011125</v>
      </c>
      <c r="E1154" t="str">
        <f t="shared" si="491"/>
        <v>COM</v>
      </c>
      <c r="F1154" t="str">
        <f t="shared" si="492"/>
        <v>CORA SOCIEDADE DE CREDITO, FINANCIAMENTO E INVESTIMENTO (20035)</v>
      </c>
      <c r="G1154" t="str">
        <f t="shared" si="493"/>
        <v>TAXA BOLETO CORA</v>
      </c>
      <c r="H1154" t="str">
        <f t="shared" si="494"/>
        <v>27/11/2025</v>
      </c>
      <c r="I1154" t="str">
        <f t="shared" si="495"/>
        <v>01/11/2025</v>
      </c>
      <c r="J1154" t="str">
        <f t="shared" si="499"/>
        <v>27/11/2025</v>
      </c>
      <c r="K1154">
        <v>1.7</v>
      </c>
      <c r="L1154">
        <v>1.7</v>
      </c>
      <c r="M1154">
        <v>401</v>
      </c>
      <c r="N1154" t="str">
        <f t="shared" si="496"/>
        <v>IOF/JUROS/DESP.FINANCEIRA</v>
      </c>
      <c r="O1154">
        <v>1.7</v>
      </c>
      <c r="R1154" t="str">
        <f t="shared" si="497"/>
        <v>BANCO CORA (102)</v>
      </c>
      <c r="S1154">
        <v>3391</v>
      </c>
      <c r="T1154">
        <v>2958</v>
      </c>
      <c r="U1154" t="s">
        <v>21</v>
      </c>
    </row>
    <row r="1155" spans="1:21">
      <c r="A1155" t="str">
        <f t="shared" si="498"/>
        <v>27/11/2025</v>
      </c>
      <c r="B1155" t="str">
        <f t="shared" si="488"/>
        <v>SAÍDA</v>
      </c>
      <c r="C1155" t="str">
        <f t="shared" si="489"/>
        <v>BOLETO</v>
      </c>
      <c r="D1155" t="str">
        <f t="shared" si="490"/>
        <v>011125</v>
      </c>
      <c r="E1155" t="str">
        <f t="shared" si="491"/>
        <v>COM</v>
      </c>
      <c r="F1155" t="str">
        <f t="shared" si="492"/>
        <v>CORA SOCIEDADE DE CREDITO, FINANCIAMENTO E INVESTIMENTO (20035)</v>
      </c>
      <c r="G1155" t="str">
        <f t="shared" si="493"/>
        <v>TAXA BOLETO CORA</v>
      </c>
      <c r="H1155" t="str">
        <f t="shared" si="494"/>
        <v>27/11/2025</v>
      </c>
      <c r="I1155" t="str">
        <f t="shared" si="495"/>
        <v>01/11/2025</v>
      </c>
      <c r="J1155" t="str">
        <f t="shared" si="499"/>
        <v>27/11/2025</v>
      </c>
      <c r="M1155">
        <v>401</v>
      </c>
      <c r="N1155" t="str">
        <f t="shared" si="496"/>
        <v>IOF/JUROS/DESP.FINANCEIRA</v>
      </c>
      <c r="P1155">
        <v>1.7</v>
      </c>
      <c r="Q1155" t="str">
        <f>"CORA SOCIEDADE DE CREDITO, FINANCIAMENTO E INVESTIMENTO (20035)"</f>
        <v>CORA SOCIEDADE DE CREDITO, FINANCIAMENTO E INVESTIMENTO (20035)</v>
      </c>
      <c r="R1155" t="str">
        <f t="shared" si="497"/>
        <v>BANCO CORA (102)</v>
      </c>
      <c r="S1155">
        <v>3391</v>
      </c>
      <c r="T1155">
        <v>2958</v>
      </c>
      <c r="U1155" t="s">
        <v>21</v>
      </c>
    </row>
    <row r="1156" spans="1:21">
      <c r="A1156" t="str">
        <f t="shared" si="498"/>
        <v>27/11/2025</v>
      </c>
      <c r="B1156" t="str">
        <f t="shared" si="488"/>
        <v>SAÍDA</v>
      </c>
      <c r="C1156" t="str">
        <f t="shared" si="489"/>
        <v>BOLETO</v>
      </c>
      <c r="D1156" t="str">
        <f t="shared" si="490"/>
        <v>011125</v>
      </c>
      <c r="E1156" t="str">
        <f t="shared" si="491"/>
        <v>COM</v>
      </c>
      <c r="F1156" t="str">
        <f t="shared" si="492"/>
        <v>CORA SOCIEDADE DE CREDITO, FINANCIAMENTO E INVESTIMENTO (20035)</v>
      </c>
      <c r="G1156" t="str">
        <f t="shared" si="493"/>
        <v>TAXA BOLETO CORA</v>
      </c>
      <c r="H1156" t="str">
        <f t="shared" si="494"/>
        <v>27/11/2025</v>
      </c>
      <c r="I1156" t="str">
        <f t="shared" si="495"/>
        <v>01/11/2025</v>
      </c>
      <c r="J1156" t="str">
        <f t="shared" si="499"/>
        <v>27/11/2025</v>
      </c>
      <c r="K1156">
        <v>1.7</v>
      </c>
      <c r="L1156">
        <v>1.7</v>
      </c>
      <c r="M1156">
        <v>401</v>
      </c>
      <c r="N1156" t="str">
        <f t="shared" si="496"/>
        <v>IOF/JUROS/DESP.FINANCEIRA</v>
      </c>
      <c r="O1156">
        <v>1.7</v>
      </c>
      <c r="R1156" t="str">
        <f t="shared" si="497"/>
        <v>BANCO CORA (102)</v>
      </c>
      <c r="S1156">
        <v>3392</v>
      </c>
      <c r="T1156">
        <v>2959</v>
      </c>
      <c r="U1156" t="s">
        <v>21</v>
      </c>
    </row>
    <row r="1157" spans="1:21">
      <c r="A1157" t="str">
        <f t="shared" si="498"/>
        <v>27/11/2025</v>
      </c>
      <c r="B1157" t="str">
        <f t="shared" si="488"/>
        <v>SAÍDA</v>
      </c>
      <c r="C1157" t="str">
        <f t="shared" si="489"/>
        <v>BOLETO</v>
      </c>
      <c r="D1157" t="str">
        <f t="shared" si="490"/>
        <v>011125</v>
      </c>
      <c r="E1157" t="str">
        <f t="shared" si="491"/>
        <v>COM</v>
      </c>
      <c r="F1157" t="str">
        <f t="shared" si="492"/>
        <v>CORA SOCIEDADE DE CREDITO, FINANCIAMENTO E INVESTIMENTO (20035)</v>
      </c>
      <c r="G1157" t="str">
        <f t="shared" si="493"/>
        <v>TAXA BOLETO CORA</v>
      </c>
      <c r="H1157" t="str">
        <f t="shared" si="494"/>
        <v>27/11/2025</v>
      </c>
      <c r="I1157" t="str">
        <f t="shared" si="495"/>
        <v>01/11/2025</v>
      </c>
      <c r="J1157" t="str">
        <f t="shared" si="499"/>
        <v>27/11/2025</v>
      </c>
      <c r="M1157">
        <v>401</v>
      </c>
      <c r="N1157" t="str">
        <f t="shared" si="496"/>
        <v>IOF/JUROS/DESP.FINANCEIRA</v>
      </c>
      <c r="P1157">
        <v>1.7</v>
      </c>
      <c r="Q1157" t="str">
        <f>"CORA SOCIEDADE DE CREDITO, FINANCIAMENTO E INVESTIMENTO (20035)"</f>
        <v>CORA SOCIEDADE DE CREDITO, FINANCIAMENTO E INVESTIMENTO (20035)</v>
      </c>
      <c r="R1157" t="str">
        <f t="shared" si="497"/>
        <v>BANCO CORA (102)</v>
      </c>
      <c r="S1157">
        <v>3392</v>
      </c>
      <c r="T1157">
        <v>2959</v>
      </c>
      <c r="U1157" t="s">
        <v>21</v>
      </c>
    </row>
    <row r="1158" spans="1:21">
      <c r="A1158" t="str">
        <f t="shared" si="498"/>
        <v>27/11/2025</v>
      </c>
      <c r="B1158" t="str">
        <f t="shared" ref="B1158:B1182" si="500">"SAÍDA"</f>
        <v>SAÍDA</v>
      </c>
      <c r="C1158" t="str">
        <f t="shared" ref="C1158:C1181" si="501">"BOLETO"</f>
        <v>BOLETO</v>
      </c>
      <c r="D1158" t="str">
        <f t="shared" ref="D1158:D1181" si="502">"011125"</f>
        <v>011125</v>
      </c>
      <c r="E1158" t="str">
        <f t="shared" ref="E1158:E1181" si="503">"COM"</f>
        <v>COM</v>
      </c>
      <c r="F1158" t="str">
        <f t="shared" ref="F1158:F1181" si="504">"CORA SOCIEDADE DE CREDITO, FINANCIAMENTO E INVESTIMENTO (20035)"</f>
        <v>CORA SOCIEDADE DE CREDITO, FINANCIAMENTO E INVESTIMENTO (20035)</v>
      </c>
      <c r="G1158" t="str">
        <f t="shared" ref="G1158:G1181" si="505">"TAXA BOLETO CORA"</f>
        <v>TAXA BOLETO CORA</v>
      </c>
      <c r="H1158" t="str">
        <f t="shared" ref="H1158:H1182" si="506">("27/11/2025")</f>
        <v>27/11/2025</v>
      </c>
      <c r="I1158" t="str">
        <f t="shared" ref="I1158:I1181" si="507">("01/11/2025")</f>
        <v>01/11/2025</v>
      </c>
      <c r="J1158" t="str">
        <f t="shared" si="499"/>
        <v>27/11/2025</v>
      </c>
      <c r="K1158">
        <v>1.7</v>
      </c>
      <c r="L1158">
        <v>1.7</v>
      </c>
      <c r="M1158">
        <v>401</v>
      </c>
      <c r="N1158" t="str">
        <f t="shared" ref="N1158:N1181" si="508">"IOF/JUROS/DESP.FINANCEIRA"</f>
        <v>IOF/JUROS/DESP.FINANCEIRA</v>
      </c>
      <c r="O1158">
        <v>1.7</v>
      </c>
      <c r="R1158" t="str">
        <f t="shared" ref="R1158:R1182" si="509">"BANCO CORA (102)"</f>
        <v>BANCO CORA (102)</v>
      </c>
      <c r="S1158">
        <v>3393</v>
      </c>
      <c r="T1158">
        <v>2960</v>
      </c>
      <c r="U1158" t="s">
        <v>21</v>
      </c>
    </row>
    <row r="1159" spans="1:21">
      <c r="A1159" t="str">
        <f t="shared" si="498"/>
        <v>27/11/2025</v>
      </c>
      <c r="B1159" t="str">
        <f t="shared" si="500"/>
        <v>SAÍDA</v>
      </c>
      <c r="C1159" t="str">
        <f t="shared" si="501"/>
        <v>BOLETO</v>
      </c>
      <c r="D1159" t="str">
        <f t="shared" si="502"/>
        <v>011125</v>
      </c>
      <c r="E1159" t="str">
        <f t="shared" si="503"/>
        <v>COM</v>
      </c>
      <c r="F1159" t="str">
        <f t="shared" si="504"/>
        <v>CORA SOCIEDADE DE CREDITO, FINANCIAMENTO E INVESTIMENTO (20035)</v>
      </c>
      <c r="G1159" t="str">
        <f t="shared" si="505"/>
        <v>TAXA BOLETO CORA</v>
      </c>
      <c r="H1159" t="str">
        <f t="shared" si="506"/>
        <v>27/11/2025</v>
      </c>
      <c r="I1159" t="str">
        <f t="shared" si="507"/>
        <v>01/11/2025</v>
      </c>
      <c r="J1159" t="str">
        <f t="shared" si="499"/>
        <v>27/11/2025</v>
      </c>
      <c r="M1159">
        <v>401</v>
      </c>
      <c r="N1159" t="str">
        <f t="shared" si="508"/>
        <v>IOF/JUROS/DESP.FINANCEIRA</v>
      </c>
      <c r="P1159">
        <v>1.7</v>
      </c>
      <c r="Q1159" t="str">
        <f>"CORA SOCIEDADE DE CREDITO, FINANCIAMENTO E INVESTIMENTO (20035)"</f>
        <v>CORA SOCIEDADE DE CREDITO, FINANCIAMENTO E INVESTIMENTO (20035)</v>
      </c>
      <c r="R1159" t="str">
        <f t="shared" si="509"/>
        <v>BANCO CORA (102)</v>
      </c>
      <c r="S1159">
        <v>3393</v>
      </c>
      <c r="T1159">
        <v>2960</v>
      </c>
      <c r="U1159" t="s">
        <v>21</v>
      </c>
    </row>
    <row r="1160" spans="1:21">
      <c r="A1160" t="str">
        <f t="shared" si="498"/>
        <v>27/11/2025</v>
      </c>
      <c r="B1160" t="str">
        <f t="shared" si="500"/>
        <v>SAÍDA</v>
      </c>
      <c r="C1160" t="str">
        <f t="shared" si="501"/>
        <v>BOLETO</v>
      </c>
      <c r="D1160" t="str">
        <f t="shared" si="502"/>
        <v>011125</v>
      </c>
      <c r="E1160" t="str">
        <f t="shared" si="503"/>
        <v>COM</v>
      </c>
      <c r="F1160" t="str">
        <f t="shared" si="504"/>
        <v>CORA SOCIEDADE DE CREDITO, FINANCIAMENTO E INVESTIMENTO (20035)</v>
      </c>
      <c r="G1160" t="str">
        <f t="shared" si="505"/>
        <v>TAXA BOLETO CORA</v>
      </c>
      <c r="H1160" t="str">
        <f t="shared" si="506"/>
        <v>27/11/2025</v>
      </c>
      <c r="I1160" t="str">
        <f t="shared" si="507"/>
        <v>01/11/2025</v>
      </c>
      <c r="J1160" t="str">
        <f t="shared" si="499"/>
        <v>27/11/2025</v>
      </c>
      <c r="K1160">
        <v>1.7</v>
      </c>
      <c r="L1160">
        <v>1.7</v>
      </c>
      <c r="M1160">
        <v>401</v>
      </c>
      <c r="N1160" t="str">
        <f t="shared" si="508"/>
        <v>IOF/JUROS/DESP.FINANCEIRA</v>
      </c>
      <c r="O1160">
        <v>1.7</v>
      </c>
      <c r="R1160" t="str">
        <f t="shared" si="509"/>
        <v>BANCO CORA (102)</v>
      </c>
      <c r="S1160">
        <v>3394</v>
      </c>
      <c r="T1160">
        <v>2961</v>
      </c>
      <c r="U1160" t="s">
        <v>21</v>
      </c>
    </row>
    <row r="1161" spans="1:21">
      <c r="A1161" t="str">
        <f t="shared" si="498"/>
        <v>27/11/2025</v>
      </c>
      <c r="B1161" t="str">
        <f t="shared" si="500"/>
        <v>SAÍDA</v>
      </c>
      <c r="C1161" t="str">
        <f t="shared" si="501"/>
        <v>BOLETO</v>
      </c>
      <c r="D1161" t="str">
        <f t="shared" si="502"/>
        <v>011125</v>
      </c>
      <c r="E1161" t="str">
        <f t="shared" si="503"/>
        <v>COM</v>
      </c>
      <c r="F1161" t="str">
        <f t="shared" si="504"/>
        <v>CORA SOCIEDADE DE CREDITO, FINANCIAMENTO E INVESTIMENTO (20035)</v>
      </c>
      <c r="G1161" t="str">
        <f t="shared" si="505"/>
        <v>TAXA BOLETO CORA</v>
      </c>
      <c r="H1161" t="str">
        <f t="shared" si="506"/>
        <v>27/11/2025</v>
      </c>
      <c r="I1161" t="str">
        <f t="shared" si="507"/>
        <v>01/11/2025</v>
      </c>
      <c r="J1161" t="str">
        <f t="shared" si="499"/>
        <v>27/11/2025</v>
      </c>
      <c r="M1161">
        <v>401</v>
      </c>
      <c r="N1161" t="str">
        <f t="shared" si="508"/>
        <v>IOF/JUROS/DESP.FINANCEIRA</v>
      </c>
      <c r="P1161">
        <v>1.7</v>
      </c>
      <c r="Q1161" t="str">
        <f>"CORA SOCIEDADE DE CREDITO, FINANCIAMENTO E INVESTIMENTO (20035)"</f>
        <v>CORA SOCIEDADE DE CREDITO, FINANCIAMENTO E INVESTIMENTO (20035)</v>
      </c>
      <c r="R1161" t="str">
        <f t="shared" si="509"/>
        <v>BANCO CORA (102)</v>
      </c>
      <c r="S1161">
        <v>3394</v>
      </c>
      <c r="T1161">
        <v>2961</v>
      </c>
      <c r="U1161" t="s">
        <v>21</v>
      </c>
    </row>
    <row r="1162" spans="1:21">
      <c r="A1162" t="str">
        <f t="shared" si="498"/>
        <v>27/11/2025</v>
      </c>
      <c r="B1162" t="str">
        <f t="shared" si="500"/>
        <v>SAÍDA</v>
      </c>
      <c r="C1162" t="str">
        <f t="shared" si="501"/>
        <v>BOLETO</v>
      </c>
      <c r="D1162" t="str">
        <f t="shared" si="502"/>
        <v>011125</v>
      </c>
      <c r="E1162" t="str">
        <f t="shared" si="503"/>
        <v>COM</v>
      </c>
      <c r="F1162" t="str">
        <f t="shared" si="504"/>
        <v>CORA SOCIEDADE DE CREDITO, FINANCIAMENTO E INVESTIMENTO (20035)</v>
      </c>
      <c r="G1162" t="str">
        <f t="shared" si="505"/>
        <v>TAXA BOLETO CORA</v>
      </c>
      <c r="H1162" t="str">
        <f t="shared" si="506"/>
        <v>27/11/2025</v>
      </c>
      <c r="I1162" t="str">
        <f t="shared" si="507"/>
        <v>01/11/2025</v>
      </c>
      <c r="J1162" t="str">
        <f t="shared" si="499"/>
        <v>27/11/2025</v>
      </c>
      <c r="K1162">
        <v>1.7</v>
      </c>
      <c r="L1162">
        <v>1.7</v>
      </c>
      <c r="M1162">
        <v>401</v>
      </c>
      <c r="N1162" t="str">
        <f t="shared" si="508"/>
        <v>IOF/JUROS/DESP.FINANCEIRA</v>
      </c>
      <c r="O1162">
        <v>1.7</v>
      </c>
      <c r="R1162" t="str">
        <f t="shared" si="509"/>
        <v>BANCO CORA (102)</v>
      </c>
      <c r="S1162">
        <v>3395</v>
      </c>
      <c r="T1162">
        <v>2962</v>
      </c>
      <c r="U1162" t="s">
        <v>21</v>
      </c>
    </row>
    <row r="1163" spans="1:21">
      <c r="A1163" t="str">
        <f t="shared" si="498"/>
        <v>27/11/2025</v>
      </c>
      <c r="B1163" t="str">
        <f t="shared" si="500"/>
        <v>SAÍDA</v>
      </c>
      <c r="C1163" t="str">
        <f t="shared" si="501"/>
        <v>BOLETO</v>
      </c>
      <c r="D1163" t="str">
        <f t="shared" si="502"/>
        <v>011125</v>
      </c>
      <c r="E1163" t="str">
        <f t="shared" si="503"/>
        <v>COM</v>
      </c>
      <c r="F1163" t="str">
        <f t="shared" si="504"/>
        <v>CORA SOCIEDADE DE CREDITO, FINANCIAMENTO E INVESTIMENTO (20035)</v>
      </c>
      <c r="G1163" t="str">
        <f t="shared" si="505"/>
        <v>TAXA BOLETO CORA</v>
      </c>
      <c r="H1163" t="str">
        <f t="shared" si="506"/>
        <v>27/11/2025</v>
      </c>
      <c r="I1163" t="str">
        <f t="shared" si="507"/>
        <v>01/11/2025</v>
      </c>
      <c r="J1163" t="str">
        <f t="shared" si="499"/>
        <v>27/11/2025</v>
      </c>
      <c r="M1163">
        <v>401</v>
      </c>
      <c r="N1163" t="str">
        <f t="shared" si="508"/>
        <v>IOF/JUROS/DESP.FINANCEIRA</v>
      </c>
      <c r="P1163">
        <v>1.7</v>
      </c>
      <c r="Q1163" t="str">
        <f>"CORA SOCIEDADE DE CREDITO, FINANCIAMENTO E INVESTIMENTO (20035)"</f>
        <v>CORA SOCIEDADE DE CREDITO, FINANCIAMENTO E INVESTIMENTO (20035)</v>
      </c>
      <c r="R1163" t="str">
        <f t="shared" si="509"/>
        <v>BANCO CORA (102)</v>
      </c>
      <c r="S1163">
        <v>3395</v>
      </c>
      <c r="T1163">
        <v>2962</v>
      </c>
      <c r="U1163" t="s">
        <v>21</v>
      </c>
    </row>
    <row r="1164" spans="1:21">
      <c r="A1164" t="str">
        <f t="shared" si="498"/>
        <v>27/11/2025</v>
      </c>
      <c r="B1164" t="str">
        <f t="shared" si="500"/>
        <v>SAÍDA</v>
      </c>
      <c r="C1164" t="str">
        <f t="shared" si="501"/>
        <v>BOLETO</v>
      </c>
      <c r="D1164" t="str">
        <f t="shared" si="502"/>
        <v>011125</v>
      </c>
      <c r="E1164" t="str">
        <f t="shared" si="503"/>
        <v>COM</v>
      </c>
      <c r="F1164" t="str">
        <f t="shared" si="504"/>
        <v>CORA SOCIEDADE DE CREDITO, FINANCIAMENTO E INVESTIMENTO (20035)</v>
      </c>
      <c r="G1164" t="str">
        <f t="shared" si="505"/>
        <v>TAXA BOLETO CORA</v>
      </c>
      <c r="H1164" t="str">
        <f t="shared" si="506"/>
        <v>27/11/2025</v>
      </c>
      <c r="I1164" t="str">
        <f t="shared" si="507"/>
        <v>01/11/2025</v>
      </c>
      <c r="J1164" t="str">
        <f t="shared" si="499"/>
        <v>27/11/2025</v>
      </c>
      <c r="K1164">
        <v>1.7</v>
      </c>
      <c r="L1164">
        <v>1.7</v>
      </c>
      <c r="M1164">
        <v>401</v>
      </c>
      <c r="N1164" t="str">
        <f t="shared" si="508"/>
        <v>IOF/JUROS/DESP.FINANCEIRA</v>
      </c>
      <c r="O1164">
        <v>1.7</v>
      </c>
      <c r="R1164" t="str">
        <f t="shared" si="509"/>
        <v>BANCO CORA (102)</v>
      </c>
      <c r="S1164">
        <v>3396</v>
      </c>
      <c r="T1164">
        <v>2963</v>
      </c>
      <c r="U1164" t="s">
        <v>21</v>
      </c>
    </row>
    <row r="1165" spans="1:21">
      <c r="A1165" t="str">
        <f t="shared" si="498"/>
        <v>27/11/2025</v>
      </c>
      <c r="B1165" t="str">
        <f t="shared" si="500"/>
        <v>SAÍDA</v>
      </c>
      <c r="C1165" t="str">
        <f t="shared" si="501"/>
        <v>BOLETO</v>
      </c>
      <c r="D1165" t="str">
        <f t="shared" si="502"/>
        <v>011125</v>
      </c>
      <c r="E1165" t="str">
        <f t="shared" si="503"/>
        <v>COM</v>
      </c>
      <c r="F1165" t="str">
        <f t="shared" si="504"/>
        <v>CORA SOCIEDADE DE CREDITO, FINANCIAMENTO E INVESTIMENTO (20035)</v>
      </c>
      <c r="G1165" t="str">
        <f t="shared" si="505"/>
        <v>TAXA BOLETO CORA</v>
      </c>
      <c r="H1165" t="str">
        <f t="shared" si="506"/>
        <v>27/11/2025</v>
      </c>
      <c r="I1165" t="str">
        <f t="shared" si="507"/>
        <v>01/11/2025</v>
      </c>
      <c r="J1165" t="str">
        <f t="shared" si="499"/>
        <v>27/11/2025</v>
      </c>
      <c r="M1165">
        <v>401</v>
      </c>
      <c r="N1165" t="str">
        <f t="shared" si="508"/>
        <v>IOF/JUROS/DESP.FINANCEIRA</v>
      </c>
      <c r="P1165">
        <v>1.7</v>
      </c>
      <c r="Q1165" t="str">
        <f>"CORA SOCIEDADE DE CREDITO, FINANCIAMENTO E INVESTIMENTO (20035)"</f>
        <v>CORA SOCIEDADE DE CREDITO, FINANCIAMENTO E INVESTIMENTO (20035)</v>
      </c>
      <c r="R1165" t="str">
        <f t="shared" si="509"/>
        <v>BANCO CORA (102)</v>
      </c>
      <c r="S1165">
        <v>3396</v>
      </c>
      <c r="T1165">
        <v>2963</v>
      </c>
      <c r="U1165" t="s">
        <v>21</v>
      </c>
    </row>
    <row r="1166" spans="1:21">
      <c r="A1166" t="str">
        <f t="shared" si="498"/>
        <v>27/11/2025</v>
      </c>
      <c r="B1166" t="str">
        <f t="shared" si="500"/>
        <v>SAÍDA</v>
      </c>
      <c r="C1166" t="str">
        <f t="shared" si="501"/>
        <v>BOLETO</v>
      </c>
      <c r="D1166" t="str">
        <f t="shared" si="502"/>
        <v>011125</v>
      </c>
      <c r="E1166" t="str">
        <f t="shared" si="503"/>
        <v>COM</v>
      </c>
      <c r="F1166" t="str">
        <f t="shared" si="504"/>
        <v>CORA SOCIEDADE DE CREDITO, FINANCIAMENTO E INVESTIMENTO (20035)</v>
      </c>
      <c r="G1166" t="str">
        <f t="shared" si="505"/>
        <v>TAXA BOLETO CORA</v>
      </c>
      <c r="H1166" t="str">
        <f t="shared" si="506"/>
        <v>27/11/2025</v>
      </c>
      <c r="I1166" t="str">
        <f t="shared" si="507"/>
        <v>01/11/2025</v>
      </c>
      <c r="J1166" t="str">
        <f t="shared" si="499"/>
        <v>27/11/2025</v>
      </c>
      <c r="K1166">
        <v>1.7</v>
      </c>
      <c r="L1166">
        <v>1.7</v>
      </c>
      <c r="M1166">
        <v>401</v>
      </c>
      <c r="N1166" t="str">
        <f t="shared" si="508"/>
        <v>IOF/JUROS/DESP.FINANCEIRA</v>
      </c>
      <c r="O1166">
        <v>1.7</v>
      </c>
      <c r="R1166" t="str">
        <f t="shared" si="509"/>
        <v>BANCO CORA (102)</v>
      </c>
      <c r="S1166">
        <v>3397</v>
      </c>
      <c r="T1166">
        <v>2964</v>
      </c>
      <c r="U1166" t="s">
        <v>21</v>
      </c>
    </row>
    <row r="1167" spans="1:21">
      <c r="A1167" t="str">
        <f t="shared" si="498"/>
        <v>27/11/2025</v>
      </c>
      <c r="B1167" t="str">
        <f t="shared" si="500"/>
        <v>SAÍDA</v>
      </c>
      <c r="C1167" t="str">
        <f t="shared" si="501"/>
        <v>BOLETO</v>
      </c>
      <c r="D1167" t="str">
        <f t="shared" si="502"/>
        <v>011125</v>
      </c>
      <c r="E1167" t="str">
        <f t="shared" si="503"/>
        <v>COM</v>
      </c>
      <c r="F1167" t="str">
        <f t="shared" si="504"/>
        <v>CORA SOCIEDADE DE CREDITO, FINANCIAMENTO E INVESTIMENTO (20035)</v>
      </c>
      <c r="G1167" t="str">
        <f t="shared" si="505"/>
        <v>TAXA BOLETO CORA</v>
      </c>
      <c r="H1167" t="str">
        <f t="shared" si="506"/>
        <v>27/11/2025</v>
      </c>
      <c r="I1167" t="str">
        <f t="shared" si="507"/>
        <v>01/11/2025</v>
      </c>
      <c r="J1167" t="str">
        <f t="shared" si="499"/>
        <v>27/11/2025</v>
      </c>
      <c r="M1167">
        <v>401</v>
      </c>
      <c r="N1167" t="str">
        <f t="shared" si="508"/>
        <v>IOF/JUROS/DESP.FINANCEIRA</v>
      </c>
      <c r="P1167">
        <v>1.7</v>
      </c>
      <c r="Q1167" t="str">
        <f>"CORA SOCIEDADE DE CREDITO, FINANCIAMENTO E INVESTIMENTO (20035)"</f>
        <v>CORA SOCIEDADE DE CREDITO, FINANCIAMENTO E INVESTIMENTO (20035)</v>
      </c>
      <c r="R1167" t="str">
        <f t="shared" si="509"/>
        <v>BANCO CORA (102)</v>
      </c>
      <c r="S1167">
        <v>3397</v>
      </c>
      <c r="T1167">
        <v>2964</v>
      </c>
      <c r="U1167" t="s">
        <v>21</v>
      </c>
    </row>
    <row r="1168" spans="1:21">
      <c r="A1168" t="str">
        <f t="shared" si="498"/>
        <v>27/11/2025</v>
      </c>
      <c r="B1168" t="str">
        <f t="shared" si="500"/>
        <v>SAÍDA</v>
      </c>
      <c r="C1168" t="str">
        <f t="shared" si="501"/>
        <v>BOLETO</v>
      </c>
      <c r="D1168" t="str">
        <f t="shared" si="502"/>
        <v>011125</v>
      </c>
      <c r="E1168" t="str">
        <f t="shared" si="503"/>
        <v>COM</v>
      </c>
      <c r="F1168" t="str">
        <f t="shared" si="504"/>
        <v>CORA SOCIEDADE DE CREDITO, FINANCIAMENTO E INVESTIMENTO (20035)</v>
      </c>
      <c r="G1168" t="str">
        <f t="shared" si="505"/>
        <v>TAXA BOLETO CORA</v>
      </c>
      <c r="H1168" t="str">
        <f t="shared" si="506"/>
        <v>27/11/2025</v>
      </c>
      <c r="I1168" t="str">
        <f t="shared" si="507"/>
        <v>01/11/2025</v>
      </c>
      <c r="J1168" t="str">
        <f t="shared" si="499"/>
        <v>27/11/2025</v>
      </c>
      <c r="K1168">
        <v>1.7</v>
      </c>
      <c r="L1168">
        <v>1.7</v>
      </c>
      <c r="M1168">
        <v>401</v>
      </c>
      <c r="N1168" t="str">
        <f t="shared" si="508"/>
        <v>IOF/JUROS/DESP.FINANCEIRA</v>
      </c>
      <c r="O1168">
        <v>1.7</v>
      </c>
      <c r="R1168" t="str">
        <f t="shared" si="509"/>
        <v>BANCO CORA (102)</v>
      </c>
      <c r="S1168">
        <v>3398</v>
      </c>
      <c r="T1168">
        <v>2965</v>
      </c>
      <c r="U1168" t="s">
        <v>21</v>
      </c>
    </row>
    <row r="1169" spans="1:21">
      <c r="A1169" t="str">
        <f t="shared" si="498"/>
        <v>27/11/2025</v>
      </c>
      <c r="B1169" t="str">
        <f t="shared" si="500"/>
        <v>SAÍDA</v>
      </c>
      <c r="C1169" t="str">
        <f t="shared" si="501"/>
        <v>BOLETO</v>
      </c>
      <c r="D1169" t="str">
        <f t="shared" si="502"/>
        <v>011125</v>
      </c>
      <c r="E1169" t="str">
        <f t="shared" si="503"/>
        <v>COM</v>
      </c>
      <c r="F1169" t="str">
        <f t="shared" si="504"/>
        <v>CORA SOCIEDADE DE CREDITO, FINANCIAMENTO E INVESTIMENTO (20035)</v>
      </c>
      <c r="G1169" t="str">
        <f t="shared" si="505"/>
        <v>TAXA BOLETO CORA</v>
      </c>
      <c r="H1169" t="str">
        <f t="shared" si="506"/>
        <v>27/11/2025</v>
      </c>
      <c r="I1169" t="str">
        <f t="shared" si="507"/>
        <v>01/11/2025</v>
      </c>
      <c r="J1169" t="str">
        <f t="shared" si="499"/>
        <v>27/11/2025</v>
      </c>
      <c r="M1169">
        <v>401</v>
      </c>
      <c r="N1169" t="str">
        <f t="shared" si="508"/>
        <v>IOF/JUROS/DESP.FINANCEIRA</v>
      </c>
      <c r="P1169">
        <v>1.7</v>
      </c>
      <c r="Q1169" t="str">
        <f>"CORA SOCIEDADE DE CREDITO, FINANCIAMENTO E INVESTIMENTO (20035)"</f>
        <v>CORA SOCIEDADE DE CREDITO, FINANCIAMENTO E INVESTIMENTO (20035)</v>
      </c>
      <c r="R1169" t="str">
        <f t="shared" si="509"/>
        <v>BANCO CORA (102)</v>
      </c>
      <c r="S1169">
        <v>3398</v>
      </c>
      <c r="T1169">
        <v>2965</v>
      </c>
      <c r="U1169" t="s">
        <v>21</v>
      </c>
    </row>
    <row r="1170" spans="1:21">
      <c r="A1170" t="str">
        <f t="shared" si="498"/>
        <v>27/11/2025</v>
      </c>
      <c r="B1170" t="str">
        <f t="shared" si="500"/>
        <v>SAÍDA</v>
      </c>
      <c r="C1170" t="str">
        <f t="shared" si="501"/>
        <v>BOLETO</v>
      </c>
      <c r="D1170" t="str">
        <f t="shared" si="502"/>
        <v>011125</v>
      </c>
      <c r="E1170" t="str">
        <f t="shared" si="503"/>
        <v>COM</v>
      </c>
      <c r="F1170" t="str">
        <f t="shared" si="504"/>
        <v>CORA SOCIEDADE DE CREDITO, FINANCIAMENTO E INVESTIMENTO (20035)</v>
      </c>
      <c r="G1170" t="str">
        <f t="shared" si="505"/>
        <v>TAXA BOLETO CORA</v>
      </c>
      <c r="H1170" t="str">
        <f t="shared" si="506"/>
        <v>27/11/2025</v>
      </c>
      <c r="I1170" t="str">
        <f t="shared" si="507"/>
        <v>01/11/2025</v>
      </c>
      <c r="J1170" t="str">
        <f t="shared" si="499"/>
        <v>27/11/2025</v>
      </c>
      <c r="K1170">
        <v>1.7</v>
      </c>
      <c r="L1170">
        <v>1.7</v>
      </c>
      <c r="M1170">
        <v>401</v>
      </c>
      <c r="N1170" t="str">
        <f t="shared" si="508"/>
        <v>IOF/JUROS/DESP.FINANCEIRA</v>
      </c>
      <c r="O1170">
        <v>1.7</v>
      </c>
      <c r="R1170" t="str">
        <f t="shared" si="509"/>
        <v>BANCO CORA (102)</v>
      </c>
      <c r="S1170">
        <v>3399</v>
      </c>
      <c r="T1170">
        <v>2966</v>
      </c>
      <c r="U1170" t="s">
        <v>21</v>
      </c>
    </row>
    <row r="1171" spans="1:21">
      <c r="A1171" t="str">
        <f t="shared" si="498"/>
        <v>27/11/2025</v>
      </c>
      <c r="B1171" t="str">
        <f t="shared" si="500"/>
        <v>SAÍDA</v>
      </c>
      <c r="C1171" t="str">
        <f t="shared" si="501"/>
        <v>BOLETO</v>
      </c>
      <c r="D1171" t="str">
        <f t="shared" si="502"/>
        <v>011125</v>
      </c>
      <c r="E1171" t="str">
        <f t="shared" si="503"/>
        <v>COM</v>
      </c>
      <c r="F1171" t="str">
        <f t="shared" si="504"/>
        <v>CORA SOCIEDADE DE CREDITO, FINANCIAMENTO E INVESTIMENTO (20035)</v>
      </c>
      <c r="G1171" t="str">
        <f t="shared" si="505"/>
        <v>TAXA BOLETO CORA</v>
      </c>
      <c r="H1171" t="str">
        <f t="shared" si="506"/>
        <v>27/11/2025</v>
      </c>
      <c r="I1171" t="str">
        <f t="shared" si="507"/>
        <v>01/11/2025</v>
      </c>
      <c r="J1171" t="str">
        <f t="shared" si="499"/>
        <v>27/11/2025</v>
      </c>
      <c r="M1171">
        <v>401</v>
      </c>
      <c r="N1171" t="str">
        <f t="shared" si="508"/>
        <v>IOF/JUROS/DESP.FINANCEIRA</v>
      </c>
      <c r="P1171">
        <v>1.7</v>
      </c>
      <c r="Q1171" t="str">
        <f>"CORA SOCIEDADE DE CREDITO, FINANCIAMENTO E INVESTIMENTO (20035)"</f>
        <v>CORA SOCIEDADE DE CREDITO, FINANCIAMENTO E INVESTIMENTO (20035)</v>
      </c>
      <c r="R1171" t="str">
        <f t="shared" si="509"/>
        <v>BANCO CORA (102)</v>
      </c>
      <c r="S1171">
        <v>3399</v>
      </c>
      <c r="T1171">
        <v>2966</v>
      </c>
      <c r="U1171" t="s">
        <v>21</v>
      </c>
    </row>
    <row r="1172" spans="1:21">
      <c r="A1172" t="str">
        <f t="shared" si="498"/>
        <v>27/11/2025</v>
      </c>
      <c r="B1172" t="str">
        <f t="shared" si="500"/>
        <v>SAÍDA</v>
      </c>
      <c r="C1172" t="str">
        <f t="shared" si="501"/>
        <v>BOLETO</v>
      </c>
      <c r="D1172" t="str">
        <f t="shared" si="502"/>
        <v>011125</v>
      </c>
      <c r="E1172" t="str">
        <f t="shared" si="503"/>
        <v>COM</v>
      </c>
      <c r="F1172" t="str">
        <f t="shared" si="504"/>
        <v>CORA SOCIEDADE DE CREDITO, FINANCIAMENTO E INVESTIMENTO (20035)</v>
      </c>
      <c r="G1172" t="str">
        <f t="shared" si="505"/>
        <v>TAXA BOLETO CORA</v>
      </c>
      <c r="H1172" t="str">
        <f t="shared" si="506"/>
        <v>27/11/2025</v>
      </c>
      <c r="I1172" t="str">
        <f t="shared" si="507"/>
        <v>01/11/2025</v>
      </c>
      <c r="J1172" t="str">
        <f t="shared" si="499"/>
        <v>27/11/2025</v>
      </c>
      <c r="K1172">
        <v>1.7</v>
      </c>
      <c r="L1172">
        <v>1.7</v>
      </c>
      <c r="M1172">
        <v>401</v>
      </c>
      <c r="N1172" t="str">
        <f t="shared" si="508"/>
        <v>IOF/JUROS/DESP.FINANCEIRA</v>
      </c>
      <c r="O1172">
        <v>1.7</v>
      </c>
      <c r="R1172" t="str">
        <f t="shared" si="509"/>
        <v>BANCO CORA (102)</v>
      </c>
      <c r="S1172">
        <v>3400</v>
      </c>
      <c r="T1172">
        <v>2967</v>
      </c>
      <c r="U1172" t="s">
        <v>21</v>
      </c>
    </row>
    <row r="1173" spans="1:21">
      <c r="A1173" t="str">
        <f t="shared" si="498"/>
        <v>27/11/2025</v>
      </c>
      <c r="B1173" t="str">
        <f t="shared" si="500"/>
        <v>SAÍDA</v>
      </c>
      <c r="C1173" t="str">
        <f t="shared" si="501"/>
        <v>BOLETO</v>
      </c>
      <c r="D1173" t="str">
        <f t="shared" si="502"/>
        <v>011125</v>
      </c>
      <c r="E1173" t="str">
        <f t="shared" si="503"/>
        <v>COM</v>
      </c>
      <c r="F1173" t="str">
        <f t="shared" si="504"/>
        <v>CORA SOCIEDADE DE CREDITO, FINANCIAMENTO E INVESTIMENTO (20035)</v>
      </c>
      <c r="G1173" t="str">
        <f t="shared" si="505"/>
        <v>TAXA BOLETO CORA</v>
      </c>
      <c r="H1173" t="str">
        <f t="shared" si="506"/>
        <v>27/11/2025</v>
      </c>
      <c r="I1173" t="str">
        <f t="shared" si="507"/>
        <v>01/11/2025</v>
      </c>
      <c r="J1173" t="str">
        <f t="shared" si="499"/>
        <v>27/11/2025</v>
      </c>
      <c r="M1173">
        <v>401</v>
      </c>
      <c r="N1173" t="str">
        <f t="shared" si="508"/>
        <v>IOF/JUROS/DESP.FINANCEIRA</v>
      </c>
      <c r="P1173">
        <v>1.7</v>
      </c>
      <c r="Q1173" t="str">
        <f>"CORA SOCIEDADE DE CREDITO, FINANCIAMENTO E INVESTIMENTO (20035)"</f>
        <v>CORA SOCIEDADE DE CREDITO, FINANCIAMENTO E INVESTIMENTO (20035)</v>
      </c>
      <c r="R1173" t="str">
        <f t="shared" si="509"/>
        <v>BANCO CORA (102)</v>
      </c>
      <c r="S1173">
        <v>3400</v>
      </c>
      <c r="T1173">
        <v>2967</v>
      </c>
      <c r="U1173" t="s">
        <v>21</v>
      </c>
    </row>
    <row r="1174" spans="1:21">
      <c r="A1174" t="str">
        <f t="shared" si="498"/>
        <v>27/11/2025</v>
      </c>
      <c r="B1174" t="str">
        <f t="shared" si="500"/>
        <v>SAÍDA</v>
      </c>
      <c r="C1174" t="str">
        <f t="shared" si="501"/>
        <v>BOLETO</v>
      </c>
      <c r="D1174" t="str">
        <f t="shared" si="502"/>
        <v>011125</v>
      </c>
      <c r="E1174" t="str">
        <f t="shared" si="503"/>
        <v>COM</v>
      </c>
      <c r="F1174" t="str">
        <f t="shared" si="504"/>
        <v>CORA SOCIEDADE DE CREDITO, FINANCIAMENTO E INVESTIMENTO (20035)</v>
      </c>
      <c r="G1174" t="str">
        <f t="shared" si="505"/>
        <v>TAXA BOLETO CORA</v>
      </c>
      <c r="H1174" t="str">
        <f t="shared" si="506"/>
        <v>27/11/2025</v>
      </c>
      <c r="I1174" t="str">
        <f t="shared" si="507"/>
        <v>01/11/2025</v>
      </c>
      <c r="J1174" t="str">
        <f t="shared" si="499"/>
        <v>27/11/2025</v>
      </c>
      <c r="K1174">
        <v>1.7</v>
      </c>
      <c r="L1174">
        <v>1.7</v>
      </c>
      <c r="M1174">
        <v>401</v>
      </c>
      <c r="N1174" t="str">
        <f t="shared" si="508"/>
        <v>IOF/JUROS/DESP.FINANCEIRA</v>
      </c>
      <c r="O1174">
        <v>1.7</v>
      </c>
      <c r="R1174" t="str">
        <f t="shared" si="509"/>
        <v>BANCO CORA (102)</v>
      </c>
      <c r="S1174">
        <v>3401</v>
      </c>
      <c r="T1174">
        <v>2968</v>
      </c>
      <c r="U1174" t="s">
        <v>21</v>
      </c>
    </row>
    <row r="1175" spans="1:21">
      <c r="A1175" t="str">
        <f t="shared" si="498"/>
        <v>27/11/2025</v>
      </c>
      <c r="B1175" t="str">
        <f t="shared" si="500"/>
        <v>SAÍDA</v>
      </c>
      <c r="C1175" t="str">
        <f t="shared" si="501"/>
        <v>BOLETO</v>
      </c>
      <c r="D1175" t="str">
        <f t="shared" si="502"/>
        <v>011125</v>
      </c>
      <c r="E1175" t="str">
        <f t="shared" si="503"/>
        <v>COM</v>
      </c>
      <c r="F1175" t="str">
        <f t="shared" si="504"/>
        <v>CORA SOCIEDADE DE CREDITO, FINANCIAMENTO E INVESTIMENTO (20035)</v>
      </c>
      <c r="G1175" t="str">
        <f t="shared" si="505"/>
        <v>TAXA BOLETO CORA</v>
      </c>
      <c r="H1175" t="str">
        <f t="shared" si="506"/>
        <v>27/11/2025</v>
      </c>
      <c r="I1175" t="str">
        <f t="shared" si="507"/>
        <v>01/11/2025</v>
      </c>
      <c r="J1175" t="str">
        <f t="shared" si="499"/>
        <v>27/11/2025</v>
      </c>
      <c r="M1175">
        <v>401</v>
      </c>
      <c r="N1175" t="str">
        <f t="shared" si="508"/>
        <v>IOF/JUROS/DESP.FINANCEIRA</v>
      </c>
      <c r="P1175">
        <v>1.7</v>
      </c>
      <c r="Q1175" t="str">
        <f>"CORA SOCIEDADE DE CREDITO, FINANCIAMENTO E INVESTIMENTO (20035)"</f>
        <v>CORA SOCIEDADE DE CREDITO, FINANCIAMENTO E INVESTIMENTO (20035)</v>
      </c>
      <c r="R1175" t="str">
        <f t="shared" si="509"/>
        <v>BANCO CORA (102)</v>
      </c>
      <c r="S1175">
        <v>3401</v>
      </c>
      <c r="T1175">
        <v>2968</v>
      </c>
      <c r="U1175" t="s">
        <v>21</v>
      </c>
    </row>
    <row r="1176" spans="1:21">
      <c r="A1176" t="str">
        <f t="shared" si="498"/>
        <v>27/11/2025</v>
      </c>
      <c r="B1176" t="str">
        <f t="shared" si="500"/>
        <v>SAÍDA</v>
      </c>
      <c r="C1176" t="str">
        <f t="shared" si="501"/>
        <v>BOLETO</v>
      </c>
      <c r="D1176" t="str">
        <f t="shared" si="502"/>
        <v>011125</v>
      </c>
      <c r="E1176" t="str">
        <f t="shared" si="503"/>
        <v>COM</v>
      </c>
      <c r="F1176" t="str">
        <f t="shared" si="504"/>
        <v>CORA SOCIEDADE DE CREDITO, FINANCIAMENTO E INVESTIMENTO (20035)</v>
      </c>
      <c r="G1176" t="str">
        <f t="shared" si="505"/>
        <v>TAXA BOLETO CORA</v>
      </c>
      <c r="H1176" t="str">
        <f t="shared" si="506"/>
        <v>27/11/2025</v>
      </c>
      <c r="I1176" t="str">
        <f t="shared" si="507"/>
        <v>01/11/2025</v>
      </c>
      <c r="J1176" t="str">
        <f t="shared" si="499"/>
        <v>27/11/2025</v>
      </c>
      <c r="K1176">
        <v>1.7</v>
      </c>
      <c r="L1176">
        <v>1.7</v>
      </c>
      <c r="M1176">
        <v>401</v>
      </c>
      <c r="N1176" t="str">
        <f t="shared" si="508"/>
        <v>IOF/JUROS/DESP.FINANCEIRA</v>
      </c>
      <c r="O1176">
        <v>1.7</v>
      </c>
      <c r="R1176" t="str">
        <f t="shared" si="509"/>
        <v>BANCO CORA (102)</v>
      </c>
      <c r="S1176">
        <v>3402</v>
      </c>
      <c r="T1176">
        <v>2969</v>
      </c>
      <c r="U1176" t="s">
        <v>21</v>
      </c>
    </row>
    <row r="1177" spans="1:21">
      <c r="A1177" t="str">
        <f t="shared" si="498"/>
        <v>27/11/2025</v>
      </c>
      <c r="B1177" t="str">
        <f t="shared" si="500"/>
        <v>SAÍDA</v>
      </c>
      <c r="C1177" t="str">
        <f t="shared" si="501"/>
        <v>BOLETO</v>
      </c>
      <c r="D1177" t="str">
        <f t="shared" si="502"/>
        <v>011125</v>
      </c>
      <c r="E1177" t="str">
        <f t="shared" si="503"/>
        <v>COM</v>
      </c>
      <c r="F1177" t="str">
        <f t="shared" si="504"/>
        <v>CORA SOCIEDADE DE CREDITO, FINANCIAMENTO E INVESTIMENTO (20035)</v>
      </c>
      <c r="G1177" t="str">
        <f t="shared" si="505"/>
        <v>TAXA BOLETO CORA</v>
      </c>
      <c r="H1177" t="str">
        <f t="shared" si="506"/>
        <v>27/11/2025</v>
      </c>
      <c r="I1177" t="str">
        <f t="shared" si="507"/>
        <v>01/11/2025</v>
      </c>
      <c r="J1177" t="str">
        <f t="shared" si="499"/>
        <v>27/11/2025</v>
      </c>
      <c r="M1177">
        <v>401</v>
      </c>
      <c r="N1177" t="str">
        <f t="shared" si="508"/>
        <v>IOF/JUROS/DESP.FINANCEIRA</v>
      </c>
      <c r="P1177">
        <v>1.7</v>
      </c>
      <c r="Q1177" t="str">
        <f>"CORA SOCIEDADE DE CREDITO, FINANCIAMENTO E INVESTIMENTO (20035)"</f>
        <v>CORA SOCIEDADE DE CREDITO, FINANCIAMENTO E INVESTIMENTO (20035)</v>
      </c>
      <c r="R1177" t="str">
        <f t="shared" si="509"/>
        <v>BANCO CORA (102)</v>
      </c>
      <c r="S1177">
        <v>3402</v>
      </c>
      <c r="T1177">
        <v>2969</v>
      </c>
      <c r="U1177" t="s">
        <v>21</v>
      </c>
    </row>
    <row r="1178" spans="1:21">
      <c r="A1178" t="str">
        <f t="shared" si="498"/>
        <v>27/11/2025</v>
      </c>
      <c r="B1178" t="str">
        <f t="shared" si="500"/>
        <v>SAÍDA</v>
      </c>
      <c r="C1178" t="str">
        <f t="shared" si="501"/>
        <v>BOLETO</v>
      </c>
      <c r="D1178" t="str">
        <f t="shared" si="502"/>
        <v>011125</v>
      </c>
      <c r="E1178" t="str">
        <f t="shared" si="503"/>
        <v>COM</v>
      </c>
      <c r="F1178" t="str">
        <f t="shared" si="504"/>
        <v>CORA SOCIEDADE DE CREDITO, FINANCIAMENTO E INVESTIMENTO (20035)</v>
      </c>
      <c r="G1178" t="str">
        <f t="shared" si="505"/>
        <v>TAXA BOLETO CORA</v>
      </c>
      <c r="H1178" t="str">
        <f t="shared" si="506"/>
        <v>27/11/2025</v>
      </c>
      <c r="I1178" t="str">
        <f t="shared" si="507"/>
        <v>01/11/2025</v>
      </c>
      <c r="J1178" t="str">
        <f t="shared" si="499"/>
        <v>27/11/2025</v>
      </c>
      <c r="K1178">
        <v>1.7</v>
      </c>
      <c r="L1178">
        <v>1.7</v>
      </c>
      <c r="M1178">
        <v>401</v>
      </c>
      <c r="N1178" t="str">
        <f t="shared" si="508"/>
        <v>IOF/JUROS/DESP.FINANCEIRA</v>
      </c>
      <c r="O1178">
        <v>1.7</v>
      </c>
      <c r="R1178" t="str">
        <f t="shared" si="509"/>
        <v>BANCO CORA (102)</v>
      </c>
      <c r="S1178">
        <v>3403</v>
      </c>
      <c r="T1178">
        <v>2970</v>
      </c>
      <c r="U1178" t="s">
        <v>21</v>
      </c>
    </row>
    <row r="1179" spans="1:21">
      <c r="A1179" t="str">
        <f t="shared" si="498"/>
        <v>27/11/2025</v>
      </c>
      <c r="B1179" t="str">
        <f t="shared" si="500"/>
        <v>SAÍDA</v>
      </c>
      <c r="C1179" t="str">
        <f t="shared" si="501"/>
        <v>BOLETO</v>
      </c>
      <c r="D1179" t="str">
        <f t="shared" si="502"/>
        <v>011125</v>
      </c>
      <c r="E1179" t="str">
        <f t="shared" si="503"/>
        <v>COM</v>
      </c>
      <c r="F1179" t="str">
        <f t="shared" si="504"/>
        <v>CORA SOCIEDADE DE CREDITO, FINANCIAMENTO E INVESTIMENTO (20035)</v>
      </c>
      <c r="G1179" t="str">
        <f t="shared" si="505"/>
        <v>TAXA BOLETO CORA</v>
      </c>
      <c r="H1179" t="str">
        <f t="shared" si="506"/>
        <v>27/11/2025</v>
      </c>
      <c r="I1179" t="str">
        <f t="shared" si="507"/>
        <v>01/11/2025</v>
      </c>
      <c r="J1179" t="str">
        <f t="shared" si="499"/>
        <v>27/11/2025</v>
      </c>
      <c r="M1179">
        <v>401</v>
      </c>
      <c r="N1179" t="str">
        <f t="shared" si="508"/>
        <v>IOF/JUROS/DESP.FINANCEIRA</v>
      </c>
      <c r="P1179">
        <v>1.7</v>
      </c>
      <c r="Q1179" t="str">
        <f>"CORA SOCIEDADE DE CREDITO, FINANCIAMENTO E INVESTIMENTO (20035)"</f>
        <v>CORA SOCIEDADE DE CREDITO, FINANCIAMENTO E INVESTIMENTO (20035)</v>
      </c>
      <c r="R1179" t="str">
        <f t="shared" si="509"/>
        <v>BANCO CORA (102)</v>
      </c>
      <c r="S1179">
        <v>3403</v>
      </c>
      <c r="T1179">
        <v>2970</v>
      </c>
      <c r="U1179" t="s">
        <v>21</v>
      </c>
    </row>
    <row r="1180" spans="1:21">
      <c r="A1180" t="str">
        <f t="shared" ref="A1180:A1190" si="510">("27/11/2025")</f>
        <v>27/11/2025</v>
      </c>
      <c r="B1180" t="str">
        <f t="shared" si="500"/>
        <v>SAÍDA</v>
      </c>
      <c r="C1180" t="str">
        <f t="shared" si="501"/>
        <v>BOLETO</v>
      </c>
      <c r="D1180" t="str">
        <f t="shared" si="502"/>
        <v>011125</v>
      </c>
      <c r="E1180" t="str">
        <f t="shared" si="503"/>
        <v>COM</v>
      </c>
      <c r="F1180" t="str">
        <f t="shared" si="504"/>
        <v>CORA SOCIEDADE DE CREDITO, FINANCIAMENTO E INVESTIMENTO (20035)</v>
      </c>
      <c r="G1180" t="str">
        <f t="shared" si="505"/>
        <v>TAXA BOLETO CORA</v>
      </c>
      <c r="H1180" t="str">
        <f t="shared" si="506"/>
        <v>27/11/2025</v>
      </c>
      <c r="I1180" t="str">
        <f t="shared" si="507"/>
        <v>01/11/2025</v>
      </c>
      <c r="J1180" t="str">
        <f t="shared" ref="J1180:J1190" si="511">("27/11/2025")</f>
        <v>27/11/2025</v>
      </c>
      <c r="K1180">
        <v>1.7</v>
      </c>
      <c r="L1180">
        <v>1.7</v>
      </c>
      <c r="M1180">
        <v>401</v>
      </c>
      <c r="N1180" t="str">
        <f t="shared" si="508"/>
        <v>IOF/JUROS/DESP.FINANCEIRA</v>
      </c>
      <c r="O1180">
        <v>1.7</v>
      </c>
      <c r="R1180" t="str">
        <f t="shared" si="509"/>
        <v>BANCO CORA (102)</v>
      </c>
      <c r="S1180">
        <v>3404</v>
      </c>
      <c r="T1180">
        <v>2971</v>
      </c>
      <c r="U1180" t="s">
        <v>21</v>
      </c>
    </row>
    <row r="1181" spans="1:21">
      <c r="A1181" t="str">
        <f t="shared" si="510"/>
        <v>27/11/2025</v>
      </c>
      <c r="B1181" t="str">
        <f t="shared" si="500"/>
        <v>SAÍDA</v>
      </c>
      <c r="C1181" t="str">
        <f t="shared" si="501"/>
        <v>BOLETO</v>
      </c>
      <c r="D1181" t="str">
        <f t="shared" si="502"/>
        <v>011125</v>
      </c>
      <c r="E1181" t="str">
        <f t="shared" si="503"/>
        <v>COM</v>
      </c>
      <c r="F1181" t="str">
        <f t="shared" si="504"/>
        <v>CORA SOCIEDADE DE CREDITO, FINANCIAMENTO E INVESTIMENTO (20035)</v>
      </c>
      <c r="G1181" t="str">
        <f t="shared" si="505"/>
        <v>TAXA BOLETO CORA</v>
      </c>
      <c r="H1181" t="str">
        <f t="shared" si="506"/>
        <v>27/11/2025</v>
      </c>
      <c r="I1181" t="str">
        <f t="shared" si="507"/>
        <v>01/11/2025</v>
      </c>
      <c r="J1181" t="str">
        <f t="shared" si="511"/>
        <v>27/11/2025</v>
      </c>
      <c r="M1181">
        <v>401</v>
      </c>
      <c r="N1181" t="str">
        <f t="shared" si="508"/>
        <v>IOF/JUROS/DESP.FINANCEIRA</v>
      </c>
      <c r="P1181">
        <v>1.7</v>
      </c>
      <c r="Q1181" t="str">
        <f>"CORA SOCIEDADE DE CREDITO, FINANCIAMENTO E INVESTIMENTO (20035)"</f>
        <v>CORA SOCIEDADE DE CREDITO, FINANCIAMENTO E INVESTIMENTO (20035)</v>
      </c>
      <c r="R1181" t="str">
        <f t="shared" si="509"/>
        <v>BANCO CORA (102)</v>
      </c>
      <c r="S1181">
        <v>3404</v>
      </c>
      <c r="T1181">
        <v>2971</v>
      </c>
      <c r="U1181" t="s">
        <v>21</v>
      </c>
    </row>
    <row r="1182" spans="1:21">
      <c r="A1182" t="str">
        <f t="shared" si="510"/>
        <v>27/11/2025</v>
      </c>
      <c r="B1182" t="str">
        <f t="shared" si="500"/>
        <v>SAÍDA</v>
      </c>
      <c r="C1182" t="str">
        <f>""</f>
        <v/>
      </c>
      <c r="D1182" t="str">
        <f>""</f>
        <v/>
      </c>
      <c r="E1182" t="str">
        <f>"CXA"</f>
        <v>CXA</v>
      </c>
      <c r="F1182" t="str">
        <f>""</f>
        <v/>
      </c>
      <c r="G1182" t="str">
        <f>"DESPESAS EVENTO CONFRATERNIZAÇÃO NATAL "</f>
        <v xml:space="preserve">DESPESAS EVENTO CONFRATERNIZAÇÃO NATAL </v>
      </c>
      <c r="H1182" t="str">
        <f t="shared" si="506"/>
        <v>27/11/2025</v>
      </c>
      <c r="I1182" t="str">
        <f>("27/11/2025")</f>
        <v>27/11/2025</v>
      </c>
      <c r="J1182" t="str">
        <f t="shared" si="511"/>
        <v>27/11/2025</v>
      </c>
      <c r="K1182">
        <v>198</v>
      </c>
      <c r="L1182">
        <v>198</v>
      </c>
      <c r="M1182">
        <v>129</v>
      </c>
      <c r="N1182" t="str">
        <f>"DESPESAS COM EVENTOS"</f>
        <v>DESPESAS COM EVENTOS</v>
      </c>
      <c r="O1182">
        <v>198</v>
      </c>
      <c r="R1182" t="str">
        <f t="shared" si="509"/>
        <v>BANCO CORA (102)</v>
      </c>
      <c r="S1182">
        <v>3405</v>
      </c>
      <c r="T1182">
        <v>0</v>
      </c>
      <c r="U1182" t="s">
        <v>23</v>
      </c>
    </row>
    <row r="1183" spans="1:21">
      <c r="A1183" t="str">
        <f t="shared" si="510"/>
        <v>27/11/2025</v>
      </c>
      <c r="B1183" t="str">
        <f t="shared" ref="B1183:B1191" si="512">"ENTRADA"</f>
        <v>ENTRADA</v>
      </c>
      <c r="C1183" t="str">
        <f t="shared" ref="C1183:C1190" si="513">"NFSE"</f>
        <v>NFSE</v>
      </c>
      <c r="D1183" t="str">
        <f>"3915"</f>
        <v>3915</v>
      </c>
      <c r="E1183" t="str">
        <f t="shared" ref="E1183:E1190" si="514">"COM"</f>
        <v>COM</v>
      </c>
      <c r="F1183" t="str">
        <f>"DROGARIA NIQUINHO (10257)"</f>
        <v>DROGARIA NIQUINHO (10257)</v>
      </c>
      <c r="G1183" t="str">
        <f>"Serv.Prest. 17/11/2025 a 23/11/2025 - RPS: 1678 - NFSe: 3915"</f>
        <v>Serv.Prest. 17/11/2025 a 23/11/2025 - RPS: 1678 - NFSe: 3915</v>
      </c>
      <c r="H1183" t="str">
        <f t="shared" ref="H1183:H1190" si="515">("26/11/2025")</f>
        <v>26/11/2025</v>
      </c>
      <c r="I1183" t="str">
        <f>("25/11/2025")</f>
        <v>25/11/2025</v>
      </c>
      <c r="J1183" t="str">
        <f t="shared" si="511"/>
        <v>27/11/2025</v>
      </c>
      <c r="K1183">
        <v>172.73</v>
      </c>
      <c r="L1183">
        <v>176.23</v>
      </c>
      <c r="M1183">
        <v>303</v>
      </c>
      <c r="N1183" t="str">
        <f t="shared" ref="N1183:N1190" si="516">"RECEITAS COM ENTREGAS"</f>
        <v>RECEITAS COM ENTREGAS</v>
      </c>
      <c r="O1183">
        <v>176.23</v>
      </c>
      <c r="R1183" t="str">
        <f t="shared" ref="R1183:R1190" si="517">"RECEITAS COM ENTREGAS (303)"</f>
        <v>RECEITAS COM ENTREGAS (303)</v>
      </c>
      <c r="S1183">
        <v>3406</v>
      </c>
      <c r="T1183">
        <v>2827</v>
      </c>
      <c r="U1183" t="s">
        <v>21</v>
      </c>
    </row>
    <row r="1184" spans="1:21">
      <c r="A1184" t="str">
        <f t="shared" si="510"/>
        <v>27/11/2025</v>
      </c>
      <c r="B1184" t="str">
        <f t="shared" si="512"/>
        <v>ENTRADA</v>
      </c>
      <c r="C1184" t="str">
        <f t="shared" si="513"/>
        <v>NFSE</v>
      </c>
      <c r="D1184" t="str">
        <f>"3915"</f>
        <v>3915</v>
      </c>
      <c r="E1184" t="str">
        <f t="shared" si="514"/>
        <v>COM</v>
      </c>
      <c r="F1184" t="str">
        <f>"DROGARIA NIQUINHO (10257)"</f>
        <v>DROGARIA NIQUINHO (10257)</v>
      </c>
      <c r="G1184" t="str">
        <f>"Serv.Prest. 17/11/2025 a 23/11/2025 - RPS: 1678 - NFSe: 3915"</f>
        <v>Serv.Prest. 17/11/2025 a 23/11/2025 - RPS: 1678 - NFSe: 3915</v>
      </c>
      <c r="H1184" t="str">
        <f t="shared" si="515"/>
        <v>26/11/2025</v>
      </c>
      <c r="I1184" t="str">
        <f>("25/11/2025")</f>
        <v>25/11/2025</v>
      </c>
      <c r="J1184" t="str">
        <f t="shared" si="511"/>
        <v>27/11/2025</v>
      </c>
      <c r="M1184">
        <v>303</v>
      </c>
      <c r="N1184" t="str">
        <f t="shared" si="516"/>
        <v>RECEITAS COM ENTREGAS</v>
      </c>
      <c r="P1184">
        <v>176.23</v>
      </c>
      <c r="Q1184" t="str">
        <f>"DROGARIA NIQUINHO (10257)"</f>
        <v>DROGARIA NIQUINHO (10257)</v>
      </c>
      <c r="R1184" t="str">
        <f t="shared" si="517"/>
        <v>RECEITAS COM ENTREGAS (303)</v>
      </c>
      <c r="S1184">
        <v>3406</v>
      </c>
      <c r="T1184">
        <v>2827</v>
      </c>
      <c r="U1184" t="s">
        <v>21</v>
      </c>
    </row>
    <row r="1185" spans="1:21">
      <c r="A1185" t="str">
        <f t="shared" si="510"/>
        <v>27/11/2025</v>
      </c>
      <c r="B1185" t="str">
        <f t="shared" si="512"/>
        <v>ENTRADA</v>
      </c>
      <c r="C1185" t="str">
        <f t="shared" si="513"/>
        <v>NFSE</v>
      </c>
      <c r="D1185" t="str">
        <f>"3897"</f>
        <v>3897</v>
      </c>
      <c r="E1185" t="str">
        <f t="shared" si="514"/>
        <v>COM</v>
      </c>
      <c r="F1185" t="str">
        <f>"PENSE FARMA 07 (10201)"</f>
        <v>PENSE FARMA 07 (10201)</v>
      </c>
      <c r="G1185" t="str">
        <f>"Serv.Prest. 17/11/2025 a 23/11/2025 - RPS: 1660 - NFSe: 3897"</f>
        <v>Serv.Prest. 17/11/2025 a 23/11/2025 - RPS: 1660 - NFSe: 3897</v>
      </c>
      <c r="H1185" t="str">
        <f t="shared" si="515"/>
        <v>26/11/2025</v>
      </c>
      <c r="I1185" t="str">
        <f t="shared" ref="I1185:I1190" si="518">("24/11/2025")</f>
        <v>24/11/2025</v>
      </c>
      <c r="J1185" t="str">
        <f t="shared" si="511"/>
        <v>27/11/2025</v>
      </c>
      <c r="K1185">
        <v>309.75</v>
      </c>
      <c r="L1185">
        <v>309.75</v>
      </c>
      <c r="M1185">
        <v>303</v>
      </c>
      <c r="N1185" t="str">
        <f t="shared" si="516"/>
        <v>RECEITAS COM ENTREGAS</v>
      </c>
      <c r="O1185">
        <v>309.75</v>
      </c>
      <c r="R1185" t="str">
        <f t="shared" si="517"/>
        <v>RECEITAS COM ENTREGAS (303)</v>
      </c>
      <c r="S1185">
        <v>3407</v>
      </c>
      <c r="T1185">
        <v>2808</v>
      </c>
      <c r="U1185" t="s">
        <v>21</v>
      </c>
    </row>
    <row r="1186" spans="1:21">
      <c r="A1186" t="str">
        <f t="shared" si="510"/>
        <v>27/11/2025</v>
      </c>
      <c r="B1186" t="str">
        <f t="shared" si="512"/>
        <v>ENTRADA</v>
      </c>
      <c r="C1186" t="str">
        <f t="shared" si="513"/>
        <v>NFSE</v>
      </c>
      <c r="D1186" t="str">
        <f>"3897"</f>
        <v>3897</v>
      </c>
      <c r="E1186" t="str">
        <f t="shared" si="514"/>
        <v>COM</v>
      </c>
      <c r="F1186" t="str">
        <f>"PENSE FARMA 07 (10201)"</f>
        <v>PENSE FARMA 07 (10201)</v>
      </c>
      <c r="G1186" t="str">
        <f>"Serv.Prest. 17/11/2025 a 23/11/2025 - RPS: 1660 - NFSe: 3897"</f>
        <v>Serv.Prest. 17/11/2025 a 23/11/2025 - RPS: 1660 - NFSe: 3897</v>
      </c>
      <c r="H1186" t="str">
        <f t="shared" si="515"/>
        <v>26/11/2025</v>
      </c>
      <c r="I1186" t="str">
        <f t="shared" si="518"/>
        <v>24/11/2025</v>
      </c>
      <c r="J1186" t="str">
        <f t="shared" si="511"/>
        <v>27/11/2025</v>
      </c>
      <c r="M1186">
        <v>303</v>
      </c>
      <c r="N1186" t="str">
        <f t="shared" si="516"/>
        <v>RECEITAS COM ENTREGAS</v>
      </c>
      <c r="P1186">
        <v>102.9</v>
      </c>
      <c r="Q1186" t="str">
        <f>"PENSE FARMA 07 (10201)"</f>
        <v>PENSE FARMA 07 (10201)</v>
      </c>
      <c r="R1186" t="str">
        <f t="shared" si="517"/>
        <v>RECEITAS COM ENTREGAS (303)</v>
      </c>
      <c r="S1186">
        <v>3407</v>
      </c>
      <c r="T1186">
        <v>2808</v>
      </c>
      <c r="U1186" t="s">
        <v>21</v>
      </c>
    </row>
    <row r="1187" spans="1:21">
      <c r="A1187" t="str">
        <f t="shared" si="510"/>
        <v>27/11/2025</v>
      </c>
      <c r="B1187" t="str">
        <f t="shared" si="512"/>
        <v>ENTRADA</v>
      </c>
      <c r="C1187" t="str">
        <f t="shared" si="513"/>
        <v>NFSE</v>
      </c>
      <c r="D1187" t="str">
        <f>"3897"</f>
        <v>3897</v>
      </c>
      <c r="E1187" t="str">
        <f t="shared" si="514"/>
        <v>COM</v>
      </c>
      <c r="F1187" t="str">
        <f>"PENSE FARMA 07 (10201)"</f>
        <v>PENSE FARMA 07 (10201)</v>
      </c>
      <c r="G1187" t="str">
        <f>"Serv.Prest. 17/11/2025 a 23/11/2025 - RPS: 1660 - NFSe: 3897"</f>
        <v>Serv.Prest. 17/11/2025 a 23/11/2025 - RPS: 1660 - NFSe: 3897</v>
      </c>
      <c r="H1187" t="str">
        <f t="shared" si="515"/>
        <v>26/11/2025</v>
      </c>
      <c r="I1187" t="str">
        <f t="shared" si="518"/>
        <v>24/11/2025</v>
      </c>
      <c r="J1187" t="str">
        <f t="shared" si="511"/>
        <v>27/11/2025</v>
      </c>
      <c r="M1187">
        <v>303</v>
      </c>
      <c r="N1187" t="str">
        <f t="shared" si="516"/>
        <v>RECEITAS COM ENTREGAS</v>
      </c>
      <c r="P1187">
        <v>102.9</v>
      </c>
      <c r="Q1187" t="str">
        <f>"PENSE FARMA 45 (10209)"</f>
        <v>PENSE FARMA 45 (10209)</v>
      </c>
      <c r="R1187" t="str">
        <f t="shared" si="517"/>
        <v>RECEITAS COM ENTREGAS (303)</v>
      </c>
      <c r="S1187">
        <v>3407</v>
      </c>
      <c r="T1187">
        <v>2808</v>
      </c>
      <c r="U1187" t="s">
        <v>21</v>
      </c>
    </row>
    <row r="1188" spans="1:21">
      <c r="A1188" t="str">
        <f t="shared" si="510"/>
        <v>27/11/2025</v>
      </c>
      <c r="B1188" t="str">
        <f t="shared" si="512"/>
        <v>ENTRADA</v>
      </c>
      <c r="C1188" t="str">
        <f t="shared" si="513"/>
        <v>NFSE</v>
      </c>
      <c r="D1188" t="str">
        <f>"3897"</f>
        <v>3897</v>
      </c>
      <c r="E1188" t="str">
        <f t="shared" si="514"/>
        <v>COM</v>
      </c>
      <c r="F1188" t="str">
        <f>"PENSE FARMA 07 (10201)"</f>
        <v>PENSE FARMA 07 (10201)</v>
      </c>
      <c r="G1188" t="str">
        <f>"Serv.Prest. 17/11/2025 a 23/11/2025 - RPS: 1660 - NFSe: 3897"</f>
        <v>Serv.Prest. 17/11/2025 a 23/11/2025 - RPS: 1660 - NFSe: 3897</v>
      </c>
      <c r="H1188" t="str">
        <f t="shared" si="515"/>
        <v>26/11/2025</v>
      </c>
      <c r="I1188" t="str">
        <f t="shared" si="518"/>
        <v>24/11/2025</v>
      </c>
      <c r="J1188" t="str">
        <f t="shared" si="511"/>
        <v>27/11/2025</v>
      </c>
      <c r="M1188">
        <v>303</v>
      </c>
      <c r="N1188" t="str">
        <f t="shared" si="516"/>
        <v>RECEITAS COM ENTREGAS</v>
      </c>
      <c r="P1188">
        <v>103.95</v>
      </c>
      <c r="Q1188" t="str">
        <f>"PENSE FARMA 50 (10210)"</f>
        <v>PENSE FARMA 50 (10210)</v>
      </c>
      <c r="R1188" t="str">
        <f t="shared" si="517"/>
        <v>RECEITAS COM ENTREGAS (303)</v>
      </c>
      <c r="S1188">
        <v>3407</v>
      </c>
      <c r="T1188">
        <v>2808</v>
      </c>
      <c r="U1188" t="s">
        <v>21</v>
      </c>
    </row>
    <row r="1189" spans="1:21">
      <c r="A1189" t="str">
        <f t="shared" si="510"/>
        <v>27/11/2025</v>
      </c>
      <c r="B1189" t="str">
        <f t="shared" si="512"/>
        <v>ENTRADA</v>
      </c>
      <c r="C1189" t="str">
        <f t="shared" si="513"/>
        <v>NFSE</v>
      </c>
      <c r="D1189" t="str">
        <f>"3889"</f>
        <v>3889</v>
      </c>
      <c r="E1189" t="str">
        <f t="shared" si="514"/>
        <v>COM</v>
      </c>
      <c r="F1189" t="str">
        <f>"PENSE FARMA 25 (10224)"</f>
        <v>PENSE FARMA 25 (10224)</v>
      </c>
      <c r="G1189" t="str">
        <f>"Serv.Prest. 17/11/2025 a 23/11/2025 - RPS: 1652 - NFSe: 3889"</f>
        <v>Serv.Prest. 17/11/2025 a 23/11/2025 - RPS: 1652 - NFSe: 3889</v>
      </c>
      <c r="H1189" t="str">
        <f t="shared" si="515"/>
        <v>26/11/2025</v>
      </c>
      <c r="I1189" t="str">
        <f t="shared" si="518"/>
        <v>24/11/2025</v>
      </c>
      <c r="J1189" t="str">
        <f t="shared" si="511"/>
        <v>27/11/2025</v>
      </c>
      <c r="K1189">
        <v>557.11</v>
      </c>
      <c r="L1189">
        <v>557.11</v>
      </c>
      <c r="M1189">
        <v>303</v>
      </c>
      <c r="N1189" t="str">
        <f t="shared" si="516"/>
        <v>RECEITAS COM ENTREGAS</v>
      </c>
      <c r="O1189">
        <v>557.11</v>
      </c>
      <c r="R1189" t="str">
        <f t="shared" si="517"/>
        <v>RECEITAS COM ENTREGAS (303)</v>
      </c>
      <c r="S1189">
        <v>3408</v>
      </c>
      <c r="T1189">
        <v>2800</v>
      </c>
      <c r="U1189" t="s">
        <v>21</v>
      </c>
    </row>
    <row r="1190" spans="1:21">
      <c r="A1190" t="str">
        <f t="shared" si="510"/>
        <v>27/11/2025</v>
      </c>
      <c r="B1190" t="str">
        <f t="shared" si="512"/>
        <v>ENTRADA</v>
      </c>
      <c r="C1190" t="str">
        <f t="shared" si="513"/>
        <v>NFSE</v>
      </c>
      <c r="D1190" t="str">
        <f>"3889"</f>
        <v>3889</v>
      </c>
      <c r="E1190" t="str">
        <f t="shared" si="514"/>
        <v>COM</v>
      </c>
      <c r="F1190" t="str">
        <f>"PENSE FARMA 25 (10224)"</f>
        <v>PENSE FARMA 25 (10224)</v>
      </c>
      <c r="G1190" t="str">
        <f>"Serv.Prest. 17/11/2025 a 23/11/2025 - RPS: 1652 - NFSe: 3889"</f>
        <v>Serv.Prest. 17/11/2025 a 23/11/2025 - RPS: 1652 - NFSe: 3889</v>
      </c>
      <c r="H1190" t="str">
        <f t="shared" si="515"/>
        <v>26/11/2025</v>
      </c>
      <c r="I1190" t="str">
        <f t="shared" si="518"/>
        <v>24/11/2025</v>
      </c>
      <c r="J1190" t="str">
        <f t="shared" si="511"/>
        <v>27/11/2025</v>
      </c>
      <c r="M1190">
        <v>303</v>
      </c>
      <c r="N1190" t="str">
        <f t="shared" si="516"/>
        <v>RECEITAS COM ENTREGAS</v>
      </c>
      <c r="P1190">
        <v>557.11</v>
      </c>
      <c r="Q1190" t="str">
        <f>"PENSE FARMA 25 (10224)"</f>
        <v>PENSE FARMA 25 (10224)</v>
      </c>
      <c r="R1190" t="str">
        <f t="shared" si="517"/>
        <v>RECEITAS COM ENTREGAS (303)</v>
      </c>
      <c r="S1190">
        <v>3408</v>
      </c>
      <c r="T1190">
        <v>2800</v>
      </c>
      <c r="U1190" t="s">
        <v>21</v>
      </c>
    </row>
    <row r="1191" spans="1:21">
      <c r="A1191" t="str">
        <f t="shared" ref="A1191:A1204" si="519">("28/11/2025")</f>
        <v>28/11/2025</v>
      </c>
      <c r="B1191" t="str">
        <f t="shared" si="512"/>
        <v>ENTRADA</v>
      </c>
      <c r="C1191" t="str">
        <f>"TRANSFERENCIA"</f>
        <v>TRANSFERENCIA</v>
      </c>
      <c r="D1191" t="str">
        <f>""</f>
        <v/>
      </c>
      <c r="E1191" t="str">
        <f>"TRF"</f>
        <v>TRF</v>
      </c>
      <c r="F1191" t="str">
        <f>""</f>
        <v/>
      </c>
      <c r="G1191" t="str">
        <f>"DEVOLUÇÃO AJUDA DE MOVIMENTAÇÃO CAIXA (120-&gt;102)"</f>
        <v>DEVOLUÇÃO AJUDA DE MOVIMENTAÇÃO CAIXA (120-&gt;102)</v>
      </c>
      <c r="H1191" t="str">
        <f t="shared" ref="H1191:J1192" si="520">("28/11/2025")</f>
        <v>28/11/2025</v>
      </c>
      <c r="I1191" t="str">
        <f t="shared" si="520"/>
        <v>28/11/2025</v>
      </c>
      <c r="J1191" t="str">
        <f t="shared" si="520"/>
        <v>28/11/2025</v>
      </c>
      <c r="M1191">
        <v>102</v>
      </c>
      <c r="N1191" t="str">
        <f>"BANCO CORA"</f>
        <v>BANCO CORA</v>
      </c>
      <c r="O1191">
        <v>25000</v>
      </c>
      <c r="R1191" t="str">
        <f>"BANCO CORA (102)"</f>
        <v>BANCO CORA (102)</v>
      </c>
      <c r="S1191">
        <v>3410</v>
      </c>
      <c r="T1191">
        <v>0</v>
      </c>
      <c r="U1191" t="s">
        <v>21</v>
      </c>
    </row>
    <row r="1192" spans="1:21">
      <c r="A1192" t="str">
        <f t="shared" si="519"/>
        <v>28/11/2025</v>
      </c>
      <c r="B1192" t="str">
        <f>"SAÍDA"</f>
        <v>SAÍDA</v>
      </c>
      <c r="C1192" t="str">
        <f>"TRANSFERENCIA"</f>
        <v>TRANSFERENCIA</v>
      </c>
      <c r="D1192" t="str">
        <f>""</f>
        <v/>
      </c>
      <c r="E1192" t="str">
        <f>"TRF"</f>
        <v>TRF</v>
      </c>
      <c r="F1192" t="str">
        <f>""</f>
        <v/>
      </c>
      <c r="G1192" t="str">
        <f>"DEVOLUÇÃO AJUDA DE MOVIMENTAÇÃO CAIXA (120-&gt;102)"</f>
        <v>DEVOLUÇÃO AJUDA DE MOVIMENTAÇÃO CAIXA (120-&gt;102)</v>
      </c>
      <c r="H1192" t="str">
        <f t="shared" si="520"/>
        <v>28/11/2025</v>
      </c>
      <c r="I1192" t="str">
        <f t="shared" si="520"/>
        <v>28/11/2025</v>
      </c>
      <c r="J1192" t="str">
        <f t="shared" si="520"/>
        <v>28/11/2025</v>
      </c>
      <c r="M1192">
        <v>120</v>
      </c>
      <c r="N1192" t="str">
        <f>"CAIXA - COOPERATIVA"</f>
        <v>CAIXA - COOPERATIVA</v>
      </c>
      <c r="O1192">
        <v>25000</v>
      </c>
      <c r="R1192" t="str">
        <f>"CAIXA - COOPERATIVA (120)"</f>
        <v>CAIXA - COOPERATIVA (120)</v>
      </c>
      <c r="S1192">
        <v>3410</v>
      </c>
      <c r="T1192">
        <v>0</v>
      </c>
      <c r="U1192" t="s">
        <v>25</v>
      </c>
    </row>
    <row r="1193" spans="1:21">
      <c r="A1193" t="str">
        <f t="shared" si="519"/>
        <v>28/11/2025</v>
      </c>
      <c r="B1193" t="str">
        <f>"ENTRADA"</f>
        <v>ENTRADA</v>
      </c>
      <c r="C1193" t="str">
        <f>"NFSE"</f>
        <v>NFSE</v>
      </c>
      <c r="D1193" t="str">
        <f>"3904"</f>
        <v>3904</v>
      </c>
      <c r="E1193" t="str">
        <f t="shared" ref="E1193:E1200" si="521">"COM"</f>
        <v>COM</v>
      </c>
      <c r="F1193" t="str">
        <f>"DROGARIA POUPA MINAS (DOIS AMIGOS) 5 (10140)"</f>
        <v>DROGARIA POUPA MINAS (DOIS AMIGOS) 5 (10140)</v>
      </c>
      <c r="G1193" t="str">
        <f>"Serv.Prest. 17/11/2025 a 23/11/2025 - RPS: 1667 - NFSe: 3904"</f>
        <v>Serv.Prest. 17/11/2025 a 23/11/2025 - RPS: 1667 - NFSe: 3904</v>
      </c>
      <c r="H1193" t="str">
        <f>("27/11/2025")</f>
        <v>27/11/2025</v>
      </c>
      <c r="I1193" t="str">
        <f>("25/11/2025")</f>
        <v>25/11/2025</v>
      </c>
      <c r="J1193" t="str">
        <f t="shared" ref="J1193:J1204" si="522">("28/11/2025")</f>
        <v>28/11/2025</v>
      </c>
      <c r="K1193">
        <v>840.74</v>
      </c>
      <c r="L1193">
        <v>840.74</v>
      </c>
      <c r="M1193">
        <v>303</v>
      </c>
      <c r="N1193" t="str">
        <f>"RECEITAS COM ENTREGAS"</f>
        <v>RECEITAS COM ENTREGAS</v>
      </c>
      <c r="O1193">
        <v>840.74</v>
      </c>
      <c r="R1193" t="str">
        <f>"RECEITAS COM ENTREGAS (303)"</f>
        <v>RECEITAS COM ENTREGAS (303)</v>
      </c>
      <c r="S1193">
        <v>3411</v>
      </c>
      <c r="T1193">
        <v>2815</v>
      </c>
      <c r="U1193" t="s">
        <v>21</v>
      </c>
    </row>
    <row r="1194" spans="1:21">
      <c r="A1194" t="str">
        <f t="shared" si="519"/>
        <v>28/11/2025</v>
      </c>
      <c r="B1194" t="str">
        <f>"ENTRADA"</f>
        <v>ENTRADA</v>
      </c>
      <c r="C1194" t="str">
        <f>"NFSE"</f>
        <v>NFSE</v>
      </c>
      <c r="D1194" t="str">
        <f>"3904"</f>
        <v>3904</v>
      </c>
      <c r="E1194" t="str">
        <f t="shared" si="521"/>
        <v>COM</v>
      </c>
      <c r="F1194" t="str">
        <f>"DROGARIA POUPA MINAS (DOIS AMIGOS) 5 (10140)"</f>
        <v>DROGARIA POUPA MINAS (DOIS AMIGOS) 5 (10140)</v>
      </c>
      <c r="G1194" t="str">
        <f>"Serv.Prest. 17/11/2025 a 23/11/2025 - RPS: 1667 - NFSe: 3904"</f>
        <v>Serv.Prest. 17/11/2025 a 23/11/2025 - RPS: 1667 - NFSe: 3904</v>
      </c>
      <c r="H1194" t="str">
        <f>("27/11/2025")</f>
        <v>27/11/2025</v>
      </c>
      <c r="I1194" t="str">
        <f>("25/11/2025")</f>
        <v>25/11/2025</v>
      </c>
      <c r="J1194" t="str">
        <f t="shared" si="522"/>
        <v>28/11/2025</v>
      </c>
      <c r="M1194">
        <v>303</v>
      </c>
      <c r="N1194" t="str">
        <f>"RECEITAS COM ENTREGAS"</f>
        <v>RECEITAS COM ENTREGAS</v>
      </c>
      <c r="P1194">
        <v>840.74</v>
      </c>
      <c r="Q1194" t="str">
        <f>"DROGARIA POUPA MINAS (ULTRAMINAS) 1 (10181)"</f>
        <v>DROGARIA POUPA MINAS (ULTRAMINAS) 1 (10181)</v>
      </c>
      <c r="R1194" t="str">
        <f>"RECEITAS COM ENTREGAS (303)"</f>
        <v>RECEITAS COM ENTREGAS (303)</v>
      </c>
      <c r="S1194">
        <v>3411</v>
      </c>
      <c r="T1194">
        <v>2815</v>
      </c>
      <c r="U1194" t="s">
        <v>21</v>
      </c>
    </row>
    <row r="1195" spans="1:21">
      <c r="A1195" t="str">
        <f t="shared" si="519"/>
        <v>28/11/2025</v>
      </c>
      <c r="B1195" t="str">
        <f>"ENTRADA"</f>
        <v>ENTRADA</v>
      </c>
      <c r="C1195" t="str">
        <f>"NFSE"</f>
        <v>NFSE</v>
      </c>
      <c r="D1195" t="str">
        <f>"3879"</f>
        <v>3879</v>
      </c>
      <c r="E1195" t="str">
        <f t="shared" si="521"/>
        <v>COM</v>
      </c>
      <c r="F1195" t="str">
        <f>"DROGARIA POUPA MINAS (ULTRAMINAS) 3 (10129)"</f>
        <v>DROGARIA POUPA MINAS (ULTRAMINAS) 3 (10129)</v>
      </c>
      <c r="G1195" t="str">
        <f>"Serv.Prest. 17/11/2025 a 23/11/2025 - RPS: 1642 - NFSe: 3879"</f>
        <v>Serv.Prest. 17/11/2025 a 23/11/2025 - RPS: 1642 - NFSe: 3879</v>
      </c>
      <c r="H1195" t="str">
        <f>("27/11/2025")</f>
        <v>27/11/2025</v>
      </c>
      <c r="I1195" t="str">
        <f>("24/11/2025")</f>
        <v>24/11/2025</v>
      </c>
      <c r="J1195" t="str">
        <f t="shared" si="522"/>
        <v>28/11/2025</v>
      </c>
      <c r="K1195">
        <v>171.6</v>
      </c>
      <c r="L1195">
        <v>171.6</v>
      </c>
      <c r="M1195">
        <v>303</v>
      </c>
      <c r="N1195" t="str">
        <f>"RECEITAS COM ENTREGAS"</f>
        <v>RECEITAS COM ENTREGAS</v>
      </c>
      <c r="O1195">
        <v>171.6</v>
      </c>
      <c r="R1195" t="str">
        <f>"RECEITAS COM ENTREGAS (303)"</f>
        <v>RECEITAS COM ENTREGAS (303)</v>
      </c>
      <c r="S1195">
        <v>3412</v>
      </c>
      <c r="T1195">
        <v>2790</v>
      </c>
      <c r="U1195" t="s">
        <v>21</v>
      </c>
    </row>
    <row r="1196" spans="1:21">
      <c r="A1196" t="str">
        <f t="shared" si="519"/>
        <v>28/11/2025</v>
      </c>
      <c r="B1196" t="str">
        <f>"ENTRADA"</f>
        <v>ENTRADA</v>
      </c>
      <c r="C1196" t="str">
        <f>"NFSE"</f>
        <v>NFSE</v>
      </c>
      <c r="D1196" t="str">
        <f>"3879"</f>
        <v>3879</v>
      </c>
      <c r="E1196" t="str">
        <f t="shared" si="521"/>
        <v>COM</v>
      </c>
      <c r="F1196" t="str">
        <f>"DROGARIA POUPA MINAS (ULTRAMINAS) 3 (10129)"</f>
        <v>DROGARIA POUPA MINAS (ULTRAMINAS) 3 (10129)</v>
      </c>
      <c r="G1196" t="str">
        <f>"Serv.Prest. 17/11/2025 a 23/11/2025 - RPS: 1642 - NFSe: 3879"</f>
        <v>Serv.Prest. 17/11/2025 a 23/11/2025 - RPS: 1642 - NFSe: 3879</v>
      </c>
      <c r="H1196" t="str">
        <f>("27/11/2025")</f>
        <v>27/11/2025</v>
      </c>
      <c r="I1196" t="str">
        <f>("24/11/2025")</f>
        <v>24/11/2025</v>
      </c>
      <c r="J1196" t="str">
        <f t="shared" si="522"/>
        <v>28/11/2025</v>
      </c>
      <c r="M1196">
        <v>303</v>
      </c>
      <c r="N1196" t="str">
        <f>"RECEITAS COM ENTREGAS"</f>
        <v>RECEITAS COM ENTREGAS</v>
      </c>
      <c r="P1196">
        <v>171.6</v>
      </c>
      <c r="Q1196" t="str">
        <f>"DROGARIA POUPA MINAS (ULTRAMINAS) 3 (10129)"</f>
        <v>DROGARIA POUPA MINAS (ULTRAMINAS) 3 (10129)</v>
      </c>
      <c r="R1196" t="str">
        <f>"RECEITAS COM ENTREGAS (303)"</f>
        <v>RECEITAS COM ENTREGAS (303)</v>
      </c>
      <c r="S1196">
        <v>3412</v>
      </c>
      <c r="T1196">
        <v>2790</v>
      </c>
      <c r="U1196" t="s">
        <v>21</v>
      </c>
    </row>
    <row r="1197" spans="1:21">
      <c r="A1197" t="str">
        <f t="shared" si="519"/>
        <v>28/11/2025</v>
      </c>
      <c r="B1197" t="str">
        <f>"SAÍDA"</f>
        <v>SAÍDA</v>
      </c>
      <c r="C1197" t="str">
        <f>"BOLETO"</f>
        <v>BOLETO</v>
      </c>
      <c r="D1197" t="str">
        <f>"011125"</f>
        <v>011125</v>
      </c>
      <c r="E1197" t="str">
        <f t="shared" si="521"/>
        <v>COM</v>
      </c>
      <c r="F1197" t="str">
        <f>"CORA SOCIEDADE DE CREDITO, FINANCIAMENTO E INVESTIMENTO (20035)"</f>
        <v>CORA SOCIEDADE DE CREDITO, FINANCIAMENTO E INVESTIMENTO (20035)</v>
      </c>
      <c r="G1197" t="str">
        <f>"TAXA BOLETO CORA"</f>
        <v>TAXA BOLETO CORA</v>
      </c>
      <c r="H1197" t="str">
        <f t="shared" ref="H1197:H1204" si="523">("28/11/2025")</f>
        <v>28/11/2025</v>
      </c>
      <c r="I1197" t="str">
        <f>("01/11/2025")</f>
        <v>01/11/2025</v>
      </c>
      <c r="J1197" t="str">
        <f t="shared" si="522"/>
        <v>28/11/2025</v>
      </c>
      <c r="K1197">
        <v>1.7</v>
      </c>
      <c r="L1197">
        <v>1.7</v>
      </c>
      <c r="M1197">
        <v>401</v>
      </c>
      <c r="N1197" t="str">
        <f>"IOF/JUROS/DESP.FINANCEIRA"</f>
        <v>IOF/JUROS/DESP.FINANCEIRA</v>
      </c>
      <c r="O1197">
        <v>1.7</v>
      </c>
      <c r="R1197" t="str">
        <f>"BANCO CORA (102)"</f>
        <v>BANCO CORA (102)</v>
      </c>
      <c r="S1197">
        <v>3413</v>
      </c>
      <c r="T1197">
        <v>2972</v>
      </c>
      <c r="U1197" t="s">
        <v>21</v>
      </c>
    </row>
    <row r="1198" spans="1:21">
      <c r="A1198" t="str">
        <f t="shared" si="519"/>
        <v>28/11/2025</v>
      </c>
      <c r="B1198" t="str">
        <f>"SAÍDA"</f>
        <v>SAÍDA</v>
      </c>
      <c r="C1198" t="str">
        <f>"BOLETO"</f>
        <v>BOLETO</v>
      </c>
      <c r="D1198" t="str">
        <f>"011125"</f>
        <v>011125</v>
      </c>
      <c r="E1198" t="str">
        <f t="shared" si="521"/>
        <v>COM</v>
      </c>
      <c r="F1198" t="str">
        <f>"CORA SOCIEDADE DE CREDITO, FINANCIAMENTO E INVESTIMENTO (20035)"</f>
        <v>CORA SOCIEDADE DE CREDITO, FINANCIAMENTO E INVESTIMENTO (20035)</v>
      </c>
      <c r="G1198" t="str">
        <f>"TAXA BOLETO CORA"</f>
        <v>TAXA BOLETO CORA</v>
      </c>
      <c r="H1198" t="str">
        <f t="shared" si="523"/>
        <v>28/11/2025</v>
      </c>
      <c r="I1198" t="str">
        <f>("01/11/2025")</f>
        <v>01/11/2025</v>
      </c>
      <c r="J1198" t="str">
        <f t="shared" si="522"/>
        <v>28/11/2025</v>
      </c>
      <c r="M1198">
        <v>401</v>
      </c>
      <c r="N1198" t="str">
        <f>"IOF/JUROS/DESP.FINANCEIRA"</f>
        <v>IOF/JUROS/DESP.FINANCEIRA</v>
      </c>
      <c r="P1198">
        <v>1.7</v>
      </c>
      <c r="Q1198" t="str">
        <f>"CORA SOCIEDADE DE CREDITO, FINANCIAMENTO E INVESTIMENTO (20035)"</f>
        <v>CORA SOCIEDADE DE CREDITO, FINANCIAMENTO E INVESTIMENTO (20035)</v>
      </c>
      <c r="R1198" t="str">
        <f>"BANCO CORA (102)"</f>
        <v>BANCO CORA (102)</v>
      </c>
      <c r="S1198">
        <v>3413</v>
      </c>
      <c r="T1198">
        <v>2972</v>
      </c>
      <c r="U1198" t="s">
        <v>21</v>
      </c>
    </row>
    <row r="1199" spans="1:21">
      <c r="A1199" t="str">
        <f t="shared" si="519"/>
        <v>28/11/2025</v>
      </c>
      <c r="B1199" t="str">
        <f>"SAÍDA"</f>
        <v>SAÍDA</v>
      </c>
      <c r="C1199" t="str">
        <f>"BOLETO"</f>
        <v>BOLETO</v>
      </c>
      <c r="D1199" t="str">
        <f>"011125"</f>
        <v>011125</v>
      </c>
      <c r="E1199" t="str">
        <f t="shared" si="521"/>
        <v>COM</v>
      </c>
      <c r="F1199" t="str">
        <f>"CORA SOCIEDADE DE CREDITO, FINANCIAMENTO E INVESTIMENTO (20035)"</f>
        <v>CORA SOCIEDADE DE CREDITO, FINANCIAMENTO E INVESTIMENTO (20035)</v>
      </c>
      <c r="G1199" t="str">
        <f>"TAXA BOLETO CORA"</f>
        <v>TAXA BOLETO CORA</v>
      </c>
      <c r="H1199" t="str">
        <f t="shared" si="523"/>
        <v>28/11/2025</v>
      </c>
      <c r="I1199" t="str">
        <f>("01/11/2025")</f>
        <v>01/11/2025</v>
      </c>
      <c r="J1199" t="str">
        <f t="shared" si="522"/>
        <v>28/11/2025</v>
      </c>
      <c r="K1199">
        <v>1.7</v>
      </c>
      <c r="L1199">
        <v>1.7</v>
      </c>
      <c r="M1199">
        <v>401</v>
      </c>
      <c r="N1199" t="str">
        <f>"IOF/JUROS/DESP.FINANCEIRA"</f>
        <v>IOF/JUROS/DESP.FINANCEIRA</v>
      </c>
      <c r="O1199">
        <v>1.7</v>
      </c>
      <c r="R1199" t="str">
        <f>"BANCO CORA (102)"</f>
        <v>BANCO CORA (102)</v>
      </c>
      <c r="S1199">
        <v>3414</v>
      </c>
      <c r="T1199">
        <v>2974</v>
      </c>
      <c r="U1199" t="s">
        <v>21</v>
      </c>
    </row>
    <row r="1200" spans="1:21">
      <c r="A1200" t="str">
        <f t="shared" si="519"/>
        <v>28/11/2025</v>
      </c>
      <c r="B1200" t="str">
        <f>"SAÍDA"</f>
        <v>SAÍDA</v>
      </c>
      <c r="C1200" t="str">
        <f>"BOLETO"</f>
        <v>BOLETO</v>
      </c>
      <c r="D1200" t="str">
        <f>"011125"</f>
        <v>011125</v>
      </c>
      <c r="E1200" t="str">
        <f t="shared" si="521"/>
        <v>COM</v>
      </c>
      <c r="F1200" t="str">
        <f>"CORA SOCIEDADE DE CREDITO, FINANCIAMENTO E INVESTIMENTO (20035)"</f>
        <v>CORA SOCIEDADE DE CREDITO, FINANCIAMENTO E INVESTIMENTO (20035)</v>
      </c>
      <c r="G1200" t="str">
        <f>"TAXA BOLETO CORA"</f>
        <v>TAXA BOLETO CORA</v>
      </c>
      <c r="H1200" t="str">
        <f t="shared" si="523"/>
        <v>28/11/2025</v>
      </c>
      <c r="I1200" t="str">
        <f>("01/11/2025")</f>
        <v>01/11/2025</v>
      </c>
      <c r="J1200" t="str">
        <f t="shared" si="522"/>
        <v>28/11/2025</v>
      </c>
      <c r="M1200">
        <v>401</v>
      </c>
      <c r="N1200" t="str">
        <f>"IOF/JUROS/DESP.FINANCEIRA"</f>
        <v>IOF/JUROS/DESP.FINANCEIRA</v>
      </c>
      <c r="P1200">
        <v>1.7</v>
      </c>
      <c r="Q1200" t="str">
        <f>"CORA SOCIEDADE DE CREDITO, FINANCIAMENTO E INVESTIMENTO (20035)"</f>
        <v>CORA SOCIEDADE DE CREDITO, FINANCIAMENTO E INVESTIMENTO (20035)</v>
      </c>
      <c r="R1200" t="str">
        <f>"BANCO CORA (102)"</f>
        <v>BANCO CORA (102)</v>
      </c>
      <c r="S1200">
        <v>3414</v>
      </c>
      <c r="T1200">
        <v>2974</v>
      </c>
      <c r="U1200" t="s">
        <v>21</v>
      </c>
    </row>
    <row r="1201" spans="1:21">
      <c r="A1201" t="str">
        <f t="shared" si="519"/>
        <v>28/11/2025</v>
      </c>
      <c r="B1201" t="str">
        <f>"SAÍDA"</f>
        <v>SAÍDA</v>
      </c>
      <c r="C1201" t="str">
        <f>"TRANSFERENCIA"</f>
        <v>TRANSFERENCIA</v>
      </c>
      <c r="D1201" t="str">
        <f>""</f>
        <v/>
      </c>
      <c r="E1201" t="str">
        <f>"TRF"</f>
        <v>TRF</v>
      </c>
      <c r="F1201" t="str">
        <f>""</f>
        <v/>
      </c>
      <c r="G1201" t="str">
        <f>"TRANSFERENCIA ENTRE BANCOS (102-&gt;131)"</f>
        <v>TRANSFERENCIA ENTRE BANCOS (102-&gt;131)</v>
      </c>
      <c r="H1201" t="str">
        <f t="shared" si="523"/>
        <v>28/11/2025</v>
      </c>
      <c r="I1201" t="str">
        <f>("28/11/2025")</f>
        <v>28/11/2025</v>
      </c>
      <c r="J1201" t="str">
        <f t="shared" si="522"/>
        <v>28/11/2025</v>
      </c>
      <c r="M1201">
        <v>102</v>
      </c>
      <c r="N1201" t="str">
        <f>"BANCO CORA"</f>
        <v>BANCO CORA</v>
      </c>
      <c r="O1201">
        <v>50000</v>
      </c>
      <c r="R1201" t="str">
        <f>"BANCO CORA (102)"</f>
        <v>BANCO CORA (102)</v>
      </c>
      <c r="S1201">
        <v>3415</v>
      </c>
      <c r="T1201">
        <v>0</v>
      </c>
      <c r="U1201" t="s">
        <v>21</v>
      </c>
    </row>
    <row r="1202" spans="1:21">
      <c r="A1202" t="str">
        <f t="shared" si="519"/>
        <v>28/11/2025</v>
      </c>
      <c r="B1202" t="str">
        <f>"ENTRADA"</f>
        <v>ENTRADA</v>
      </c>
      <c r="C1202" t="str">
        <f>"TRANSFERENCIA"</f>
        <v>TRANSFERENCIA</v>
      </c>
      <c r="D1202" t="str">
        <f>""</f>
        <v/>
      </c>
      <c r="E1202" t="str">
        <f>"TRF"</f>
        <v>TRF</v>
      </c>
      <c r="F1202" t="str">
        <f>""</f>
        <v/>
      </c>
      <c r="G1202" t="str">
        <f>"TRANSFERENCIA ENTRE BANCOS (102-&gt;131)"</f>
        <v>TRANSFERENCIA ENTRE BANCOS (102-&gt;131)</v>
      </c>
      <c r="H1202" t="str">
        <f t="shared" si="523"/>
        <v>28/11/2025</v>
      </c>
      <c r="I1202" t="str">
        <f>("28/11/2025")</f>
        <v>28/11/2025</v>
      </c>
      <c r="J1202" t="str">
        <f t="shared" si="522"/>
        <v>28/11/2025</v>
      </c>
      <c r="M1202">
        <v>131</v>
      </c>
      <c r="N1202" t="str">
        <f>"BANCO SICREDI"</f>
        <v>BANCO SICREDI</v>
      </c>
      <c r="O1202">
        <v>50000</v>
      </c>
      <c r="R1202" t="str">
        <f>"BANCO SICREDI (131)"</f>
        <v>BANCO SICREDI (131)</v>
      </c>
      <c r="S1202">
        <v>3415</v>
      </c>
      <c r="T1202">
        <v>0</v>
      </c>
      <c r="U1202" t="s">
        <v>28</v>
      </c>
    </row>
    <row r="1203" spans="1:21">
      <c r="A1203" t="str">
        <f t="shared" si="519"/>
        <v>28/11/2025</v>
      </c>
      <c r="B1203" t="str">
        <f>"SAÍDA"</f>
        <v>SAÍDA</v>
      </c>
      <c r="C1203" t="str">
        <f>"PIX"</f>
        <v>PIX</v>
      </c>
      <c r="D1203" t="str">
        <f>"28112025"</f>
        <v>28112025</v>
      </c>
      <c r="E1203" t="str">
        <f>"COM"</f>
        <v>COM</v>
      </c>
      <c r="F1203" t="str">
        <f>"63.339.448 NATHALIA CARMO OLIVEIRA (20126)"</f>
        <v>63.339.448 NATHALIA CARMO OLIVEIRA (20126)</v>
      </c>
      <c r="G1203" t="str">
        <f>"CRIAÇÃO SITE FLUX"</f>
        <v>CRIAÇÃO SITE FLUX</v>
      </c>
      <c r="H1203" t="str">
        <f t="shared" si="523"/>
        <v>28/11/2025</v>
      </c>
      <c r="I1203" t="str">
        <f>("28/11/2025")</f>
        <v>28/11/2025</v>
      </c>
      <c r="J1203" t="str">
        <f t="shared" si="522"/>
        <v>28/11/2025</v>
      </c>
      <c r="K1203">
        <v>450</v>
      </c>
      <c r="L1203">
        <v>450</v>
      </c>
      <c r="M1203">
        <v>104</v>
      </c>
      <c r="N1203" t="str">
        <f>"SOFTWARE / LICENÇAS"</f>
        <v>SOFTWARE / LICENÇAS</v>
      </c>
      <c r="O1203">
        <v>450</v>
      </c>
      <c r="R1203" t="str">
        <f>"BANCO CORA (102)"</f>
        <v>BANCO CORA (102)</v>
      </c>
      <c r="S1203">
        <v>3416</v>
      </c>
      <c r="T1203">
        <v>2975</v>
      </c>
      <c r="U1203" t="s">
        <v>21</v>
      </c>
    </row>
    <row r="1204" spans="1:21">
      <c r="A1204" t="str">
        <f t="shared" si="519"/>
        <v>28/11/2025</v>
      </c>
      <c r="B1204" t="str">
        <f>"SAÍDA"</f>
        <v>SAÍDA</v>
      </c>
      <c r="C1204" t="str">
        <f>"PIX"</f>
        <v>PIX</v>
      </c>
      <c r="D1204" t="str">
        <f>"28112025"</f>
        <v>28112025</v>
      </c>
      <c r="E1204" t="str">
        <f>"COM"</f>
        <v>COM</v>
      </c>
      <c r="F1204" t="str">
        <f>"63.339.448 NATHALIA CARMO OLIVEIRA (20126)"</f>
        <v>63.339.448 NATHALIA CARMO OLIVEIRA (20126)</v>
      </c>
      <c r="G1204" t="str">
        <f>"CRIAÇÃO SITE FLUX"</f>
        <v>CRIAÇÃO SITE FLUX</v>
      </c>
      <c r="H1204" t="str">
        <f t="shared" si="523"/>
        <v>28/11/2025</v>
      </c>
      <c r="I1204" t="str">
        <f>("28/11/2025")</f>
        <v>28/11/2025</v>
      </c>
      <c r="J1204" t="str">
        <f t="shared" si="522"/>
        <v>28/11/2025</v>
      </c>
      <c r="M1204">
        <v>104</v>
      </c>
      <c r="N1204" t="str">
        <f>"SOFTWARE / LICENÇAS"</f>
        <v>SOFTWARE / LICENÇAS</v>
      </c>
      <c r="P1204">
        <v>450</v>
      </c>
      <c r="Q1204" t="str">
        <f>"63.339.448 NATHALIA CARMO OLIVEIRA (20126)"</f>
        <v>63.339.448 NATHALIA CARMO OLIVEIRA (20126)</v>
      </c>
      <c r="R1204" t="str">
        <f>"BANCO CORA (102)"</f>
        <v>BANCO CORA (102)</v>
      </c>
      <c r="S1204">
        <v>3416</v>
      </c>
      <c r="T1204">
        <v>2975</v>
      </c>
      <c r="U1204" t="s">
        <v>21</v>
      </c>
    </row>
    <row r="1205" spans="1:21">
      <c r="P1205">
        <f>SUBTOTAL(9,P122:P1204)</f>
        <v>232242.55000000072</v>
      </c>
    </row>
  </sheetData>
  <autoFilter ref="A1:U120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</dc:creator>
  <cp:lastModifiedBy>Robert Magdiel</cp:lastModifiedBy>
  <dcterms:created xsi:type="dcterms:W3CDTF">2025-12-03T20:34:22Z</dcterms:created>
  <dcterms:modified xsi:type="dcterms:W3CDTF">2026-01-16T19:59:35Z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1046-11.2.0.9363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2025-12-08T16:58:27Z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31f5bc76-ef0a-4a69-b4b4-c5f83a2d53a4</vt:lpwstr>
  </property>
  <property fmtid="{D5CDD505-2E9C-101B-9397-08002B2CF9AE}" pid="8" name="MSIP_Label_defa4170-0d19-0005-0004-bc88714345d2_ActionId">
    <vt:lpwstr>b4b0f156-cd92-4c9a-9d76-0ab122cd9eea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